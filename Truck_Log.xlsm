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lto\Projects\VBA\Logistics Log\"/>
    </mc:Choice>
  </mc:AlternateContent>
  <xr:revisionPtr revIDLastSave="0" documentId="8_{1124A2E0-D514-4CD6-BBCC-8E25B9F8368F}" xr6:coauthVersionLast="47" xr6:coauthVersionMax="47" xr10:uidLastSave="{00000000-0000-0000-0000-000000000000}"/>
  <bookViews>
    <workbookView xWindow="-98" yWindow="-98" windowWidth="21795" windowHeight="14595" tabRatio="444" xr2:uid="{00000000-000D-0000-FFFF-FFFF00000000}"/>
  </bookViews>
  <sheets>
    <sheet name="Full Log" sheetId="19" r:id="rId1"/>
    <sheet name="Storage Log" sheetId="16" r:id="rId2"/>
    <sheet name="CFS Log" sheetId="32" r:id="rId3"/>
    <sheet name="Database" sheetId="33" r:id="rId4"/>
  </sheets>
  <functionGroups builtInGroupCount="19"/>
  <definedNames>
    <definedName name="Int_Out">""</definedName>
    <definedName name="List_EntryStatus">{"OFR","OTC","NRP","DONE","IN HOUSE","NIS","RFS"}</definedName>
    <definedName name="List_Internal_Carriers">""</definedName>
    <definedName name="List_InternalFillStatus">{"E","P","F"}</definedName>
    <definedName name="List_InternalStatus">{"OTC - Out To Clean","OFR - Out For Repair","NRP - Needs Repair","RFS - Removed From Site"}</definedName>
    <definedName name="List_Plants">""</definedName>
    <definedName name="List_Prefixes">{"H - Internal/House Tank","I - Internal/House Tank","D - Dropped External Tank","T - Dropped External Tank","C - Central Fill Station","F - Central Fill Station","Live Unload/Load"}</definedName>
    <definedName name="List_Switchers">""</definedName>
    <definedName name="List_Themes">{"Black","Blackout"}</definedName>
    <definedName name="List_Weigh_In_Pounds_Products">""</definedName>
    <definedName name="Option_Current_Max_Entries">2375</definedName>
    <definedName name="Option_Current_Theme">"Black"</definedName>
    <definedName name="Option_InternalDayReweighLimit">30</definedName>
    <definedName name="_xlnm.Print_Area" localSheetId="2">'CFS Log'!$A$1:$M$42</definedName>
    <definedName name="_xlnm.Print_Area" localSheetId="1">'Storage Log'!$A$1:$J$42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" i="19" l="1"/>
  <c r="P6" i="19"/>
  <c r="P7" i="19"/>
  <c r="P8" i="19"/>
  <c r="P9" i="19"/>
  <c r="P10" i="19"/>
  <c r="P11" i="19"/>
  <c r="P12" i="19"/>
  <c r="P13" i="19"/>
  <c r="P14" i="19"/>
  <c r="P15" i="19"/>
  <c r="P16" i="19"/>
  <c r="P17" i="19"/>
  <c r="P18" i="19"/>
  <c r="P19" i="19"/>
  <c r="P20" i="19"/>
  <c r="P21" i="19"/>
  <c r="P22" i="19"/>
  <c r="P23" i="19"/>
  <c r="P24" i="19"/>
  <c r="P25" i="19"/>
  <c r="P26" i="19"/>
  <c r="P27" i="19"/>
  <c r="P28" i="19"/>
  <c r="P29" i="19"/>
  <c r="P30" i="19"/>
  <c r="P31" i="19"/>
  <c r="P32" i="19"/>
  <c r="P33" i="19"/>
  <c r="P34" i="19"/>
  <c r="P35" i="19"/>
  <c r="P36" i="19"/>
  <c r="P37" i="19"/>
  <c r="P38" i="19"/>
  <c r="P39" i="19"/>
  <c r="P40" i="19"/>
  <c r="P41" i="19"/>
  <c r="P42" i="19"/>
  <c r="P43" i="19"/>
  <c r="P44" i="19"/>
  <c r="P45" i="19"/>
  <c r="P46" i="19"/>
  <c r="P47" i="19"/>
  <c r="P48" i="19"/>
  <c r="P49" i="19"/>
  <c r="P50" i="19"/>
  <c r="P51" i="19"/>
  <c r="P52" i="19"/>
  <c r="P53" i="19"/>
  <c r="P54" i="19"/>
  <c r="P55" i="19"/>
  <c r="P56" i="19"/>
  <c r="P57" i="19"/>
  <c r="P58" i="19"/>
  <c r="P59" i="19"/>
  <c r="P60" i="19"/>
  <c r="P61" i="19"/>
  <c r="P62" i="19"/>
  <c r="P63" i="19"/>
  <c r="P64" i="19"/>
  <c r="P65" i="19"/>
  <c r="P66" i="19"/>
  <c r="P67" i="19"/>
  <c r="P68" i="19"/>
  <c r="P69" i="19"/>
  <c r="P70" i="19"/>
  <c r="P71" i="19"/>
  <c r="P72" i="19"/>
  <c r="P73" i="19"/>
  <c r="P74" i="19"/>
  <c r="P75" i="19"/>
  <c r="P76" i="19"/>
  <c r="P77" i="19"/>
  <c r="P78" i="19"/>
  <c r="P79" i="19"/>
  <c r="P80" i="19"/>
  <c r="P81" i="19"/>
  <c r="P82" i="19"/>
  <c r="P83" i="19"/>
  <c r="P84" i="19"/>
  <c r="P85" i="19"/>
  <c r="P86" i="19"/>
  <c r="P87" i="19"/>
  <c r="P88" i="19"/>
  <c r="P89" i="19"/>
  <c r="P90" i="19"/>
  <c r="P91" i="19"/>
  <c r="P92" i="19"/>
  <c r="P93" i="19"/>
  <c r="P94" i="19"/>
  <c r="P95" i="19"/>
  <c r="P96" i="19"/>
  <c r="P97" i="19"/>
  <c r="P98" i="19"/>
  <c r="P99" i="19"/>
  <c r="P100" i="19"/>
  <c r="P101" i="19"/>
  <c r="P102" i="19"/>
  <c r="P103" i="19"/>
  <c r="P104" i="19"/>
  <c r="P105" i="19"/>
  <c r="P106" i="19"/>
  <c r="P107" i="19"/>
  <c r="P108" i="19"/>
  <c r="P109" i="19"/>
  <c r="P110" i="19"/>
  <c r="P111" i="19"/>
  <c r="P112" i="19"/>
  <c r="P113" i="19"/>
  <c r="P114" i="19"/>
  <c r="P115" i="19"/>
  <c r="P116" i="19"/>
  <c r="P117" i="19"/>
  <c r="P118" i="19"/>
  <c r="P119" i="19"/>
  <c r="P120" i="19"/>
  <c r="P121" i="19"/>
  <c r="P122" i="19"/>
  <c r="P123" i="19"/>
  <c r="P124" i="19"/>
  <c r="P125" i="19"/>
  <c r="P126" i="19"/>
  <c r="P127" i="19"/>
  <c r="P128" i="19"/>
  <c r="P129" i="19"/>
  <c r="P130" i="19"/>
  <c r="P131" i="19"/>
  <c r="P132" i="19"/>
  <c r="P133" i="19"/>
  <c r="P134" i="19"/>
  <c r="P135" i="19"/>
  <c r="P136" i="19"/>
  <c r="P137" i="19"/>
  <c r="P138" i="19"/>
  <c r="P139" i="19"/>
  <c r="P140" i="19"/>
  <c r="P141" i="19"/>
  <c r="P142" i="19"/>
  <c r="P143" i="19"/>
  <c r="P144" i="19"/>
  <c r="P145" i="19"/>
  <c r="P146" i="19"/>
  <c r="P147" i="19"/>
  <c r="P148" i="19"/>
  <c r="P149" i="19"/>
  <c r="P150" i="19"/>
  <c r="P151" i="19"/>
  <c r="P152" i="19"/>
  <c r="P153" i="19"/>
  <c r="P154" i="19"/>
  <c r="P155" i="19"/>
  <c r="P156" i="19"/>
  <c r="P157" i="19"/>
  <c r="P158" i="19"/>
  <c r="P159" i="19"/>
  <c r="P160" i="19"/>
  <c r="P161" i="19"/>
  <c r="P162" i="19"/>
  <c r="P163" i="19"/>
  <c r="P164" i="19"/>
  <c r="P165" i="19"/>
  <c r="P166" i="19"/>
  <c r="P167" i="19"/>
  <c r="P168" i="19"/>
  <c r="P169" i="19"/>
  <c r="P170" i="19"/>
  <c r="P171" i="19"/>
  <c r="P172" i="19"/>
  <c r="P173" i="19"/>
  <c r="P174" i="19"/>
  <c r="P175" i="19"/>
  <c r="P176" i="19"/>
  <c r="P177" i="19"/>
  <c r="P178" i="19"/>
  <c r="P179" i="19"/>
  <c r="P180" i="19"/>
  <c r="P181" i="19"/>
  <c r="P182" i="19"/>
  <c r="P183" i="19"/>
  <c r="P184" i="19"/>
  <c r="P185" i="19"/>
  <c r="P186" i="19"/>
  <c r="P187" i="19"/>
  <c r="P188" i="19"/>
  <c r="P189" i="19"/>
  <c r="P190" i="19"/>
  <c r="P191" i="19"/>
  <c r="P192" i="19"/>
  <c r="P193" i="19"/>
  <c r="P194" i="19"/>
  <c r="P195" i="19"/>
  <c r="P196" i="19"/>
  <c r="P197" i="19"/>
  <c r="P198" i="19"/>
  <c r="P199" i="19"/>
  <c r="P200" i="19"/>
  <c r="P201" i="19"/>
  <c r="P202" i="19"/>
  <c r="P203" i="19"/>
  <c r="P204" i="19"/>
  <c r="P205" i="19"/>
  <c r="P206" i="19"/>
  <c r="P207" i="19"/>
  <c r="P208" i="19"/>
  <c r="P209" i="19"/>
  <c r="P210" i="19"/>
  <c r="P211" i="19"/>
  <c r="P212" i="19"/>
  <c r="P213" i="19"/>
  <c r="P214" i="19"/>
  <c r="P215" i="19"/>
  <c r="P216" i="19"/>
  <c r="P217" i="19"/>
  <c r="P218" i="19"/>
  <c r="P219" i="19"/>
  <c r="P220" i="19"/>
  <c r="P221" i="19"/>
  <c r="P222" i="19"/>
  <c r="P223" i="19"/>
  <c r="P224" i="19"/>
  <c r="P225" i="19"/>
  <c r="P226" i="19"/>
  <c r="P227" i="19"/>
  <c r="P228" i="19"/>
  <c r="P229" i="19"/>
  <c r="P230" i="19"/>
  <c r="P231" i="19"/>
  <c r="P232" i="19"/>
  <c r="P233" i="19"/>
  <c r="P234" i="19"/>
  <c r="P235" i="19"/>
  <c r="P236" i="19"/>
  <c r="P237" i="19"/>
  <c r="P238" i="19"/>
  <c r="P239" i="19"/>
  <c r="P240" i="19"/>
  <c r="P241" i="19"/>
  <c r="P242" i="19"/>
  <c r="P243" i="19"/>
  <c r="P244" i="19"/>
  <c r="P245" i="19"/>
  <c r="P246" i="19"/>
  <c r="P247" i="19"/>
  <c r="P248" i="19"/>
  <c r="P249" i="19"/>
  <c r="P250" i="19"/>
  <c r="P251" i="19"/>
  <c r="P252" i="19"/>
  <c r="P253" i="19"/>
  <c r="P254" i="19"/>
  <c r="P255" i="19"/>
  <c r="P256" i="19"/>
  <c r="P257" i="19"/>
  <c r="P258" i="19"/>
  <c r="P259" i="19"/>
  <c r="P260" i="19"/>
  <c r="P261" i="19"/>
  <c r="P262" i="19"/>
  <c r="P263" i="19"/>
  <c r="P264" i="19"/>
  <c r="P265" i="19"/>
  <c r="P266" i="19"/>
  <c r="P267" i="19"/>
  <c r="P268" i="19"/>
  <c r="P269" i="19"/>
  <c r="P270" i="19"/>
  <c r="P271" i="19"/>
  <c r="P272" i="19"/>
  <c r="P273" i="19"/>
  <c r="P274" i="19"/>
  <c r="P275" i="19"/>
  <c r="P276" i="19"/>
  <c r="P277" i="19"/>
  <c r="P278" i="19"/>
  <c r="P279" i="19"/>
  <c r="P280" i="19"/>
  <c r="P281" i="19"/>
  <c r="P282" i="19"/>
  <c r="P283" i="19"/>
  <c r="P284" i="19"/>
  <c r="P285" i="19"/>
  <c r="P286" i="19"/>
  <c r="P287" i="19"/>
  <c r="P288" i="19"/>
  <c r="P289" i="19"/>
  <c r="P290" i="19"/>
  <c r="P291" i="19"/>
  <c r="P292" i="19"/>
  <c r="P293" i="19"/>
  <c r="P294" i="19"/>
  <c r="P295" i="19"/>
  <c r="P296" i="19"/>
  <c r="P297" i="19"/>
  <c r="P298" i="19"/>
  <c r="P299" i="19"/>
  <c r="P300" i="19"/>
  <c r="P301" i="19"/>
  <c r="P302" i="19"/>
  <c r="P303" i="19"/>
  <c r="P304" i="19"/>
  <c r="P305" i="19"/>
  <c r="P306" i="19"/>
  <c r="P307" i="19"/>
  <c r="P308" i="19"/>
  <c r="P309" i="19"/>
  <c r="P310" i="19"/>
  <c r="P311" i="19"/>
  <c r="P312" i="19"/>
  <c r="P313" i="19"/>
  <c r="P314" i="19"/>
  <c r="P315" i="19"/>
  <c r="P316" i="19"/>
  <c r="P317" i="19"/>
  <c r="P318" i="19"/>
  <c r="P319" i="19"/>
  <c r="P320" i="19"/>
  <c r="P321" i="19"/>
  <c r="P322" i="19"/>
  <c r="P323" i="19"/>
  <c r="P324" i="19"/>
  <c r="P325" i="19"/>
  <c r="P326" i="19"/>
  <c r="P327" i="19"/>
  <c r="P328" i="19"/>
  <c r="P329" i="19"/>
  <c r="P330" i="19"/>
  <c r="P331" i="19"/>
  <c r="P332" i="19"/>
  <c r="P333" i="19"/>
  <c r="P334" i="19"/>
  <c r="P335" i="19"/>
  <c r="P336" i="19"/>
  <c r="P337" i="19"/>
  <c r="P338" i="19"/>
  <c r="P339" i="19"/>
  <c r="P340" i="19"/>
  <c r="P341" i="19"/>
  <c r="P342" i="19"/>
  <c r="P343" i="19"/>
  <c r="P344" i="19"/>
  <c r="P345" i="19"/>
  <c r="P346" i="19"/>
  <c r="P347" i="19"/>
  <c r="P348" i="19"/>
  <c r="P349" i="19"/>
  <c r="P350" i="19"/>
  <c r="P351" i="19"/>
  <c r="P352" i="19"/>
  <c r="P353" i="19"/>
  <c r="P354" i="19"/>
  <c r="P355" i="19"/>
  <c r="P356" i="19"/>
  <c r="P357" i="19"/>
  <c r="P358" i="19"/>
  <c r="P359" i="19"/>
  <c r="P360" i="19"/>
  <c r="P361" i="19"/>
  <c r="P362" i="19"/>
  <c r="P363" i="19"/>
  <c r="P364" i="19"/>
  <c r="P365" i="19"/>
  <c r="P366" i="19"/>
  <c r="P367" i="19"/>
  <c r="P368" i="19"/>
  <c r="P369" i="19"/>
  <c r="P370" i="19"/>
  <c r="P371" i="19"/>
  <c r="P372" i="19"/>
  <c r="P373" i="19"/>
  <c r="P374" i="19"/>
  <c r="P375" i="19"/>
  <c r="P376" i="19"/>
  <c r="P377" i="19"/>
  <c r="P378" i="19"/>
  <c r="P379" i="19"/>
  <c r="P380" i="19"/>
  <c r="P381" i="19"/>
  <c r="P382" i="19"/>
  <c r="P383" i="19"/>
  <c r="P384" i="19"/>
  <c r="P385" i="19"/>
  <c r="P386" i="19"/>
  <c r="P387" i="19"/>
  <c r="P388" i="19"/>
  <c r="P389" i="19"/>
  <c r="P390" i="19"/>
  <c r="P391" i="19"/>
  <c r="P392" i="19"/>
  <c r="P393" i="19"/>
  <c r="P394" i="19"/>
  <c r="P395" i="19"/>
  <c r="P396" i="19"/>
  <c r="P397" i="19"/>
  <c r="P398" i="19"/>
  <c r="P399" i="19"/>
  <c r="P400" i="19"/>
  <c r="P401" i="19"/>
  <c r="P402" i="19"/>
  <c r="P403" i="19"/>
  <c r="P404" i="19"/>
  <c r="P405" i="19"/>
  <c r="P406" i="19"/>
  <c r="P407" i="19"/>
  <c r="P408" i="19"/>
  <c r="P409" i="19"/>
  <c r="P410" i="19"/>
  <c r="P411" i="19"/>
  <c r="P412" i="19"/>
  <c r="P413" i="19"/>
  <c r="P414" i="19"/>
  <c r="P415" i="19"/>
  <c r="P416" i="19"/>
  <c r="P417" i="19"/>
  <c r="P418" i="19"/>
  <c r="P419" i="19"/>
  <c r="P420" i="19"/>
  <c r="P421" i="19"/>
  <c r="P422" i="19"/>
  <c r="P423" i="19"/>
  <c r="P424" i="19"/>
  <c r="P425" i="19"/>
  <c r="P426" i="19"/>
  <c r="P427" i="19"/>
  <c r="P428" i="19"/>
  <c r="P429" i="19"/>
  <c r="P430" i="19"/>
  <c r="P431" i="19"/>
  <c r="P432" i="19"/>
  <c r="P433" i="19"/>
  <c r="P434" i="19"/>
  <c r="P435" i="19"/>
  <c r="P436" i="19"/>
  <c r="P437" i="19"/>
  <c r="P438" i="19"/>
  <c r="P439" i="19"/>
  <c r="P440" i="19"/>
  <c r="P441" i="19"/>
  <c r="P442" i="19"/>
  <c r="P443" i="19"/>
  <c r="P444" i="19"/>
  <c r="P445" i="19"/>
  <c r="P446" i="19"/>
  <c r="P447" i="19"/>
  <c r="P448" i="19"/>
  <c r="P449" i="19"/>
  <c r="P450" i="19"/>
  <c r="P451" i="19"/>
  <c r="P452" i="19"/>
  <c r="P453" i="19"/>
  <c r="P454" i="19"/>
  <c r="P455" i="19"/>
  <c r="P456" i="19"/>
  <c r="P457" i="19"/>
  <c r="P458" i="19"/>
  <c r="P459" i="19"/>
  <c r="P460" i="19"/>
  <c r="P461" i="19"/>
  <c r="P462" i="19"/>
  <c r="P463" i="19"/>
  <c r="P464" i="19"/>
  <c r="P465" i="19"/>
  <c r="P466" i="19"/>
  <c r="P467" i="19"/>
  <c r="P468" i="19"/>
  <c r="P469" i="19"/>
  <c r="P470" i="19"/>
  <c r="P471" i="19"/>
  <c r="P472" i="19"/>
  <c r="P473" i="19"/>
  <c r="P474" i="19"/>
  <c r="P475" i="19"/>
  <c r="P476" i="19"/>
  <c r="P477" i="19"/>
  <c r="P478" i="19"/>
  <c r="P479" i="19"/>
  <c r="P480" i="19"/>
  <c r="P481" i="19"/>
  <c r="P482" i="19"/>
  <c r="P483" i="19"/>
  <c r="P484" i="19"/>
  <c r="P485" i="19"/>
  <c r="P486" i="19"/>
  <c r="P487" i="19"/>
  <c r="P488" i="19"/>
  <c r="P489" i="19"/>
  <c r="P490" i="19"/>
  <c r="P491" i="19"/>
  <c r="P492" i="19"/>
  <c r="P493" i="19"/>
  <c r="P494" i="19"/>
  <c r="P495" i="19"/>
  <c r="P496" i="19"/>
  <c r="P497" i="19"/>
  <c r="P498" i="19"/>
  <c r="P499" i="19"/>
  <c r="P500" i="19"/>
  <c r="P501" i="19"/>
  <c r="P502" i="19"/>
  <c r="P503" i="19"/>
  <c r="P504" i="19"/>
  <c r="P505" i="19"/>
  <c r="P506" i="19"/>
  <c r="P507" i="19"/>
  <c r="P508" i="19"/>
  <c r="P509" i="19"/>
  <c r="P510" i="19"/>
  <c r="P511" i="19"/>
  <c r="P512" i="19"/>
  <c r="P513" i="19"/>
  <c r="P514" i="19"/>
  <c r="P515" i="19"/>
  <c r="P516" i="19"/>
  <c r="P517" i="19"/>
  <c r="P518" i="19"/>
  <c r="P519" i="19"/>
  <c r="P520" i="19"/>
  <c r="P521" i="19"/>
  <c r="P522" i="19"/>
  <c r="P523" i="19"/>
  <c r="P524" i="19"/>
  <c r="P525" i="19"/>
  <c r="P526" i="19"/>
  <c r="P527" i="19"/>
  <c r="P528" i="19"/>
  <c r="P529" i="19"/>
  <c r="P530" i="19"/>
  <c r="P531" i="19"/>
  <c r="P532" i="19"/>
  <c r="P533" i="19"/>
  <c r="P534" i="19"/>
  <c r="P535" i="19"/>
  <c r="P536" i="19"/>
  <c r="P537" i="19"/>
  <c r="P538" i="19"/>
  <c r="P539" i="19"/>
  <c r="P540" i="19"/>
  <c r="P541" i="19"/>
  <c r="P542" i="19"/>
  <c r="P543" i="19"/>
  <c r="P544" i="19"/>
  <c r="P545" i="19"/>
  <c r="P546" i="19"/>
  <c r="P547" i="19"/>
  <c r="P548" i="19"/>
  <c r="P549" i="19"/>
  <c r="P550" i="19"/>
  <c r="P551" i="19"/>
  <c r="P552" i="19"/>
  <c r="P553" i="19"/>
  <c r="P554" i="19"/>
  <c r="P555" i="19"/>
  <c r="P556" i="19"/>
  <c r="P557" i="19"/>
  <c r="P558" i="19"/>
  <c r="P559" i="19"/>
  <c r="P560" i="19"/>
  <c r="P561" i="19"/>
  <c r="P562" i="19"/>
  <c r="P563" i="19"/>
  <c r="P564" i="19"/>
  <c r="P565" i="19"/>
  <c r="P566" i="19"/>
  <c r="P567" i="19"/>
  <c r="P568" i="19"/>
  <c r="P569" i="19"/>
  <c r="P570" i="19"/>
  <c r="P571" i="19"/>
  <c r="P572" i="19"/>
  <c r="P573" i="19"/>
  <c r="P574" i="19"/>
  <c r="P575" i="19"/>
  <c r="P576" i="19"/>
  <c r="P577" i="19"/>
  <c r="P578" i="19"/>
  <c r="P579" i="19"/>
  <c r="P580" i="19"/>
  <c r="P581" i="19"/>
  <c r="P582" i="19"/>
  <c r="P583" i="19"/>
  <c r="P584" i="19"/>
  <c r="P585" i="19"/>
  <c r="P586" i="19"/>
  <c r="P587" i="19"/>
  <c r="P588" i="19"/>
  <c r="P589" i="19"/>
  <c r="P590" i="19"/>
  <c r="P591" i="19"/>
  <c r="P592" i="19"/>
  <c r="P593" i="19"/>
  <c r="P594" i="19"/>
  <c r="P595" i="19"/>
  <c r="P596" i="19"/>
  <c r="P597" i="19"/>
  <c r="P598" i="19"/>
  <c r="P599" i="19"/>
  <c r="P600" i="19"/>
  <c r="P601" i="19"/>
  <c r="P602" i="19"/>
  <c r="P603" i="19"/>
  <c r="P604" i="19"/>
  <c r="P605" i="19"/>
  <c r="P606" i="19"/>
  <c r="P607" i="19"/>
  <c r="P608" i="19"/>
  <c r="P609" i="19"/>
  <c r="P610" i="19"/>
  <c r="P611" i="19"/>
  <c r="P612" i="19"/>
  <c r="P613" i="19"/>
  <c r="P614" i="19"/>
  <c r="P615" i="19"/>
  <c r="P616" i="19"/>
  <c r="P617" i="19"/>
  <c r="P618" i="19"/>
  <c r="P619" i="19"/>
  <c r="P620" i="19"/>
  <c r="P621" i="19"/>
  <c r="P622" i="19"/>
  <c r="P623" i="19"/>
  <c r="P624" i="19"/>
  <c r="P625" i="19"/>
  <c r="P626" i="19"/>
  <c r="P627" i="19"/>
  <c r="P628" i="19"/>
  <c r="P629" i="19"/>
  <c r="P630" i="19"/>
  <c r="P631" i="19"/>
  <c r="P632" i="19"/>
  <c r="P633" i="19"/>
  <c r="P634" i="19"/>
  <c r="P635" i="19"/>
  <c r="P636" i="19"/>
  <c r="P637" i="19"/>
  <c r="P638" i="19"/>
  <c r="P639" i="19"/>
  <c r="P640" i="19"/>
  <c r="P641" i="19"/>
  <c r="P642" i="19"/>
  <c r="P643" i="19"/>
  <c r="P644" i="19"/>
  <c r="P645" i="19"/>
  <c r="P646" i="19"/>
  <c r="P647" i="19"/>
  <c r="P648" i="19"/>
  <c r="P649" i="19"/>
  <c r="P650" i="19"/>
  <c r="P651" i="19"/>
  <c r="P652" i="19"/>
  <c r="P653" i="19"/>
  <c r="P654" i="19"/>
  <c r="P655" i="19"/>
  <c r="P656" i="19"/>
  <c r="P657" i="19"/>
  <c r="P658" i="19"/>
  <c r="P659" i="19"/>
  <c r="P660" i="19"/>
  <c r="P661" i="19"/>
  <c r="P662" i="19"/>
  <c r="P663" i="19"/>
  <c r="P664" i="19"/>
  <c r="P665" i="19"/>
  <c r="P666" i="19"/>
  <c r="P667" i="19"/>
  <c r="P668" i="19"/>
  <c r="P669" i="19"/>
  <c r="P670" i="19"/>
  <c r="P671" i="19"/>
  <c r="P672" i="19"/>
  <c r="P673" i="19"/>
  <c r="P674" i="19"/>
  <c r="P675" i="19"/>
  <c r="P676" i="19"/>
  <c r="P677" i="19"/>
  <c r="P678" i="19"/>
  <c r="P679" i="19"/>
  <c r="P680" i="19"/>
  <c r="P681" i="19"/>
  <c r="P682" i="19"/>
  <c r="P683" i="19"/>
  <c r="P684" i="19"/>
  <c r="P685" i="19"/>
  <c r="P686" i="19"/>
  <c r="P687" i="19"/>
  <c r="P688" i="19"/>
  <c r="P689" i="19"/>
  <c r="P690" i="19"/>
  <c r="P691" i="19"/>
  <c r="P692" i="19"/>
  <c r="P693" i="19"/>
  <c r="P694" i="19"/>
  <c r="P695" i="19"/>
  <c r="P696" i="19"/>
  <c r="P697" i="19"/>
  <c r="P698" i="19"/>
  <c r="P699" i="19"/>
  <c r="P700" i="19"/>
  <c r="P701" i="19"/>
  <c r="P702" i="19"/>
  <c r="P703" i="19"/>
  <c r="P704" i="19"/>
  <c r="P705" i="19"/>
  <c r="P706" i="19"/>
  <c r="P707" i="19"/>
  <c r="P708" i="19"/>
  <c r="P709" i="19"/>
  <c r="P710" i="19"/>
  <c r="P711" i="19"/>
  <c r="P712" i="19"/>
  <c r="P713" i="19"/>
  <c r="P714" i="19"/>
  <c r="P715" i="19"/>
  <c r="P716" i="19"/>
  <c r="P717" i="19"/>
  <c r="P718" i="19"/>
  <c r="P719" i="19"/>
  <c r="P720" i="19"/>
  <c r="P721" i="19"/>
  <c r="P722" i="19"/>
  <c r="P723" i="19"/>
  <c r="P724" i="19"/>
  <c r="P725" i="19"/>
  <c r="P726" i="19"/>
  <c r="P727" i="19"/>
  <c r="P728" i="19"/>
  <c r="P729" i="19"/>
  <c r="P730" i="19"/>
  <c r="P731" i="19"/>
  <c r="P732" i="19"/>
  <c r="P733" i="19"/>
  <c r="P734" i="19"/>
  <c r="P735" i="19"/>
  <c r="P736" i="19"/>
  <c r="P737" i="19"/>
  <c r="P738" i="19"/>
  <c r="P739" i="19"/>
  <c r="P740" i="19"/>
  <c r="P741" i="19"/>
  <c r="P742" i="19"/>
  <c r="P743" i="19"/>
  <c r="P744" i="19"/>
  <c r="P745" i="19"/>
  <c r="P746" i="19"/>
  <c r="P747" i="19"/>
  <c r="P748" i="19"/>
  <c r="P749" i="19"/>
  <c r="P750" i="19"/>
  <c r="P751" i="19"/>
  <c r="P752" i="19"/>
  <c r="P753" i="19"/>
  <c r="P754" i="19"/>
  <c r="P755" i="19"/>
  <c r="P756" i="19"/>
  <c r="P757" i="19"/>
  <c r="P758" i="19"/>
  <c r="P759" i="19"/>
  <c r="P760" i="19"/>
  <c r="P761" i="19"/>
  <c r="P762" i="19"/>
  <c r="P763" i="19"/>
  <c r="P764" i="19"/>
  <c r="P765" i="19"/>
  <c r="P766" i="19"/>
  <c r="P767" i="19"/>
  <c r="P768" i="19"/>
  <c r="P769" i="19"/>
  <c r="P770" i="19"/>
  <c r="P771" i="19"/>
  <c r="P772" i="19"/>
  <c r="P773" i="19"/>
  <c r="P774" i="19"/>
  <c r="P775" i="19"/>
  <c r="P776" i="19"/>
  <c r="P777" i="19"/>
  <c r="P778" i="19"/>
  <c r="P779" i="19"/>
  <c r="P780" i="19"/>
  <c r="P781" i="19"/>
  <c r="P782" i="19"/>
  <c r="P783" i="19"/>
  <c r="P784" i="19"/>
  <c r="P785" i="19"/>
  <c r="P786" i="19"/>
  <c r="P787" i="19"/>
  <c r="P788" i="19"/>
  <c r="P789" i="19"/>
  <c r="P790" i="19"/>
  <c r="P791" i="19"/>
  <c r="P792" i="19"/>
  <c r="P793" i="19"/>
  <c r="P794" i="19"/>
  <c r="P795" i="19"/>
  <c r="P796" i="19"/>
  <c r="P797" i="19"/>
  <c r="P798" i="19"/>
  <c r="P799" i="19"/>
  <c r="P800" i="19"/>
  <c r="P801" i="19"/>
  <c r="P802" i="19"/>
  <c r="P803" i="19"/>
  <c r="P804" i="19"/>
  <c r="P805" i="19"/>
  <c r="P806" i="19"/>
  <c r="P807" i="19"/>
  <c r="P808" i="19"/>
  <c r="P809" i="19"/>
  <c r="P810" i="19"/>
  <c r="P811" i="19"/>
  <c r="P812" i="19"/>
  <c r="P813" i="19"/>
  <c r="P814" i="19"/>
  <c r="P815" i="19"/>
  <c r="P816" i="19"/>
  <c r="P817" i="19"/>
  <c r="P818" i="19"/>
  <c r="P819" i="19"/>
  <c r="P820" i="19"/>
  <c r="P821" i="19"/>
  <c r="P822" i="19"/>
  <c r="P823" i="19"/>
  <c r="P824" i="19"/>
  <c r="P825" i="19"/>
  <c r="P826" i="19"/>
  <c r="P827" i="19"/>
  <c r="P828" i="19"/>
  <c r="P829" i="19"/>
  <c r="P830" i="19"/>
  <c r="P831" i="19"/>
  <c r="P832" i="19"/>
  <c r="P833" i="19"/>
  <c r="P834" i="19"/>
  <c r="P835" i="19"/>
  <c r="P836" i="19"/>
  <c r="P837" i="19"/>
  <c r="P838" i="19"/>
  <c r="P839" i="19"/>
  <c r="P840" i="19"/>
  <c r="P841" i="19"/>
  <c r="P842" i="19"/>
  <c r="P843" i="19"/>
  <c r="P844" i="19"/>
  <c r="P845" i="19"/>
  <c r="P846" i="19"/>
  <c r="P847" i="19"/>
  <c r="P848" i="19"/>
  <c r="P849" i="19"/>
  <c r="P850" i="19"/>
  <c r="P851" i="19"/>
  <c r="P852" i="19"/>
  <c r="P853" i="19"/>
  <c r="P854" i="19"/>
  <c r="P855" i="19"/>
  <c r="P856" i="19"/>
  <c r="P857" i="19"/>
  <c r="P858" i="19"/>
  <c r="P859" i="19"/>
  <c r="P860" i="19"/>
  <c r="P861" i="19"/>
  <c r="P862" i="19"/>
  <c r="P863" i="19"/>
  <c r="P864" i="19"/>
  <c r="P865" i="19"/>
  <c r="P866" i="19"/>
  <c r="P867" i="19"/>
  <c r="P868" i="19"/>
  <c r="P869" i="19"/>
  <c r="P870" i="19"/>
  <c r="P871" i="19"/>
  <c r="P872" i="19"/>
  <c r="P873" i="19"/>
  <c r="P874" i="19"/>
  <c r="P875" i="19"/>
  <c r="P876" i="19"/>
  <c r="P877" i="19"/>
  <c r="P878" i="19"/>
  <c r="P879" i="19"/>
  <c r="P880" i="19"/>
  <c r="P881" i="19"/>
  <c r="P882" i="19"/>
  <c r="P883" i="19"/>
  <c r="P884" i="19"/>
  <c r="P885" i="19"/>
  <c r="P886" i="19"/>
  <c r="P887" i="19"/>
  <c r="P888" i="19"/>
  <c r="P889" i="19"/>
  <c r="P890" i="19"/>
  <c r="P891" i="19"/>
  <c r="P892" i="19"/>
  <c r="P893" i="19"/>
  <c r="P894" i="19"/>
  <c r="P895" i="19"/>
  <c r="P896" i="19"/>
  <c r="P897" i="19"/>
  <c r="P898" i="19"/>
  <c r="P899" i="19"/>
  <c r="P900" i="19"/>
  <c r="P901" i="19"/>
  <c r="P902" i="19"/>
  <c r="P903" i="19"/>
  <c r="P904" i="19"/>
  <c r="P905" i="19"/>
  <c r="P906" i="19"/>
  <c r="P907" i="19"/>
  <c r="P908" i="19"/>
  <c r="P909" i="19"/>
  <c r="P910" i="19"/>
  <c r="P911" i="19"/>
  <c r="P912" i="19"/>
  <c r="P913" i="19"/>
  <c r="P914" i="19"/>
  <c r="P915" i="19"/>
  <c r="P916" i="19"/>
  <c r="P917" i="19"/>
  <c r="P918" i="19"/>
  <c r="P919" i="19"/>
  <c r="P920" i="19"/>
  <c r="P921" i="19"/>
  <c r="P922" i="19"/>
  <c r="P923" i="19"/>
  <c r="P924" i="19"/>
  <c r="P925" i="19"/>
  <c r="P926" i="19"/>
  <c r="P927" i="19"/>
  <c r="P928" i="19"/>
  <c r="P929" i="19"/>
  <c r="P930" i="19"/>
  <c r="P931" i="19"/>
  <c r="P932" i="19"/>
  <c r="P933" i="19"/>
  <c r="P934" i="19"/>
  <c r="P935" i="19"/>
  <c r="P936" i="19"/>
  <c r="P937" i="19"/>
  <c r="P938" i="19"/>
  <c r="P939" i="19"/>
  <c r="P940" i="19"/>
  <c r="P941" i="19"/>
  <c r="P942" i="19"/>
  <c r="P943" i="19"/>
  <c r="P944" i="19"/>
  <c r="P945" i="19"/>
  <c r="P946" i="19"/>
  <c r="P947" i="19"/>
  <c r="P948" i="19"/>
  <c r="P949" i="19"/>
  <c r="P950" i="19"/>
  <c r="P951" i="19"/>
  <c r="P952" i="19"/>
  <c r="P953" i="19"/>
  <c r="P954" i="19"/>
  <c r="P955" i="19"/>
  <c r="P956" i="19"/>
  <c r="P957" i="19"/>
  <c r="P958" i="19"/>
  <c r="P959" i="19"/>
  <c r="P960" i="19"/>
  <c r="P961" i="19"/>
  <c r="P962" i="19"/>
  <c r="P963" i="19"/>
  <c r="P964" i="19"/>
  <c r="P965" i="19"/>
  <c r="P966" i="19"/>
  <c r="P967" i="19"/>
  <c r="P968" i="19"/>
  <c r="P969" i="19"/>
  <c r="P970" i="19"/>
  <c r="P971" i="19"/>
  <c r="P972" i="19"/>
  <c r="P973" i="19"/>
  <c r="P974" i="19"/>
  <c r="P975" i="19"/>
  <c r="P976" i="19"/>
  <c r="P977" i="19"/>
  <c r="P978" i="19"/>
  <c r="P979" i="19"/>
  <c r="P980" i="19"/>
  <c r="P981" i="19"/>
  <c r="P982" i="19"/>
  <c r="P983" i="19"/>
  <c r="P984" i="19"/>
  <c r="P985" i="19"/>
  <c r="P986" i="19"/>
  <c r="P987" i="19"/>
  <c r="P988" i="19"/>
  <c r="P989" i="19"/>
  <c r="P990" i="19"/>
  <c r="P991" i="19"/>
  <c r="P992" i="19"/>
  <c r="P993" i="19"/>
  <c r="P994" i="19"/>
  <c r="P995" i="19"/>
  <c r="P996" i="19"/>
  <c r="P997" i="19"/>
  <c r="P998" i="19"/>
  <c r="P999" i="19"/>
  <c r="P1000" i="19"/>
  <c r="P1001" i="19"/>
  <c r="P1002" i="19"/>
  <c r="P1003" i="19"/>
  <c r="P1004" i="19"/>
  <c r="P1005" i="19"/>
  <c r="P1006" i="19"/>
  <c r="P1007" i="19"/>
  <c r="P1008" i="19"/>
  <c r="P1009" i="19"/>
  <c r="P1010" i="19"/>
  <c r="P1011" i="19"/>
  <c r="P1012" i="19"/>
  <c r="P1013" i="19"/>
  <c r="P1014" i="19"/>
  <c r="P1015" i="19"/>
  <c r="P1016" i="19"/>
  <c r="P1017" i="19"/>
  <c r="P1018" i="19"/>
  <c r="P1019" i="19"/>
  <c r="P1020" i="19"/>
  <c r="P1021" i="19"/>
  <c r="P1022" i="19"/>
  <c r="P1023" i="19"/>
  <c r="P1024" i="19"/>
  <c r="P1025" i="19"/>
  <c r="P1026" i="19"/>
  <c r="P1027" i="19"/>
  <c r="P1028" i="19"/>
  <c r="P1029" i="19"/>
  <c r="P1030" i="19"/>
  <c r="P1031" i="19"/>
  <c r="P1032" i="19"/>
  <c r="P1033" i="19"/>
  <c r="P1034" i="19"/>
  <c r="P1035" i="19"/>
  <c r="P1036" i="19"/>
  <c r="P1037" i="19"/>
  <c r="P1038" i="19"/>
  <c r="P1039" i="19"/>
  <c r="P1040" i="19"/>
  <c r="P1041" i="19"/>
  <c r="P1042" i="19"/>
  <c r="P1043" i="19"/>
  <c r="P1044" i="19"/>
  <c r="P1045" i="19"/>
  <c r="P1046" i="19"/>
  <c r="P1047" i="19"/>
  <c r="P1048" i="19"/>
  <c r="P1049" i="19"/>
  <c r="P1050" i="19"/>
  <c r="P1051" i="19"/>
  <c r="P1052" i="19"/>
  <c r="P1053" i="19"/>
  <c r="P1054" i="19"/>
  <c r="P1055" i="19"/>
  <c r="P1056" i="19"/>
  <c r="P1057" i="19"/>
  <c r="P1058" i="19"/>
  <c r="P1059" i="19"/>
  <c r="P1060" i="19"/>
  <c r="P1061" i="19"/>
  <c r="P1062" i="19"/>
  <c r="P1063" i="19"/>
  <c r="P1064" i="19"/>
  <c r="P1065" i="19"/>
  <c r="P1066" i="19"/>
  <c r="P1067" i="19"/>
  <c r="P1068" i="19"/>
  <c r="P1069" i="19"/>
  <c r="P1070" i="19"/>
  <c r="P1071" i="19"/>
  <c r="P1072" i="19"/>
  <c r="P1073" i="19"/>
  <c r="P1074" i="19"/>
  <c r="P1075" i="19"/>
  <c r="P1076" i="19"/>
  <c r="P1077" i="19"/>
  <c r="P1078" i="19"/>
  <c r="P1079" i="19"/>
  <c r="P1080" i="19"/>
  <c r="P1081" i="19"/>
  <c r="P1082" i="19"/>
  <c r="P1083" i="19"/>
  <c r="P1084" i="19"/>
  <c r="P1085" i="19"/>
  <c r="P1086" i="19"/>
  <c r="P1087" i="19"/>
  <c r="P1088" i="19"/>
  <c r="P1089" i="19"/>
  <c r="P1090" i="19"/>
  <c r="P1091" i="19"/>
  <c r="P1092" i="19"/>
  <c r="P1093" i="19"/>
  <c r="P1094" i="19"/>
  <c r="P1095" i="19"/>
  <c r="P1096" i="19"/>
  <c r="P1097" i="19"/>
  <c r="P1098" i="19"/>
  <c r="P1099" i="19"/>
  <c r="P1100" i="19"/>
  <c r="P1101" i="19"/>
  <c r="P1102" i="19"/>
  <c r="P1103" i="19"/>
  <c r="P1104" i="19"/>
  <c r="P1105" i="19"/>
  <c r="P1106" i="19"/>
  <c r="P1107" i="19"/>
  <c r="P1108" i="19"/>
  <c r="P1109" i="19"/>
  <c r="P1110" i="19"/>
  <c r="P1111" i="19"/>
  <c r="P1112" i="19"/>
  <c r="P1113" i="19"/>
  <c r="P1114" i="19"/>
  <c r="P1115" i="19"/>
  <c r="P1116" i="19"/>
  <c r="P1117" i="19"/>
  <c r="P1118" i="19"/>
  <c r="P1119" i="19"/>
  <c r="P1120" i="19"/>
  <c r="P1121" i="19"/>
  <c r="P1122" i="19"/>
  <c r="P1123" i="19"/>
  <c r="P1124" i="19"/>
  <c r="P1125" i="19"/>
  <c r="P1126" i="19"/>
  <c r="P1127" i="19"/>
  <c r="P1128" i="19"/>
  <c r="P1129" i="19"/>
  <c r="P1130" i="19"/>
  <c r="P1131" i="19"/>
  <c r="P1132" i="19"/>
  <c r="P1133" i="19"/>
  <c r="P1134" i="19"/>
  <c r="P1135" i="19"/>
  <c r="P1136" i="19"/>
  <c r="P1137" i="19"/>
  <c r="P1138" i="19"/>
  <c r="P1139" i="19"/>
  <c r="P1140" i="19"/>
  <c r="P1141" i="19"/>
  <c r="P1142" i="19"/>
  <c r="P1143" i="19"/>
  <c r="P1144" i="19"/>
  <c r="P1145" i="19"/>
  <c r="P1146" i="19"/>
  <c r="P1147" i="19"/>
  <c r="P1148" i="19"/>
  <c r="P1149" i="19"/>
  <c r="P1150" i="19"/>
  <c r="P1151" i="19"/>
  <c r="P1152" i="19"/>
  <c r="P1153" i="19"/>
  <c r="P1154" i="19"/>
  <c r="P1155" i="19"/>
  <c r="P1156" i="19"/>
  <c r="P1157" i="19"/>
  <c r="P1158" i="19"/>
  <c r="P1159" i="19"/>
  <c r="P1160" i="19"/>
  <c r="P1161" i="19"/>
  <c r="P1162" i="19"/>
  <c r="P1163" i="19"/>
  <c r="P1164" i="19"/>
  <c r="P1165" i="19"/>
  <c r="P1166" i="19"/>
  <c r="P1167" i="19"/>
  <c r="P1168" i="19"/>
  <c r="P1169" i="19"/>
  <c r="P1170" i="19"/>
  <c r="P1171" i="19"/>
  <c r="P1172" i="19"/>
  <c r="P1173" i="19"/>
  <c r="P1174" i="19"/>
  <c r="P1175" i="19"/>
  <c r="P1176" i="19"/>
  <c r="P1177" i="19"/>
  <c r="P1178" i="19"/>
  <c r="P1179" i="19"/>
  <c r="P1180" i="19"/>
  <c r="P1181" i="19"/>
  <c r="P1182" i="19"/>
  <c r="P1183" i="19"/>
  <c r="P1184" i="19"/>
  <c r="P1185" i="19"/>
  <c r="P1186" i="19"/>
  <c r="P1187" i="19"/>
  <c r="P1188" i="19"/>
  <c r="P1189" i="19"/>
  <c r="P1190" i="19"/>
  <c r="P1191" i="19"/>
  <c r="P1192" i="19"/>
  <c r="P1193" i="19"/>
  <c r="P1194" i="19"/>
  <c r="P1195" i="19"/>
  <c r="P1196" i="19"/>
  <c r="P1197" i="19"/>
  <c r="P1198" i="19"/>
  <c r="P1199" i="19"/>
  <c r="P1200" i="19"/>
  <c r="P1201" i="19"/>
  <c r="P1202" i="19"/>
  <c r="P1203" i="19"/>
  <c r="P1204" i="19"/>
  <c r="P1205" i="19"/>
  <c r="P1206" i="19"/>
  <c r="P1207" i="19"/>
  <c r="P1208" i="19"/>
  <c r="P1209" i="19"/>
  <c r="P1210" i="19"/>
  <c r="P1211" i="19"/>
  <c r="P1212" i="19"/>
  <c r="P1213" i="19"/>
  <c r="P1214" i="19"/>
  <c r="P1215" i="19"/>
  <c r="P1216" i="19"/>
  <c r="P1217" i="19"/>
  <c r="P1218" i="19"/>
  <c r="P1219" i="19"/>
  <c r="P1220" i="19"/>
  <c r="P1221" i="19"/>
  <c r="P1222" i="19"/>
  <c r="P1223" i="19"/>
  <c r="P1224" i="19"/>
  <c r="P1225" i="19"/>
  <c r="P1226" i="19"/>
  <c r="P1227" i="19"/>
  <c r="P1228" i="19"/>
  <c r="P1229" i="19"/>
  <c r="P1230" i="19"/>
  <c r="P1231" i="19"/>
  <c r="P1232" i="19"/>
  <c r="P1233" i="19"/>
  <c r="P1234" i="19"/>
  <c r="P1235" i="19"/>
  <c r="P1236" i="19"/>
  <c r="P1237" i="19"/>
  <c r="P1238" i="19"/>
  <c r="P1239" i="19"/>
  <c r="P1240" i="19"/>
  <c r="P1241" i="19"/>
  <c r="P1242" i="19"/>
  <c r="P1243" i="19"/>
  <c r="P1244" i="19"/>
  <c r="P1245" i="19"/>
  <c r="P1246" i="19"/>
  <c r="P1247" i="19"/>
  <c r="P1248" i="19"/>
  <c r="P1249" i="19"/>
  <c r="P1250" i="19"/>
  <c r="P1251" i="19"/>
  <c r="P1252" i="19"/>
  <c r="P1253" i="19"/>
  <c r="P1254" i="19"/>
  <c r="P1255" i="19"/>
  <c r="P1256" i="19"/>
  <c r="P1257" i="19"/>
  <c r="P1258" i="19"/>
  <c r="P1259" i="19"/>
  <c r="P1260" i="19"/>
  <c r="P1261" i="19"/>
  <c r="P1262" i="19"/>
  <c r="P1263" i="19"/>
  <c r="P1264" i="19"/>
  <c r="P1265" i="19"/>
  <c r="P1266" i="19"/>
  <c r="P1267" i="19"/>
  <c r="P1268" i="19"/>
  <c r="P1269" i="19"/>
  <c r="P1270" i="19"/>
  <c r="P1271" i="19"/>
  <c r="P1272" i="19"/>
  <c r="P1273" i="19"/>
  <c r="P1274" i="19"/>
  <c r="P1275" i="19"/>
  <c r="P1276" i="19"/>
  <c r="P1277" i="19"/>
  <c r="P1278" i="19"/>
  <c r="P1279" i="19"/>
  <c r="P1280" i="19"/>
  <c r="P1281" i="19"/>
  <c r="P1282" i="19"/>
  <c r="P1283" i="19"/>
  <c r="P1284" i="19"/>
  <c r="P1285" i="19"/>
  <c r="P1286" i="19"/>
  <c r="P1287" i="19"/>
  <c r="P1288" i="19"/>
  <c r="P1289" i="19"/>
  <c r="P1290" i="19"/>
  <c r="P1291" i="19"/>
  <c r="P1292" i="19"/>
  <c r="P1293" i="19"/>
  <c r="P1294" i="19"/>
  <c r="P1295" i="19"/>
  <c r="P1296" i="19"/>
  <c r="P1297" i="19"/>
  <c r="P1298" i="19"/>
  <c r="P1299" i="19"/>
  <c r="P1300" i="19"/>
  <c r="P1301" i="19"/>
  <c r="P1302" i="19"/>
  <c r="P1303" i="19"/>
  <c r="P1304" i="19"/>
  <c r="P1305" i="19"/>
  <c r="P1306" i="19"/>
  <c r="P1307" i="19"/>
  <c r="P1308" i="19"/>
  <c r="P1309" i="19"/>
  <c r="P1310" i="19"/>
  <c r="P1311" i="19"/>
  <c r="P1312" i="19"/>
  <c r="P1313" i="19"/>
  <c r="P1314" i="19"/>
  <c r="P1315" i="19"/>
  <c r="P1316" i="19"/>
  <c r="P1317" i="19"/>
  <c r="P1318" i="19"/>
  <c r="P1319" i="19"/>
  <c r="P1320" i="19"/>
  <c r="P1321" i="19"/>
  <c r="P1322" i="19"/>
  <c r="P1323" i="19"/>
  <c r="P1324" i="19"/>
  <c r="P1325" i="19"/>
  <c r="P1326" i="19"/>
  <c r="P1327" i="19"/>
  <c r="P1328" i="19"/>
  <c r="P1329" i="19"/>
  <c r="P1330" i="19"/>
  <c r="P1331" i="19"/>
  <c r="P1332" i="19"/>
  <c r="P1333" i="19"/>
  <c r="P1334" i="19"/>
  <c r="P1335" i="19"/>
  <c r="P1336" i="19"/>
  <c r="P1337" i="19"/>
  <c r="P1338" i="19"/>
  <c r="P1339" i="19"/>
  <c r="P1340" i="19"/>
  <c r="P1341" i="19"/>
  <c r="P1342" i="19"/>
  <c r="P1343" i="19"/>
  <c r="P1344" i="19"/>
  <c r="P1345" i="19"/>
  <c r="P1346" i="19"/>
  <c r="P1347" i="19"/>
  <c r="P1348" i="19"/>
  <c r="P1349" i="19"/>
  <c r="P1350" i="19"/>
  <c r="P1351" i="19"/>
  <c r="P1352" i="19"/>
  <c r="P1353" i="19"/>
  <c r="P1354" i="19"/>
  <c r="P1355" i="19"/>
  <c r="P1356" i="19"/>
  <c r="P1357" i="19"/>
  <c r="P1358" i="19"/>
  <c r="P1359" i="19"/>
  <c r="P1360" i="19"/>
  <c r="P1361" i="19"/>
  <c r="P1362" i="19"/>
  <c r="P1363" i="19"/>
  <c r="P1364" i="19"/>
  <c r="P1365" i="19"/>
  <c r="P1366" i="19"/>
  <c r="P1367" i="19"/>
  <c r="P1368" i="19"/>
  <c r="P1369" i="19"/>
  <c r="P1370" i="19"/>
  <c r="P1371" i="19"/>
  <c r="P1372" i="19"/>
  <c r="P1373" i="19"/>
  <c r="P1374" i="19"/>
  <c r="P1375" i="19"/>
  <c r="P1376" i="19"/>
  <c r="P1377" i="19"/>
  <c r="P1378" i="19"/>
  <c r="P1379" i="19"/>
  <c r="P1380" i="19"/>
  <c r="P1381" i="19"/>
  <c r="P1382" i="19"/>
  <c r="P1383" i="19"/>
  <c r="P1384" i="19"/>
  <c r="P1385" i="19"/>
  <c r="P1386" i="19"/>
  <c r="P1387" i="19"/>
  <c r="P1388" i="19"/>
  <c r="P1389" i="19"/>
  <c r="P1390" i="19"/>
  <c r="P1391" i="19"/>
  <c r="P1392" i="19"/>
  <c r="P1393" i="19"/>
  <c r="P1394" i="19"/>
  <c r="P1395" i="19"/>
  <c r="P1396" i="19"/>
  <c r="P1397" i="19"/>
  <c r="P1398" i="19"/>
  <c r="P1399" i="19"/>
  <c r="P1400" i="19"/>
  <c r="P1401" i="19"/>
  <c r="P1402" i="19"/>
  <c r="P1403" i="19"/>
  <c r="P1404" i="19"/>
  <c r="P1405" i="19"/>
  <c r="P1406" i="19"/>
  <c r="P1407" i="19"/>
  <c r="P1408" i="19"/>
  <c r="P1409" i="19"/>
  <c r="P1410" i="19"/>
  <c r="P1411" i="19"/>
  <c r="P1412" i="19"/>
  <c r="P1413" i="19"/>
  <c r="P1414" i="19"/>
  <c r="P1415" i="19"/>
  <c r="P1416" i="19"/>
  <c r="P1417" i="19"/>
  <c r="P1418" i="19"/>
  <c r="P1419" i="19"/>
  <c r="P1420" i="19"/>
  <c r="P1421" i="19"/>
  <c r="P1422" i="19"/>
  <c r="P1423" i="19"/>
  <c r="P1424" i="19"/>
  <c r="P1425" i="19"/>
  <c r="P1426" i="19"/>
  <c r="P1427" i="19"/>
  <c r="P1428" i="19"/>
  <c r="P1429" i="19"/>
  <c r="P1430" i="19"/>
  <c r="P1431" i="19"/>
  <c r="P1432" i="19"/>
  <c r="P1433" i="19"/>
  <c r="P1434" i="19"/>
  <c r="P1435" i="19"/>
  <c r="P1436" i="19"/>
  <c r="P1437" i="19"/>
  <c r="P1438" i="19"/>
  <c r="P1439" i="19"/>
  <c r="P1440" i="19"/>
  <c r="P1441" i="19"/>
  <c r="P1442" i="19"/>
  <c r="P1443" i="19"/>
  <c r="P1444" i="19"/>
  <c r="P1445" i="19"/>
  <c r="P1446" i="19"/>
  <c r="P1447" i="19"/>
  <c r="P1448" i="19"/>
  <c r="P1449" i="19"/>
  <c r="P1450" i="19"/>
  <c r="P1451" i="19"/>
  <c r="P1452" i="19"/>
  <c r="P1453" i="19"/>
  <c r="P1454" i="19"/>
  <c r="P1455" i="19"/>
  <c r="P1456" i="19"/>
  <c r="P1457" i="19"/>
  <c r="P1458" i="19"/>
  <c r="P1459" i="19"/>
  <c r="P1460" i="19"/>
  <c r="P1461" i="19"/>
  <c r="P1462" i="19"/>
  <c r="P1463" i="19"/>
  <c r="P1464" i="19"/>
  <c r="P1465" i="19"/>
  <c r="P1466" i="19"/>
  <c r="P1467" i="19"/>
  <c r="P1468" i="19"/>
  <c r="P1469" i="19"/>
  <c r="P1470" i="19"/>
  <c r="P1471" i="19"/>
  <c r="P1472" i="19"/>
  <c r="P1473" i="19"/>
  <c r="P1474" i="19"/>
  <c r="P1475" i="19"/>
  <c r="P1476" i="19"/>
  <c r="P1477" i="19"/>
  <c r="P1478" i="19"/>
  <c r="P1479" i="19"/>
  <c r="P1480" i="19"/>
  <c r="P1481" i="19"/>
  <c r="P1482" i="19"/>
  <c r="P1483" i="19"/>
  <c r="P1484" i="19"/>
  <c r="P1485" i="19"/>
  <c r="P1486" i="19"/>
  <c r="P1487" i="19"/>
  <c r="P1488" i="19"/>
  <c r="P1489" i="19"/>
  <c r="P1490" i="19"/>
  <c r="P1491" i="19"/>
  <c r="P1492" i="19"/>
  <c r="P1493" i="19"/>
  <c r="P1494" i="19"/>
  <c r="P1495" i="19"/>
  <c r="P1496" i="19"/>
  <c r="P1497" i="19"/>
  <c r="P1498" i="19"/>
  <c r="P1499" i="19"/>
  <c r="P1500" i="19"/>
  <c r="P1501" i="19"/>
  <c r="P1502" i="19"/>
  <c r="P1503" i="19"/>
  <c r="P1504" i="19"/>
  <c r="P1505" i="19"/>
  <c r="P1506" i="19"/>
  <c r="P1507" i="19"/>
  <c r="P1508" i="19"/>
  <c r="P1509" i="19"/>
  <c r="P1510" i="19"/>
  <c r="P1511" i="19"/>
  <c r="P1512" i="19"/>
  <c r="P1513" i="19"/>
  <c r="P1514" i="19"/>
  <c r="P1515" i="19"/>
  <c r="P1516" i="19"/>
  <c r="P1517" i="19"/>
  <c r="P1518" i="19"/>
  <c r="P1519" i="19"/>
  <c r="P1520" i="19"/>
  <c r="P1521" i="19"/>
  <c r="P1522" i="19"/>
  <c r="P1523" i="19"/>
  <c r="P1524" i="19"/>
  <c r="P1525" i="19"/>
  <c r="P1526" i="19"/>
  <c r="P1527" i="19"/>
  <c r="P1528" i="19"/>
  <c r="P1529" i="19"/>
  <c r="P1530" i="19"/>
  <c r="P1531" i="19"/>
  <c r="P1532" i="19"/>
  <c r="P1533" i="19"/>
  <c r="P1534" i="19"/>
  <c r="P1535" i="19"/>
  <c r="P1536" i="19"/>
  <c r="P1537" i="19"/>
  <c r="P1538" i="19"/>
  <c r="P1539" i="19"/>
  <c r="P1540" i="19"/>
  <c r="P1541" i="19"/>
  <c r="P1542" i="19"/>
  <c r="P1543" i="19"/>
  <c r="P1544" i="19"/>
  <c r="P1545" i="19"/>
  <c r="P1546" i="19"/>
  <c r="P1547" i="19"/>
  <c r="P1548" i="19"/>
  <c r="P1549" i="19"/>
  <c r="P1550" i="19"/>
  <c r="P1551" i="19"/>
  <c r="P1552" i="19"/>
  <c r="P1553" i="19"/>
  <c r="P1554" i="19"/>
  <c r="P1555" i="19"/>
  <c r="P1556" i="19"/>
  <c r="P1557" i="19"/>
  <c r="P1558" i="19"/>
  <c r="P1559" i="19"/>
  <c r="P1560" i="19"/>
  <c r="P1561" i="19"/>
  <c r="P1562" i="19"/>
  <c r="P1563" i="19"/>
  <c r="P1564" i="19"/>
  <c r="P1565" i="19"/>
  <c r="P1566" i="19"/>
  <c r="P1567" i="19"/>
  <c r="P1568" i="19"/>
  <c r="P1569" i="19"/>
  <c r="P1570" i="19"/>
  <c r="P1571" i="19"/>
  <c r="P1572" i="19"/>
  <c r="P1573" i="19"/>
  <c r="P1574" i="19"/>
  <c r="P1575" i="19"/>
  <c r="P1576" i="19"/>
  <c r="P1577" i="19"/>
  <c r="P1578" i="19"/>
  <c r="P1579" i="19"/>
  <c r="P1580" i="19"/>
  <c r="P1581" i="19"/>
  <c r="P1582" i="19"/>
  <c r="P1583" i="19"/>
  <c r="P1584" i="19"/>
  <c r="P1585" i="19"/>
  <c r="P1586" i="19"/>
  <c r="P1587" i="19"/>
  <c r="P1588" i="19"/>
  <c r="P1589" i="19"/>
  <c r="P1590" i="19"/>
  <c r="P1591" i="19"/>
  <c r="P1592" i="19"/>
  <c r="P1593" i="19"/>
  <c r="P1594" i="19"/>
  <c r="P1595" i="19"/>
  <c r="P1596" i="19"/>
  <c r="P1597" i="19"/>
  <c r="P1598" i="19"/>
  <c r="P1599" i="19"/>
  <c r="P1600" i="19"/>
  <c r="P1601" i="19"/>
  <c r="P1602" i="19"/>
  <c r="P1603" i="19"/>
  <c r="P1604" i="19"/>
  <c r="P1605" i="19"/>
  <c r="P1606" i="19"/>
  <c r="P1607" i="19"/>
  <c r="P1608" i="19"/>
  <c r="P1609" i="19"/>
  <c r="P1610" i="19"/>
  <c r="P1611" i="19"/>
  <c r="P1612" i="19"/>
  <c r="P1613" i="19"/>
  <c r="P1614" i="19"/>
  <c r="P1615" i="19"/>
  <c r="P1616" i="19"/>
  <c r="P1617" i="19"/>
  <c r="P1618" i="19"/>
  <c r="P1619" i="19"/>
  <c r="P1620" i="19"/>
  <c r="P1621" i="19"/>
  <c r="P1622" i="19"/>
  <c r="P1623" i="19"/>
  <c r="P1624" i="19"/>
  <c r="P1625" i="19"/>
  <c r="P1626" i="19"/>
  <c r="P1627" i="19"/>
  <c r="P1628" i="19"/>
  <c r="P1629" i="19"/>
  <c r="P1630" i="19"/>
  <c r="P1631" i="19"/>
  <c r="P1632" i="19"/>
  <c r="P1633" i="19"/>
  <c r="P1634" i="19"/>
  <c r="P1635" i="19"/>
  <c r="P1636" i="19"/>
  <c r="P1637" i="19"/>
  <c r="P1638" i="19"/>
  <c r="P1639" i="19"/>
  <c r="P1640" i="19"/>
  <c r="P1641" i="19"/>
  <c r="P1642" i="19"/>
  <c r="P1643" i="19"/>
  <c r="P1644" i="19"/>
  <c r="P1645" i="19"/>
  <c r="P1646" i="19"/>
  <c r="P1647" i="19"/>
  <c r="P1648" i="19"/>
  <c r="P1649" i="19"/>
  <c r="P1650" i="19"/>
  <c r="P1651" i="19"/>
  <c r="P1652" i="19"/>
  <c r="P1653" i="19"/>
  <c r="P1654" i="19"/>
  <c r="P1655" i="19"/>
  <c r="P1656" i="19"/>
  <c r="P1657" i="19"/>
  <c r="P1658" i="19"/>
  <c r="P1659" i="19"/>
  <c r="P1660" i="19"/>
  <c r="P1661" i="19"/>
  <c r="P1662" i="19"/>
  <c r="P1663" i="19"/>
  <c r="P1664" i="19"/>
  <c r="P1665" i="19"/>
  <c r="P1666" i="19"/>
  <c r="P1667" i="19"/>
  <c r="P1668" i="19"/>
  <c r="P1669" i="19"/>
  <c r="P1670" i="19"/>
  <c r="P1671" i="19"/>
  <c r="P1672" i="19"/>
  <c r="P1673" i="19"/>
  <c r="P1674" i="19"/>
  <c r="P1675" i="19"/>
  <c r="P1676" i="19"/>
  <c r="P1677" i="19"/>
  <c r="P1678" i="19"/>
  <c r="P1679" i="19"/>
  <c r="P1680" i="19"/>
  <c r="P1681" i="19"/>
  <c r="P1682" i="19"/>
  <c r="P1683" i="19"/>
  <c r="P1684" i="19"/>
  <c r="P1685" i="19"/>
  <c r="P1686" i="19"/>
  <c r="P1687" i="19"/>
  <c r="P1688" i="19"/>
  <c r="P1689" i="19"/>
  <c r="P1690" i="19"/>
  <c r="P1691" i="19"/>
  <c r="P1692" i="19"/>
  <c r="P1693" i="19"/>
  <c r="P1694" i="19"/>
  <c r="P1695" i="19"/>
  <c r="P1696" i="19"/>
  <c r="P1697" i="19"/>
  <c r="P1698" i="19"/>
  <c r="P1699" i="19"/>
  <c r="P1700" i="19"/>
  <c r="P1701" i="19"/>
  <c r="P1702" i="19"/>
  <c r="P1703" i="19"/>
  <c r="P1704" i="19"/>
  <c r="P1705" i="19"/>
  <c r="P1706" i="19"/>
  <c r="P1707" i="19"/>
  <c r="P1708" i="19"/>
  <c r="P1709" i="19"/>
  <c r="P1710" i="19"/>
  <c r="P1711" i="19"/>
  <c r="P1712" i="19"/>
  <c r="P1713" i="19"/>
  <c r="P1714" i="19"/>
  <c r="P1715" i="19"/>
  <c r="P1716" i="19"/>
  <c r="P1717" i="19"/>
  <c r="P1718" i="19"/>
  <c r="P1719" i="19"/>
  <c r="P1720" i="19"/>
  <c r="P1721" i="19"/>
  <c r="P1722" i="19"/>
  <c r="P1723" i="19"/>
  <c r="P1724" i="19"/>
  <c r="P1725" i="19"/>
  <c r="P1726" i="19"/>
  <c r="P1727" i="19"/>
  <c r="P1728" i="19"/>
  <c r="P1729" i="19"/>
  <c r="P1730" i="19"/>
  <c r="P1731" i="19"/>
  <c r="P1732" i="19"/>
  <c r="P1733" i="19"/>
  <c r="P1734" i="19"/>
  <c r="P1735" i="19"/>
  <c r="P1736" i="19"/>
  <c r="P1737" i="19"/>
  <c r="P1738" i="19"/>
  <c r="P1739" i="19"/>
  <c r="P1740" i="19"/>
  <c r="P1741" i="19"/>
  <c r="P1742" i="19"/>
  <c r="P1743" i="19"/>
  <c r="P1744" i="19"/>
  <c r="P1745" i="19"/>
  <c r="P1746" i="19"/>
  <c r="P1747" i="19"/>
  <c r="P1748" i="19"/>
  <c r="P1749" i="19"/>
  <c r="P1750" i="19"/>
  <c r="P1751" i="19"/>
  <c r="P1752" i="19"/>
  <c r="P1753" i="19"/>
  <c r="P1754" i="19"/>
  <c r="P1755" i="19"/>
  <c r="P1756" i="19"/>
  <c r="P1757" i="19"/>
  <c r="P1758" i="19"/>
  <c r="P1759" i="19"/>
  <c r="P1760" i="19"/>
  <c r="P1761" i="19"/>
  <c r="P1762" i="19"/>
  <c r="P1763" i="19"/>
  <c r="P1764" i="19"/>
  <c r="P1765" i="19"/>
  <c r="P1766" i="19"/>
  <c r="P1767" i="19"/>
  <c r="P1768" i="19"/>
  <c r="P1769" i="19"/>
  <c r="P1770" i="19"/>
  <c r="P1771" i="19"/>
  <c r="P1772" i="19"/>
  <c r="P1773" i="19"/>
  <c r="P1774" i="19"/>
  <c r="P1775" i="19"/>
  <c r="P1776" i="19"/>
  <c r="P1777" i="19"/>
  <c r="P1778" i="19"/>
  <c r="P1779" i="19"/>
  <c r="P1780" i="19"/>
  <c r="P1781" i="19"/>
  <c r="P1782" i="19"/>
  <c r="P1783" i="19"/>
  <c r="P1784" i="19"/>
  <c r="P1785" i="19"/>
  <c r="P1786" i="19"/>
  <c r="P1787" i="19"/>
  <c r="P1788" i="19"/>
  <c r="P1789" i="19"/>
  <c r="P1790" i="19"/>
  <c r="P1791" i="19"/>
  <c r="P1792" i="19"/>
  <c r="P1793" i="19"/>
  <c r="P1794" i="19"/>
  <c r="P1795" i="19"/>
  <c r="P1796" i="19"/>
  <c r="P1797" i="19"/>
  <c r="P1798" i="19"/>
  <c r="P1799" i="19"/>
  <c r="P1800" i="19"/>
  <c r="P1801" i="19"/>
  <c r="P1802" i="19"/>
  <c r="P1803" i="19"/>
  <c r="P1804" i="19"/>
  <c r="P1805" i="19"/>
  <c r="P1806" i="19"/>
  <c r="P1807" i="19"/>
  <c r="P1808" i="19"/>
  <c r="P1809" i="19"/>
  <c r="P1810" i="19"/>
  <c r="P1811" i="19"/>
  <c r="P1812" i="19"/>
  <c r="P1813" i="19"/>
  <c r="P1814" i="19"/>
  <c r="P1815" i="19"/>
  <c r="P1816" i="19"/>
  <c r="P1817" i="19"/>
  <c r="P1818" i="19"/>
  <c r="P1819" i="19"/>
  <c r="P1820" i="19"/>
  <c r="P1821" i="19"/>
  <c r="P1822" i="19"/>
  <c r="P1823" i="19"/>
  <c r="P1824" i="19"/>
  <c r="P1825" i="19"/>
  <c r="P1826" i="19"/>
  <c r="P1827" i="19"/>
  <c r="P1828" i="19"/>
  <c r="P1829" i="19"/>
  <c r="P1830" i="19"/>
  <c r="P1831" i="19"/>
  <c r="P1832" i="19"/>
  <c r="P1833" i="19"/>
  <c r="P1834" i="19"/>
  <c r="P1835" i="19"/>
  <c r="P1836" i="19"/>
  <c r="P1837" i="19"/>
  <c r="P1838" i="19"/>
  <c r="P1839" i="19"/>
  <c r="P1840" i="19"/>
  <c r="P1841" i="19"/>
  <c r="P1842" i="19"/>
  <c r="P1843" i="19"/>
  <c r="P1844" i="19"/>
  <c r="P1845" i="19"/>
  <c r="P1846" i="19"/>
  <c r="P1847" i="19"/>
  <c r="P1848" i="19"/>
  <c r="P1849" i="19"/>
  <c r="P1850" i="19"/>
  <c r="P1851" i="19"/>
  <c r="P1852" i="19"/>
  <c r="P1853" i="19"/>
  <c r="P1854" i="19"/>
  <c r="P1855" i="19"/>
  <c r="P1856" i="19"/>
  <c r="P1857" i="19"/>
  <c r="P1858" i="19"/>
  <c r="P1859" i="19"/>
  <c r="P1860" i="19"/>
  <c r="P1861" i="19"/>
  <c r="P1862" i="19"/>
  <c r="P1863" i="19"/>
  <c r="P1864" i="19"/>
  <c r="P1865" i="19"/>
  <c r="P1866" i="19"/>
  <c r="P1867" i="19"/>
  <c r="P1868" i="19"/>
  <c r="P1869" i="19"/>
  <c r="P1870" i="19"/>
  <c r="P1871" i="19"/>
  <c r="P1872" i="19"/>
  <c r="P1873" i="19"/>
  <c r="P1874" i="19"/>
  <c r="P1875" i="19"/>
  <c r="P1876" i="19"/>
  <c r="P1877" i="19"/>
  <c r="P1878" i="19"/>
  <c r="P1879" i="19"/>
  <c r="P1880" i="19"/>
  <c r="P1881" i="19"/>
  <c r="P1882" i="19"/>
  <c r="P1883" i="19"/>
  <c r="P1884" i="19"/>
  <c r="P1885" i="19"/>
  <c r="P1886" i="19"/>
  <c r="P1887" i="19"/>
  <c r="P1888" i="19"/>
  <c r="P1889" i="19"/>
  <c r="P1890" i="19"/>
  <c r="P1891" i="19"/>
  <c r="P1892" i="19"/>
  <c r="P1893" i="19"/>
  <c r="P1894" i="19"/>
  <c r="P1895" i="19"/>
  <c r="P1896" i="19"/>
  <c r="P1897" i="19"/>
  <c r="P1898" i="19"/>
  <c r="P1899" i="19"/>
  <c r="P1900" i="19"/>
  <c r="P1901" i="19"/>
  <c r="P1902" i="19"/>
  <c r="P1903" i="19"/>
  <c r="P1904" i="19"/>
  <c r="P1905" i="19"/>
  <c r="P1906" i="19"/>
  <c r="P1907" i="19"/>
  <c r="P1908" i="19"/>
  <c r="P1909" i="19"/>
  <c r="P1910" i="19"/>
  <c r="P1911" i="19"/>
  <c r="P1912" i="19"/>
  <c r="P1913" i="19"/>
  <c r="P1914" i="19"/>
  <c r="P1915" i="19"/>
  <c r="P1916" i="19"/>
  <c r="P1917" i="19"/>
  <c r="P1918" i="19"/>
  <c r="P1919" i="19"/>
  <c r="P1920" i="19"/>
  <c r="P1921" i="19"/>
  <c r="P1922" i="19"/>
  <c r="P1923" i="19"/>
  <c r="P1924" i="19"/>
  <c r="P1925" i="19"/>
  <c r="P1926" i="19"/>
  <c r="P1927" i="19"/>
  <c r="P1928" i="19"/>
  <c r="P1929" i="19"/>
  <c r="P1930" i="19"/>
  <c r="P1931" i="19"/>
  <c r="P1932" i="19"/>
  <c r="P1933" i="19"/>
  <c r="P1934" i="19"/>
  <c r="P1935" i="19"/>
  <c r="P1936" i="19"/>
  <c r="P1937" i="19"/>
  <c r="P1938" i="19"/>
  <c r="P1939" i="19"/>
  <c r="P1940" i="19"/>
  <c r="P1941" i="19"/>
  <c r="P1942" i="19"/>
  <c r="P1943" i="19"/>
  <c r="P1944" i="19"/>
  <c r="P1945" i="19"/>
  <c r="P1946" i="19"/>
  <c r="P1947" i="19"/>
  <c r="P1948" i="19"/>
  <c r="P1949" i="19"/>
  <c r="P1950" i="19"/>
  <c r="P1951" i="19"/>
  <c r="P1952" i="19"/>
  <c r="P1953" i="19"/>
  <c r="P1954" i="19"/>
  <c r="P1955" i="19"/>
  <c r="P1956" i="19"/>
  <c r="P1957" i="19"/>
  <c r="P1958" i="19"/>
  <c r="P1959" i="19"/>
  <c r="P1960" i="19"/>
  <c r="P1961" i="19"/>
  <c r="P1962" i="19"/>
  <c r="P1963" i="19"/>
  <c r="P1964" i="19"/>
  <c r="P1965" i="19"/>
  <c r="P1966" i="19"/>
  <c r="P1967" i="19"/>
  <c r="P1968" i="19"/>
  <c r="P1969" i="19"/>
  <c r="P1970" i="19"/>
  <c r="P1971" i="19"/>
  <c r="P1972" i="19"/>
  <c r="P1973" i="19"/>
  <c r="P1974" i="19"/>
  <c r="P1975" i="19"/>
  <c r="P1976" i="19"/>
  <c r="P1977" i="19"/>
  <c r="P1978" i="19"/>
  <c r="P1979" i="19"/>
  <c r="P1980" i="19"/>
  <c r="P1981" i="19"/>
  <c r="P1982" i="19"/>
  <c r="P1983" i="19"/>
  <c r="P1984" i="19"/>
  <c r="P1985" i="19"/>
  <c r="P1986" i="19"/>
  <c r="P1987" i="19"/>
  <c r="P1988" i="19"/>
  <c r="P1989" i="19"/>
  <c r="P1990" i="19"/>
  <c r="P1991" i="19"/>
  <c r="P1992" i="19"/>
  <c r="P1993" i="19"/>
  <c r="P1994" i="19"/>
  <c r="P1995" i="19"/>
  <c r="P1996" i="19"/>
  <c r="P1997" i="19"/>
  <c r="P1998" i="19"/>
  <c r="P1999" i="19"/>
  <c r="P2000" i="19"/>
  <c r="P2001" i="19"/>
  <c r="P2002" i="19"/>
  <c r="P2003" i="19"/>
  <c r="P2004" i="19"/>
  <c r="P2005" i="19"/>
  <c r="P2006" i="19"/>
  <c r="P2007" i="19"/>
  <c r="P2008" i="19"/>
  <c r="P2009" i="19"/>
  <c r="P2010" i="19"/>
  <c r="P2011" i="19"/>
  <c r="P2012" i="19"/>
  <c r="P2013" i="19"/>
  <c r="P2014" i="19"/>
  <c r="P2015" i="19"/>
  <c r="P2016" i="19"/>
  <c r="P2017" i="19"/>
  <c r="P2018" i="19"/>
  <c r="P2019" i="19"/>
  <c r="P2020" i="19"/>
  <c r="P2021" i="19"/>
  <c r="P2022" i="19"/>
  <c r="P2023" i="19"/>
  <c r="P2024" i="19"/>
  <c r="P2025" i="19"/>
  <c r="P2026" i="19"/>
  <c r="P2027" i="19"/>
  <c r="P2028" i="19"/>
  <c r="P2029" i="19"/>
  <c r="P2030" i="19"/>
  <c r="P2031" i="19"/>
  <c r="P2032" i="19"/>
  <c r="P2033" i="19"/>
  <c r="P2034" i="19"/>
  <c r="P2035" i="19"/>
  <c r="P2036" i="19"/>
  <c r="P2037" i="19"/>
  <c r="P2038" i="19"/>
  <c r="P2039" i="19"/>
  <c r="P2040" i="19"/>
  <c r="P2041" i="19"/>
  <c r="P2042" i="19"/>
  <c r="P2043" i="19"/>
  <c r="P2044" i="19"/>
  <c r="P2045" i="19"/>
  <c r="P2046" i="19"/>
  <c r="P2047" i="19"/>
  <c r="P2048" i="19"/>
  <c r="P2049" i="19"/>
  <c r="P2050" i="19"/>
  <c r="P2051" i="19"/>
  <c r="P2052" i="19"/>
  <c r="P2053" i="19"/>
  <c r="P2054" i="19"/>
  <c r="P2055" i="19"/>
  <c r="P2056" i="19"/>
  <c r="P2057" i="19"/>
  <c r="P2058" i="19"/>
  <c r="P2059" i="19"/>
  <c r="P2060" i="19"/>
  <c r="P2061" i="19"/>
  <c r="P2062" i="19"/>
  <c r="P2063" i="19"/>
  <c r="P2064" i="19"/>
  <c r="P2065" i="19"/>
  <c r="P2066" i="19"/>
  <c r="P2067" i="19"/>
  <c r="P2068" i="19"/>
  <c r="P2069" i="19"/>
  <c r="P2070" i="19"/>
  <c r="P2071" i="19"/>
  <c r="P2072" i="19"/>
  <c r="P2073" i="19"/>
  <c r="P2074" i="19"/>
  <c r="P2075" i="19"/>
  <c r="P2076" i="19"/>
  <c r="P2077" i="19"/>
  <c r="P2078" i="19"/>
  <c r="P2079" i="19"/>
  <c r="P2080" i="19"/>
  <c r="P2081" i="19"/>
  <c r="P2082" i="19"/>
  <c r="P2083" i="19"/>
  <c r="P2084" i="19"/>
  <c r="P2085" i="19"/>
  <c r="P2086" i="19"/>
  <c r="P2087" i="19"/>
  <c r="P2088" i="19"/>
  <c r="P2089" i="19"/>
  <c r="P2090" i="19"/>
  <c r="P2091" i="19"/>
  <c r="P2092" i="19"/>
  <c r="P2093" i="19"/>
  <c r="P2094" i="19"/>
  <c r="P2095" i="19"/>
  <c r="P2096" i="19"/>
  <c r="P2097" i="19"/>
  <c r="P2098" i="19"/>
  <c r="P2099" i="19"/>
  <c r="P2100" i="19"/>
  <c r="P2101" i="19"/>
  <c r="P2102" i="19"/>
  <c r="P2103" i="19"/>
  <c r="P2104" i="19"/>
  <c r="P2105" i="19"/>
  <c r="P2106" i="19"/>
  <c r="P2107" i="19"/>
  <c r="P2108" i="19"/>
  <c r="P2109" i="19"/>
  <c r="P2110" i="19"/>
  <c r="P2111" i="19"/>
  <c r="P2112" i="19"/>
  <c r="P2113" i="19"/>
  <c r="P2114" i="19"/>
  <c r="P2115" i="19"/>
  <c r="P2116" i="19"/>
  <c r="P2117" i="19"/>
  <c r="P2118" i="19"/>
  <c r="P2119" i="19"/>
  <c r="P2120" i="19"/>
  <c r="P2121" i="19"/>
  <c r="P2122" i="19"/>
  <c r="P2123" i="19"/>
  <c r="P2124" i="19"/>
  <c r="P2125" i="19"/>
  <c r="P2126" i="19"/>
  <c r="P2127" i="19"/>
  <c r="P2128" i="19"/>
  <c r="P2129" i="19"/>
  <c r="P2130" i="19"/>
  <c r="P2131" i="19"/>
  <c r="P2132" i="19"/>
  <c r="P2133" i="19"/>
  <c r="P2134" i="19"/>
  <c r="P2135" i="19"/>
  <c r="P2136" i="19"/>
  <c r="P2137" i="19"/>
  <c r="P2138" i="19"/>
  <c r="P2139" i="19"/>
  <c r="P2140" i="19"/>
  <c r="P2141" i="19"/>
  <c r="P2142" i="19"/>
  <c r="P2143" i="19"/>
  <c r="P2144" i="19"/>
  <c r="P2145" i="19"/>
  <c r="P2146" i="19"/>
  <c r="P2147" i="19"/>
  <c r="P2148" i="19"/>
  <c r="P2149" i="19"/>
  <c r="P2150" i="19"/>
  <c r="P2151" i="19"/>
  <c r="P2152" i="19"/>
  <c r="P2153" i="19"/>
  <c r="P2154" i="19"/>
  <c r="P2155" i="19"/>
  <c r="P2156" i="19"/>
  <c r="P2157" i="19"/>
  <c r="P2158" i="19"/>
  <c r="P2159" i="19"/>
  <c r="P2160" i="19"/>
  <c r="P2161" i="19"/>
  <c r="P2162" i="19"/>
  <c r="P2163" i="19"/>
  <c r="P2164" i="19"/>
  <c r="P2165" i="19"/>
  <c r="P2166" i="19"/>
  <c r="P2167" i="19"/>
  <c r="P2168" i="19"/>
  <c r="P2169" i="19"/>
  <c r="P2170" i="19"/>
  <c r="P2171" i="19"/>
  <c r="P2172" i="19"/>
  <c r="P2173" i="19"/>
  <c r="P2174" i="19"/>
  <c r="P2175" i="19"/>
  <c r="P2176" i="19"/>
  <c r="P2177" i="19"/>
  <c r="P2178" i="19"/>
  <c r="P2179" i="19"/>
  <c r="P2180" i="19"/>
  <c r="P2181" i="19"/>
  <c r="P2182" i="19"/>
  <c r="P2183" i="19"/>
  <c r="P2184" i="19"/>
  <c r="P2185" i="19"/>
  <c r="P2186" i="19"/>
  <c r="P2187" i="19"/>
  <c r="P2188" i="19"/>
  <c r="P2189" i="19"/>
  <c r="P2190" i="19"/>
  <c r="P2191" i="19"/>
  <c r="P2192" i="19"/>
  <c r="P2193" i="19"/>
  <c r="P2194" i="19"/>
  <c r="P2195" i="19"/>
  <c r="P2196" i="19"/>
  <c r="P2197" i="19"/>
  <c r="P2198" i="19"/>
  <c r="P2199" i="19"/>
  <c r="P2200" i="19"/>
  <c r="P2201" i="19"/>
  <c r="P2202" i="19"/>
  <c r="P2203" i="19"/>
  <c r="P2204" i="19"/>
  <c r="P2205" i="19"/>
  <c r="P2206" i="19"/>
  <c r="P2207" i="19"/>
  <c r="P2208" i="19"/>
  <c r="P2209" i="19"/>
  <c r="P2210" i="19"/>
  <c r="P2211" i="19"/>
  <c r="P2212" i="19"/>
  <c r="P2213" i="19"/>
  <c r="P2214" i="19"/>
  <c r="P2215" i="19"/>
  <c r="P2216" i="19"/>
  <c r="P2217" i="19"/>
  <c r="P2218" i="19"/>
  <c r="P2219" i="19"/>
  <c r="P2220" i="19"/>
  <c r="P2221" i="19"/>
  <c r="P2222" i="19"/>
  <c r="P2223" i="19"/>
  <c r="P2224" i="19"/>
  <c r="P2225" i="19"/>
  <c r="P2226" i="19"/>
  <c r="P2227" i="19"/>
  <c r="P2228" i="19"/>
  <c r="P2229" i="19"/>
  <c r="P2230" i="19"/>
  <c r="P2231" i="19"/>
  <c r="P2232" i="19"/>
  <c r="P2233" i="19"/>
  <c r="P2234" i="19"/>
  <c r="P2235" i="19"/>
  <c r="P2236" i="19"/>
  <c r="P2237" i="19"/>
  <c r="P2238" i="19"/>
  <c r="P2239" i="19"/>
  <c r="P2240" i="19"/>
  <c r="P2241" i="19"/>
  <c r="P2242" i="19"/>
  <c r="P2243" i="19"/>
  <c r="P2244" i="19"/>
  <c r="P2245" i="19"/>
  <c r="P2246" i="19"/>
  <c r="P2247" i="19"/>
  <c r="P2248" i="19"/>
  <c r="P2249" i="19"/>
  <c r="P2250" i="19"/>
  <c r="P2251" i="19"/>
  <c r="P2252" i="19"/>
  <c r="P2253" i="19"/>
  <c r="P2254" i="19"/>
  <c r="P2255" i="19"/>
  <c r="P2256" i="19"/>
  <c r="P2257" i="19"/>
  <c r="P2258" i="19"/>
  <c r="P2259" i="19"/>
  <c r="P2260" i="19"/>
  <c r="P2261" i="19"/>
  <c r="P2262" i="19"/>
  <c r="P2263" i="19"/>
  <c r="P2264" i="19"/>
  <c r="P2265" i="19"/>
  <c r="P2266" i="19"/>
  <c r="P2267" i="19"/>
  <c r="P2268" i="19"/>
  <c r="P2269" i="19"/>
  <c r="P2270" i="19"/>
  <c r="P2271" i="19"/>
  <c r="P2272" i="19"/>
  <c r="P2273" i="19"/>
  <c r="P2274" i="19"/>
  <c r="P2275" i="19"/>
  <c r="P2276" i="19"/>
  <c r="P2277" i="19"/>
  <c r="P2278" i="19"/>
  <c r="P2279" i="19"/>
  <c r="P2280" i="19"/>
  <c r="P2281" i="19"/>
  <c r="P2282" i="19"/>
  <c r="P2283" i="19"/>
  <c r="P2284" i="19"/>
  <c r="P2285" i="19"/>
  <c r="P2286" i="19"/>
  <c r="P2287" i="19"/>
  <c r="P2288" i="19"/>
  <c r="P2289" i="19"/>
  <c r="P2290" i="19"/>
  <c r="P2291" i="19"/>
  <c r="P2292" i="19"/>
  <c r="P2293" i="19"/>
  <c r="P2294" i="19"/>
  <c r="P2295" i="19"/>
  <c r="P2296" i="19"/>
  <c r="P2297" i="19"/>
  <c r="P2298" i="19"/>
  <c r="P2299" i="19"/>
  <c r="P2300" i="19"/>
  <c r="P2301" i="19"/>
  <c r="P2302" i="19"/>
  <c r="P2303" i="19"/>
  <c r="P2304" i="19"/>
  <c r="P2305" i="19"/>
  <c r="P2306" i="19"/>
  <c r="P2307" i="19"/>
  <c r="P2308" i="19"/>
  <c r="P2309" i="19"/>
  <c r="P2310" i="19"/>
  <c r="P2311" i="19"/>
  <c r="P2312" i="19"/>
  <c r="P2313" i="19"/>
  <c r="P2314" i="19"/>
  <c r="P2315" i="19"/>
  <c r="P2316" i="19"/>
  <c r="P2317" i="19"/>
  <c r="P2318" i="19"/>
  <c r="P2319" i="19"/>
  <c r="P2320" i="19"/>
  <c r="P2321" i="19"/>
  <c r="P2322" i="19"/>
  <c r="P2323" i="19"/>
  <c r="P2324" i="19"/>
  <c r="P2325" i="19"/>
  <c r="P2326" i="19"/>
  <c r="P2327" i="19"/>
  <c r="P2328" i="19"/>
  <c r="P2329" i="19"/>
  <c r="P2330" i="19"/>
  <c r="P2331" i="19"/>
  <c r="P2332" i="19"/>
  <c r="P2333" i="19"/>
  <c r="P2334" i="19"/>
  <c r="P2335" i="19"/>
  <c r="P2336" i="19"/>
  <c r="P2337" i="19"/>
  <c r="P2338" i="19"/>
  <c r="P2339" i="19"/>
  <c r="P2340" i="19"/>
  <c r="P2341" i="19"/>
  <c r="P2342" i="19"/>
  <c r="P2343" i="19"/>
  <c r="P2344" i="19"/>
  <c r="P2345" i="19"/>
  <c r="P2346" i="19"/>
  <c r="P2347" i="19"/>
  <c r="P2348" i="19"/>
  <c r="P2349" i="19"/>
  <c r="P2350" i="19"/>
  <c r="P2351" i="19"/>
  <c r="P2352" i="19"/>
  <c r="P2353" i="19"/>
  <c r="P2354" i="19"/>
  <c r="P2355" i="19"/>
  <c r="P2356" i="19"/>
  <c r="P2357" i="19"/>
  <c r="P2358" i="19"/>
  <c r="P2359" i="19"/>
  <c r="P2360" i="19"/>
  <c r="P2361" i="19"/>
  <c r="P2362" i="19"/>
  <c r="P2363" i="19"/>
  <c r="P2364" i="19"/>
  <c r="P2365" i="19"/>
  <c r="P2366" i="19"/>
  <c r="P2367" i="19"/>
  <c r="P2368" i="19"/>
  <c r="P2369" i="19"/>
  <c r="P2370" i="19"/>
  <c r="P2371" i="19"/>
  <c r="P2372" i="19"/>
  <c r="P2373" i="19"/>
  <c r="P2374" i="19"/>
  <c r="P2375" i="19"/>
  <c r="P2376" i="19"/>
  <c r="P2377" i="19"/>
  <c r="K42" i="32"/>
  <c r="J42" i="16"/>
  <c r="P3514" i="19"/>
  <c r="P3513" i="19"/>
  <c r="P3512" i="19"/>
  <c r="P3511" i="19"/>
  <c r="P3510" i="19"/>
  <c r="P3509" i="19"/>
  <c r="P3508" i="19"/>
  <c r="P3507" i="19"/>
  <c r="P3506" i="19"/>
  <c r="P3505" i="19"/>
  <c r="P3504" i="19"/>
  <c r="P3503" i="19"/>
  <c r="P3502" i="19"/>
  <c r="P3501" i="19"/>
  <c r="P3500" i="19"/>
  <c r="P3499" i="19"/>
  <c r="P3498" i="19"/>
  <c r="P3497" i="19"/>
  <c r="P3496" i="19"/>
  <c r="P3495" i="19"/>
  <c r="P3494" i="19"/>
  <c r="P3493" i="19"/>
  <c r="P3492" i="19"/>
  <c r="P3491" i="19"/>
  <c r="P3490" i="19"/>
  <c r="P3489" i="19"/>
  <c r="P3488" i="19"/>
  <c r="P3487" i="19"/>
  <c r="P3486" i="19"/>
  <c r="P3485" i="19"/>
  <c r="P3484" i="19"/>
  <c r="P3483" i="19"/>
  <c r="P3482" i="19"/>
  <c r="P3481" i="19"/>
  <c r="P3480" i="19"/>
  <c r="P3479" i="19"/>
  <c r="P3478" i="19"/>
  <c r="P3477" i="19"/>
  <c r="P3476" i="19"/>
  <c r="P3475" i="19"/>
  <c r="P3474" i="19"/>
  <c r="P3473" i="19"/>
  <c r="P3472" i="19"/>
  <c r="P3471" i="19"/>
  <c r="P3470" i="19"/>
  <c r="P3469" i="19"/>
  <c r="P3468" i="19"/>
  <c r="P3467" i="19"/>
  <c r="P3466" i="19"/>
  <c r="P3465" i="19"/>
  <c r="P3464" i="19"/>
  <c r="P3463" i="19"/>
  <c r="P3462" i="19"/>
  <c r="P3461" i="19"/>
  <c r="P3460" i="19"/>
  <c r="P3459" i="19"/>
  <c r="P3458" i="19"/>
  <c r="P3457" i="19"/>
  <c r="P3456" i="19"/>
  <c r="P3455" i="19"/>
  <c r="P3454" i="19"/>
  <c r="P3453" i="19"/>
  <c r="P3452" i="19"/>
  <c r="P3451" i="19"/>
  <c r="P3450" i="19"/>
  <c r="P3449" i="19"/>
  <c r="P3448" i="19"/>
  <c r="P3447" i="19"/>
  <c r="P3446" i="19"/>
  <c r="P3445" i="19"/>
  <c r="P3444" i="19"/>
  <c r="P3443" i="19"/>
  <c r="P3442" i="19"/>
  <c r="P3441" i="19"/>
  <c r="P3440" i="19"/>
  <c r="P3439" i="19"/>
  <c r="P3438" i="19"/>
  <c r="P3437" i="19"/>
  <c r="P3436" i="19"/>
  <c r="P3435" i="19"/>
  <c r="P3434" i="19"/>
  <c r="P3433" i="19"/>
  <c r="P3432" i="19"/>
  <c r="P3431" i="19"/>
  <c r="P3430" i="19"/>
  <c r="P3429" i="19"/>
  <c r="P3428" i="19"/>
  <c r="P3427" i="19"/>
  <c r="P3426" i="19"/>
  <c r="P3425" i="19"/>
  <c r="P3424" i="19"/>
  <c r="P3423" i="19"/>
  <c r="P3422" i="19"/>
  <c r="P3421" i="19"/>
  <c r="P3420" i="19"/>
  <c r="P3419" i="19"/>
  <c r="P3418" i="19"/>
  <c r="P3417" i="19"/>
  <c r="P3416" i="19"/>
  <c r="P3415" i="19"/>
  <c r="P3414" i="19"/>
  <c r="P3413" i="19"/>
  <c r="P3412" i="19"/>
  <c r="P3411" i="19"/>
  <c r="P3410" i="19"/>
  <c r="P3409" i="19"/>
  <c r="P3408" i="19"/>
  <c r="P3407" i="19"/>
  <c r="P3406" i="19"/>
  <c r="P3405" i="19"/>
  <c r="P3404" i="19"/>
  <c r="P3403" i="19"/>
  <c r="P3402" i="19"/>
  <c r="P3401" i="19"/>
  <c r="P3400" i="19"/>
  <c r="P3399" i="19"/>
  <c r="P3398" i="19"/>
  <c r="P3397" i="19"/>
  <c r="P3396" i="19"/>
  <c r="P3395" i="19"/>
  <c r="P3394" i="19"/>
  <c r="P3393" i="19"/>
  <c r="P3392" i="19"/>
  <c r="P3391" i="19"/>
  <c r="P3390" i="19"/>
  <c r="P3389" i="19"/>
  <c r="P3388" i="19"/>
  <c r="P3387" i="19"/>
  <c r="P3386" i="19"/>
  <c r="P3385" i="19"/>
  <c r="P3384" i="19"/>
  <c r="P3383" i="19"/>
  <c r="P3382" i="19"/>
  <c r="P3381" i="19"/>
  <c r="P3380" i="19"/>
  <c r="P3379" i="19"/>
  <c r="P3378" i="19"/>
  <c r="P3377" i="19"/>
  <c r="P3376" i="19"/>
  <c r="P3375" i="19"/>
  <c r="P3374" i="19"/>
  <c r="P3373" i="19"/>
  <c r="P3372" i="19"/>
  <c r="P3371" i="19"/>
  <c r="P3370" i="19"/>
  <c r="P3369" i="19"/>
  <c r="P3368" i="19"/>
  <c r="P3367" i="19"/>
  <c r="P3366" i="19"/>
  <c r="P3365" i="19"/>
  <c r="P3364" i="19"/>
  <c r="P3363" i="19"/>
  <c r="P3362" i="19"/>
  <c r="P3361" i="19"/>
  <c r="P3360" i="19"/>
  <c r="P3359" i="19"/>
  <c r="P3358" i="19"/>
  <c r="P3357" i="19"/>
  <c r="P3356" i="19"/>
  <c r="P3355" i="19"/>
  <c r="P3354" i="19"/>
  <c r="P3353" i="19"/>
  <c r="P3352" i="19"/>
  <c r="P3351" i="19"/>
  <c r="P3350" i="19"/>
  <c r="P3349" i="19"/>
  <c r="P3348" i="19"/>
  <c r="P3347" i="19"/>
  <c r="P3346" i="19"/>
  <c r="P3345" i="19"/>
  <c r="P3344" i="19"/>
  <c r="P3343" i="19"/>
  <c r="P3342" i="19"/>
  <c r="P3341" i="19"/>
  <c r="P3340" i="19"/>
  <c r="P3339" i="19"/>
  <c r="P3338" i="19"/>
  <c r="P3337" i="19"/>
  <c r="P3336" i="19"/>
  <c r="P3335" i="19"/>
  <c r="P3334" i="19"/>
  <c r="P3333" i="19"/>
  <c r="P3332" i="19"/>
  <c r="P3331" i="19"/>
  <c r="P3330" i="19"/>
  <c r="P3329" i="19"/>
  <c r="P3328" i="19"/>
  <c r="P3327" i="19"/>
  <c r="P3326" i="19"/>
  <c r="P3325" i="19"/>
  <c r="P3324" i="19"/>
  <c r="P3323" i="19"/>
  <c r="P3322" i="19"/>
  <c r="P3321" i="19"/>
  <c r="P3320" i="19"/>
  <c r="P3319" i="19"/>
  <c r="P3318" i="19"/>
  <c r="P3317" i="19"/>
  <c r="P3316" i="19"/>
  <c r="P3315" i="19"/>
  <c r="P3314" i="19"/>
  <c r="P3313" i="19"/>
  <c r="P3312" i="19"/>
  <c r="P3311" i="19"/>
  <c r="P3310" i="19"/>
  <c r="P3309" i="19"/>
  <c r="P3308" i="19"/>
  <c r="P3307" i="19"/>
  <c r="P3306" i="19"/>
  <c r="P3305" i="19"/>
  <c r="P3304" i="19"/>
  <c r="P3303" i="19"/>
  <c r="P3302" i="19"/>
  <c r="P3301" i="19"/>
  <c r="P3300" i="19"/>
  <c r="P3299" i="19"/>
  <c r="P3298" i="19"/>
  <c r="P3297" i="19"/>
  <c r="P3296" i="19"/>
  <c r="P3295" i="19"/>
  <c r="P3294" i="19"/>
  <c r="P3293" i="19"/>
  <c r="P3292" i="19"/>
  <c r="P3291" i="19"/>
  <c r="P3290" i="19"/>
  <c r="P3289" i="19"/>
  <c r="P3288" i="19"/>
  <c r="P3287" i="19"/>
  <c r="P3286" i="19"/>
  <c r="P3285" i="19"/>
  <c r="P3284" i="19"/>
  <c r="P3283" i="19"/>
  <c r="P3282" i="19"/>
  <c r="P3281" i="19"/>
  <c r="P3280" i="19"/>
  <c r="P3279" i="19"/>
  <c r="P3278" i="19"/>
  <c r="P3277" i="19"/>
  <c r="P3276" i="19"/>
  <c r="P3275" i="19"/>
  <c r="P3274" i="19"/>
  <c r="P3273" i="19"/>
  <c r="P3272" i="19"/>
  <c r="P3271" i="19"/>
  <c r="P3270" i="19"/>
  <c r="P3269" i="19"/>
  <c r="P3268" i="19"/>
  <c r="P3267" i="19"/>
  <c r="P3266" i="19"/>
  <c r="P3265" i="19"/>
  <c r="P3264" i="19"/>
  <c r="P3263" i="19"/>
  <c r="P3262" i="19"/>
  <c r="P3261" i="19"/>
  <c r="P3260" i="19"/>
  <c r="P3259" i="19"/>
  <c r="P3258" i="19"/>
  <c r="P3257" i="19"/>
  <c r="P3256" i="19"/>
  <c r="P3255" i="19"/>
  <c r="P3254" i="19"/>
  <c r="P3253" i="19"/>
  <c r="P3252" i="19"/>
  <c r="P3251" i="19"/>
  <c r="P3250" i="19"/>
  <c r="P3249" i="19"/>
  <c r="P3248" i="19"/>
  <c r="P3247" i="19"/>
  <c r="P3246" i="19"/>
  <c r="P3245" i="19"/>
  <c r="P3244" i="19"/>
  <c r="P3243" i="19"/>
  <c r="P3242" i="19"/>
  <c r="P3241" i="19"/>
  <c r="P3240" i="19"/>
  <c r="P3239" i="19"/>
  <c r="P3238" i="19"/>
  <c r="P3237" i="19"/>
  <c r="P3236" i="19"/>
  <c r="P3235" i="19"/>
  <c r="P3234" i="19"/>
  <c r="P3233" i="19"/>
  <c r="P3232" i="19"/>
  <c r="P3231" i="19"/>
  <c r="P3230" i="19"/>
  <c r="P3229" i="19"/>
  <c r="P3228" i="19"/>
  <c r="P3227" i="19"/>
  <c r="P3226" i="19"/>
  <c r="P3225" i="19"/>
  <c r="P3224" i="19"/>
  <c r="P3223" i="19"/>
  <c r="P3222" i="19"/>
  <c r="P3221" i="19"/>
  <c r="P3220" i="19"/>
  <c r="P3219" i="19"/>
  <c r="P3218" i="19"/>
  <c r="P3217" i="19"/>
  <c r="P3216" i="19"/>
  <c r="P3215" i="19"/>
  <c r="P3214" i="19"/>
  <c r="P3213" i="19"/>
  <c r="P3212" i="19"/>
  <c r="P3211" i="19"/>
  <c r="P3210" i="19"/>
  <c r="P3209" i="19"/>
  <c r="P3208" i="19"/>
  <c r="P3207" i="19"/>
  <c r="P3206" i="19"/>
  <c r="P3205" i="19"/>
  <c r="P3204" i="19"/>
  <c r="P3203" i="19"/>
  <c r="P3202" i="19"/>
  <c r="P3201" i="19"/>
  <c r="P3200" i="19"/>
  <c r="P3199" i="19"/>
  <c r="P3198" i="19"/>
  <c r="P3197" i="19"/>
  <c r="P3196" i="19"/>
  <c r="P3195" i="19"/>
  <c r="P3194" i="19"/>
  <c r="P3193" i="19"/>
  <c r="P3192" i="19"/>
  <c r="P3191" i="19"/>
  <c r="P3190" i="19"/>
  <c r="P3189" i="19"/>
  <c r="P3188" i="19"/>
  <c r="P3187" i="19"/>
  <c r="P3186" i="19"/>
  <c r="P3185" i="19"/>
  <c r="P3184" i="19"/>
  <c r="P3183" i="19"/>
  <c r="P3182" i="19"/>
  <c r="P3181" i="19"/>
  <c r="P3180" i="19"/>
  <c r="P3179" i="19"/>
  <c r="P3178" i="19"/>
  <c r="P3177" i="19"/>
  <c r="P3176" i="19"/>
  <c r="P3175" i="19"/>
  <c r="P3174" i="19"/>
  <c r="P3173" i="19"/>
  <c r="P3172" i="19"/>
  <c r="P3171" i="19"/>
  <c r="P3170" i="19"/>
  <c r="P3169" i="19"/>
  <c r="P3168" i="19"/>
  <c r="P3167" i="19"/>
  <c r="P3166" i="19"/>
  <c r="P3165" i="19"/>
  <c r="P3164" i="19"/>
  <c r="P3163" i="19"/>
  <c r="P3162" i="19"/>
  <c r="P3161" i="19"/>
  <c r="P3160" i="19"/>
  <c r="P3159" i="19"/>
  <c r="P3158" i="19"/>
  <c r="P3157" i="19"/>
  <c r="P3156" i="19"/>
  <c r="P3155" i="19"/>
  <c r="P3154" i="19"/>
  <c r="P3153" i="19"/>
  <c r="P3152" i="19"/>
  <c r="P3151" i="19"/>
  <c r="P3150" i="19"/>
  <c r="P3149" i="19"/>
  <c r="P3148" i="19"/>
  <c r="P3147" i="19"/>
  <c r="P3146" i="19"/>
  <c r="P3145" i="19"/>
  <c r="P3144" i="19"/>
  <c r="P3143" i="19"/>
  <c r="P3142" i="19"/>
  <c r="P3141" i="19"/>
  <c r="P3140" i="19"/>
  <c r="P3139" i="19"/>
  <c r="P3138" i="19"/>
  <c r="P3137" i="19"/>
  <c r="P3136" i="19"/>
  <c r="P3135" i="19"/>
  <c r="P3134" i="19"/>
  <c r="P3133" i="19"/>
  <c r="P3132" i="19"/>
  <c r="P3131" i="19"/>
  <c r="P3130" i="19"/>
  <c r="P3129" i="19"/>
  <c r="P3128" i="19"/>
  <c r="P3127" i="19"/>
  <c r="P3126" i="19"/>
  <c r="P3125" i="19"/>
  <c r="P3124" i="19"/>
  <c r="P3123" i="19"/>
  <c r="P3122" i="19"/>
  <c r="P3121" i="19"/>
  <c r="P3120" i="19"/>
  <c r="P3119" i="19"/>
  <c r="P3118" i="19"/>
  <c r="P3117" i="19"/>
  <c r="P3116" i="19"/>
  <c r="P3115" i="19"/>
  <c r="P3114" i="19"/>
  <c r="P3113" i="19"/>
  <c r="P3112" i="19"/>
  <c r="P3111" i="19"/>
  <c r="P3110" i="19"/>
  <c r="P3109" i="19"/>
  <c r="P3108" i="19"/>
  <c r="P3107" i="19"/>
  <c r="P3106" i="19"/>
  <c r="P3105" i="19"/>
  <c r="P3104" i="19"/>
  <c r="P3103" i="19"/>
  <c r="P3102" i="19"/>
  <c r="P3101" i="19"/>
  <c r="P3100" i="19"/>
  <c r="P3099" i="19"/>
  <c r="P3098" i="19"/>
  <c r="P3097" i="19"/>
  <c r="P3096" i="19"/>
  <c r="P3095" i="19"/>
  <c r="P3094" i="19"/>
  <c r="P3093" i="19"/>
  <c r="P3092" i="19"/>
  <c r="P3091" i="19"/>
  <c r="P3090" i="19"/>
  <c r="P3089" i="19"/>
  <c r="P3088" i="19"/>
  <c r="P3087" i="19"/>
  <c r="P3086" i="19"/>
  <c r="P3085" i="19"/>
  <c r="P3084" i="19"/>
  <c r="P3083" i="19"/>
  <c r="P3082" i="19"/>
  <c r="P3081" i="19"/>
  <c r="P3080" i="19"/>
  <c r="P3079" i="19"/>
  <c r="P3078" i="19"/>
  <c r="P3077" i="19"/>
  <c r="P3076" i="19"/>
  <c r="P3075" i="19"/>
  <c r="P3074" i="19"/>
  <c r="P3073" i="19"/>
  <c r="P3072" i="19"/>
  <c r="P3071" i="19"/>
  <c r="P3070" i="19"/>
  <c r="P3069" i="19"/>
  <c r="P3068" i="19"/>
  <c r="P3067" i="19"/>
  <c r="P3066" i="19"/>
  <c r="P3065" i="19"/>
  <c r="P3064" i="19"/>
  <c r="P3063" i="19"/>
  <c r="P3062" i="19"/>
  <c r="P3061" i="19"/>
  <c r="P3060" i="19"/>
  <c r="P3059" i="19"/>
  <c r="P3058" i="19"/>
  <c r="P3057" i="19"/>
  <c r="P3056" i="19"/>
  <c r="P3055" i="19"/>
  <c r="P3054" i="19"/>
  <c r="P3053" i="19"/>
  <c r="P3052" i="19"/>
  <c r="P3051" i="19"/>
  <c r="P3050" i="19"/>
  <c r="P3049" i="19"/>
  <c r="P3048" i="19"/>
  <c r="P3047" i="19"/>
  <c r="P3046" i="19"/>
  <c r="P3045" i="19"/>
  <c r="P3044" i="19"/>
  <c r="P3043" i="19"/>
  <c r="P3042" i="19"/>
  <c r="P3041" i="19"/>
  <c r="P3040" i="19"/>
  <c r="P3039" i="19"/>
  <c r="P3038" i="19"/>
  <c r="P3037" i="19"/>
  <c r="P3036" i="19"/>
  <c r="P3035" i="19"/>
  <c r="P3034" i="19"/>
  <c r="P3033" i="19"/>
  <c r="P3032" i="19"/>
  <c r="P3031" i="19"/>
  <c r="P3030" i="19"/>
  <c r="P3029" i="19"/>
  <c r="P3028" i="19"/>
  <c r="P3027" i="19"/>
  <c r="P3026" i="19"/>
  <c r="P3025" i="19"/>
  <c r="P3024" i="19"/>
  <c r="P3023" i="19"/>
  <c r="P3022" i="19"/>
  <c r="P3021" i="19"/>
  <c r="P3020" i="19"/>
  <c r="P3019" i="19"/>
  <c r="P3018" i="19"/>
  <c r="P3017" i="19"/>
  <c r="P3016" i="19"/>
  <c r="P3015" i="19"/>
  <c r="P3014" i="19"/>
  <c r="P3013" i="19"/>
  <c r="P3012" i="19"/>
  <c r="P3011" i="19"/>
  <c r="P3010" i="19"/>
  <c r="P3009" i="19"/>
  <c r="P3008" i="19"/>
  <c r="P3007" i="19"/>
  <c r="P3006" i="19"/>
  <c r="P3005" i="19"/>
  <c r="P3004" i="19"/>
  <c r="P3003" i="19"/>
  <c r="P3002" i="19"/>
  <c r="P3001" i="19"/>
  <c r="P3000" i="19"/>
  <c r="P2999" i="19"/>
  <c r="P2998" i="19"/>
  <c r="P2997" i="19"/>
  <c r="P2996" i="19"/>
  <c r="P2995" i="19"/>
  <c r="P2994" i="19"/>
  <c r="P2993" i="19"/>
  <c r="P2992" i="19"/>
  <c r="P2991" i="19"/>
  <c r="P2990" i="19"/>
  <c r="P2989" i="19"/>
  <c r="P2988" i="19"/>
  <c r="P2987" i="19"/>
  <c r="P2986" i="19"/>
  <c r="P2985" i="19"/>
  <c r="P2984" i="19"/>
  <c r="P2983" i="19"/>
  <c r="P2982" i="19"/>
  <c r="P2981" i="19"/>
  <c r="P2980" i="19"/>
  <c r="P2979" i="19"/>
  <c r="P2978" i="19"/>
  <c r="P2977" i="19"/>
  <c r="P2976" i="19"/>
  <c r="P2975" i="19"/>
  <c r="P2974" i="19"/>
  <c r="P2973" i="19"/>
  <c r="P2972" i="19"/>
  <c r="P2971" i="19"/>
  <c r="P2970" i="19"/>
  <c r="P2969" i="19"/>
  <c r="P2968" i="19"/>
  <c r="P2967" i="19"/>
  <c r="P2966" i="19"/>
  <c r="P2965" i="19"/>
  <c r="P2964" i="19"/>
  <c r="P2963" i="19"/>
  <c r="P2962" i="19"/>
  <c r="P2961" i="19"/>
  <c r="P2960" i="19"/>
  <c r="P2959" i="19"/>
  <c r="P2958" i="19"/>
  <c r="P2957" i="19"/>
  <c r="P2956" i="19"/>
  <c r="P2955" i="19"/>
  <c r="P2954" i="19"/>
  <c r="P2953" i="19"/>
  <c r="P2952" i="19"/>
  <c r="P2951" i="19"/>
  <c r="P2950" i="19"/>
  <c r="P2949" i="19"/>
  <c r="P2948" i="19"/>
  <c r="P2947" i="19"/>
  <c r="P2946" i="19"/>
  <c r="P2945" i="19"/>
  <c r="P2944" i="19"/>
  <c r="P2943" i="19"/>
  <c r="P2942" i="19"/>
  <c r="P2941" i="19"/>
  <c r="P2940" i="19"/>
  <c r="P2939" i="19"/>
  <c r="P2938" i="19"/>
  <c r="P2937" i="19"/>
  <c r="P2936" i="19"/>
  <c r="P2935" i="19"/>
  <c r="P2934" i="19"/>
  <c r="P2933" i="19"/>
  <c r="P2932" i="19"/>
  <c r="P2931" i="19"/>
  <c r="P2930" i="19"/>
  <c r="P2929" i="19"/>
  <c r="P2928" i="19"/>
  <c r="P2927" i="19"/>
  <c r="P2926" i="19"/>
  <c r="P2925" i="19"/>
  <c r="P2924" i="19"/>
  <c r="P2923" i="19"/>
  <c r="P2922" i="19"/>
  <c r="P2921" i="19"/>
  <c r="P2920" i="19"/>
  <c r="P2919" i="19"/>
  <c r="P2918" i="19"/>
  <c r="P2917" i="19"/>
  <c r="P2916" i="19"/>
  <c r="P2915" i="19"/>
  <c r="P2914" i="19"/>
  <c r="P2913" i="19"/>
  <c r="P2912" i="19"/>
  <c r="P2911" i="19"/>
  <c r="P2910" i="19"/>
  <c r="P2909" i="19"/>
  <c r="P2908" i="19"/>
  <c r="P2907" i="19"/>
  <c r="P2906" i="19"/>
  <c r="P2905" i="19"/>
  <c r="P2904" i="19"/>
  <c r="P2903" i="19"/>
  <c r="P2902" i="19"/>
  <c r="P2901" i="19"/>
  <c r="P2900" i="19"/>
  <c r="P2899" i="19"/>
  <c r="P2898" i="19"/>
  <c r="P2897" i="19"/>
  <c r="P2896" i="19"/>
  <c r="P2895" i="19"/>
  <c r="P2894" i="19"/>
  <c r="P2893" i="19"/>
  <c r="P2892" i="19"/>
  <c r="P2891" i="19"/>
  <c r="P2890" i="19"/>
  <c r="P2889" i="19"/>
  <c r="P2888" i="19"/>
  <c r="P2887" i="19"/>
  <c r="P2886" i="19"/>
  <c r="P2885" i="19"/>
  <c r="P2884" i="19"/>
  <c r="P2883" i="19"/>
  <c r="P2882" i="19"/>
  <c r="P2881" i="19"/>
  <c r="P2880" i="19"/>
  <c r="P2879" i="19"/>
  <c r="P2878" i="19"/>
  <c r="P2877" i="19"/>
  <c r="P2876" i="19"/>
  <c r="P2875" i="19"/>
  <c r="P2874" i="19"/>
  <c r="P2873" i="19"/>
  <c r="P2872" i="19"/>
  <c r="P2871" i="19"/>
  <c r="P2870" i="19"/>
  <c r="P2869" i="19"/>
  <c r="P2868" i="19"/>
  <c r="P2867" i="19"/>
  <c r="P2866" i="19"/>
  <c r="P2865" i="19"/>
  <c r="P2864" i="19"/>
  <c r="P2863" i="19"/>
  <c r="P2862" i="19"/>
  <c r="P2861" i="19"/>
  <c r="P2860" i="19"/>
  <c r="P2859" i="19"/>
  <c r="P2858" i="19"/>
  <c r="P2857" i="19"/>
  <c r="P2856" i="19"/>
  <c r="P2855" i="19"/>
  <c r="P2854" i="19"/>
  <c r="P2853" i="19"/>
  <c r="P2852" i="19"/>
  <c r="P2851" i="19"/>
  <c r="P2850" i="19"/>
  <c r="P2849" i="19"/>
  <c r="P2848" i="19"/>
  <c r="P2847" i="19"/>
  <c r="P2846" i="19"/>
  <c r="P2845" i="19"/>
  <c r="P2844" i="19"/>
  <c r="P2843" i="19"/>
  <c r="P2842" i="19"/>
  <c r="P2841" i="19"/>
  <c r="P2840" i="19"/>
  <c r="P2839" i="19"/>
  <c r="P2838" i="19"/>
  <c r="P2837" i="19"/>
  <c r="P2836" i="19"/>
  <c r="P2835" i="19"/>
  <c r="P2834" i="19"/>
  <c r="P2833" i="19"/>
  <c r="P2832" i="19"/>
  <c r="P2831" i="19"/>
  <c r="P2830" i="19"/>
  <c r="P2829" i="19"/>
  <c r="P2828" i="19"/>
  <c r="P2827" i="19"/>
  <c r="P2826" i="19"/>
  <c r="P2825" i="19"/>
  <c r="P2824" i="19"/>
  <c r="P2823" i="19"/>
  <c r="P2822" i="19"/>
  <c r="P2821" i="19"/>
  <c r="P2820" i="19"/>
  <c r="P2819" i="19"/>
  <c r="P2818" i="19"/>
  <c r="P2817" i="19"/>
  <c r="P2816" i="19"/>
  <c r="P2815" i="19"/>
  <c r="P2814" i="19"/>
  <c r="P2813" i="19"/>
  <c r="P2812" i="19"/>
  <c r="P2811" i="19"/>
  <c r="P2810" i="19"/>
  <c r="P2809" i="19"/>
  <c r="P2808" i="19"/>
  <c r="P2807" i="19"/>
  <c r="P2806" i="19"/>
  <c r="P2805" i="19"/>
  <c r="P2804" i="19"/>
  <c r="P2803" i="19"/>
  <c r="P2802" i="19"/>
  <c r="P2801" i="19"/>
  <c r="P2800" i="19"/>
  <c r="P2799" i="19"/>
  <c r="P2798" i="19"/>
  <c r="P2797" i="19"/>
  <c r="P2796" i="19"/>
  <c r="P2795" i="19"/>
  <c r="P2794" i="19"/>
  <c r="P2793" i="19"/>
  <c r="P2792" i="19"/>
  <c r="P2791" i="19"/>
  <c r="P2790" i="19"/>
  <c r="P2789" i="19"/>
  <c r="P2788" i="19"/>
  <c r="P2787" i="19"/>
  <c r="P2786" i="19"/>
  <c r="P2785" i="19"/>
  <c r="P2784" i="19"/>
  <c r="P2783" i="19"/>
  <c r="P2782" i="19"/>
  <c r="P2781" i="19"/>
  <c r="P2780" i="19"/>
  <c r="P2779" i="19"/>
  <c r="P2778" i="19"/>
  <c r="P2777" i="19"/>
  <c r="P2776" i="19"/>
  <c r="P2775" i="19"/>
  <c r="P2774" i="19"/>
  <c r="P2773" i="19"/>
  <c r="P2772" i="19"/>
  <c r="P2771" i="19"/>
  <c r="P2770" i="19"/>
  <c r="P2769" i="19"/>
  <c r="P2768" i="19"/>
  <c r="P2767" i="19"/>
  <c r="P2766" i="19"/>
  <c r="P2765" i="19"/>
  <c r="P2764" i="19"/>
  <c r="P2763" i="19"/>
  <c r="P2762" i="19"/>
  <c r="P2761" i="19"/>
  <c r="P2760" i="19"/>
  <c r="P2759" i="19"/>
  <c r="P2758" i="19"/>
  <c r="P2757" i="19"/>
  <c r="P2756" i="19"/>
  <c r="P2755" i="19"/>
  <c r="P2754" i="19"/>
  <c r="P2753" i="19"/>
  <c r="P2752" i="19"/>
  <c r="P2751" i="19"/>
  <c r="P2750" i="19"/>
  <c r="P2749" i="19"/>
  <c r="P2748" i="19"/>
  <c r="P2747" i="19"/>
  <c r="P2746" i="19"/>
  <c r="P2745" i="19"/>
  <c r="P2744" i="19"/>
  <c r="P2743" i="19"/>
  <c r="P2742" i="19"/>
  <c r="P2741" i="19"/>
  <c r="P2740" i="19"/>
  <c r="P2739" i="19"/>
  <c r="P2738" i="19"/>
  <c r="P2737" i="19"/>
  <c r="P2736" i="19"/>
  <c r="P2735" i="19"/>
  <c r="P2734" i="19"/>
  <c r="P2733" i="19"/>
  <c r="P2732" i="19"/>
  <c r="P2731" i="19"/>
  <c r="P2730" i="19"/>
  <c r="P2729" i="19"/>
  <c r="P2728" i="19"/>
  <c r="P2727" i="19"/>
  <c r="P2726" i="19"/>
  <c r="P2725" i="19"/>
  <c r="P2724" i="19"/>
  <c r="P2723" i="19"/>
  <c r="P2722" i="19"/>
  <c r="P2721" i="19"/>
  <c r="P2720" i="19"/>
  <c r="P2719" i="19"/>
  <c r="P2718" i="19"/>
  <c r="P2717" i="19"/>
  <c r="P2716" i="19"/>
  <c r="P2715" i="19"/>
  <c r="P2714" i="19"/>
  <c r="P2713" i="19"/>
  <c r="P2712" i="19"/>
  <c r="P2711" i="19"/>
  <c r="P2710" i="19"/>
  <c r="P2709" i="19"/>
  <c r="P2708" i="19"/>
  <c r="P2707" i="19"/>
  <c r="P2706" i="19"/>
  <c r="P2705" i="19"/>
  <c r="P2704" i="19"/>
  <c r="P2703" i="19"/>
  <c r="P2702" i="19"/>
  <c r="P2701" i="19"/>
  <c r="P2700" i="19"/>
  <c r="P2699" i="19"/>
  <c r="P2698" i="19"/>
  <c r="P2697" i="19"/>
  <c r="P2696" i="19"/>
  <c r="P2695" i="19"/>
  <c r="P2694" i="19"/>
  <c r="P2693" i="19"/>
  <c r="P2692" i="19"/>
  <c r="P2691" i="19"/>
  <c r="P2690" i="19"/>
  <c r="P2689" i="19"/>
  <c r="P2688" i="19"/>
  <c r="P2687" i="19"/>
  <c r="P2686" i="19"/>
  <c r="P2685" i="19"/>
  <c r="P2684" i="19"/>
  <c r="P2683" i="19"/>
  <c r="P2682" i="19"/>
  <c r="P2681" i="19"/>
  <c r="P2680" i="19"/>
  <c r="P2679" i="19"/>
  <c r="P2678" i="19"/>
  <c r="P2677" i="19"/>
  <c r="P2676" i="19"/>
  <c r="P2675" i="19"/>
  <c r="P2674" i="19"/>
  <c r="P2673" i="19"/>
  <c r="P2672" i="19"/>
  <c r="P2671" i="19"/>
  <c r="P2670" i="19"/>
  <c r="P2669" i="19"/>
  <c r="P2668" i="19"/>
  <c r="P2667" i="19"/>
  <c r="P2666" i="19"/>
  <c r="P2665" i="19"/>
  <c r="P2664" i="19"/>
  <c r="P2663" i="19"/>
  <c r="P2662" i="19"/>
  <c r="P2661" i="19"/>
  <c r="P2660" i="19"/>
  <c r="P2659" i="19"/>
  <c r="P2658" i="19"/>
  <c r="P2657" i="19"/>
  <c r="P2656" i="19"/>
  <c r="P2655" i="19"/>
  <c r="P2654" i="19"/>
  <c r="P2653" i="19"/>
  <c r="P2652" i="19"/>
  <c r="P2651" i="19"/>
  <c r="P2650" i="19"/>
  <c r="P2649" i="19"/>
  <c r="P2648" i="19"/>
  <c r="P2647" i="19"/>
  <c r="P2646" i="19"/>
  <c r="P2645" i="19"/>
  <c r="P2644" i="19"/>
  <c r="P2643" i="19"/>
  <c r="P2642" i="19"/>
  <c r="P2641" i="19"/>
  <c r="P2640" i="19"/>
  <c r="P2639" i="19"/>
  <c r="P2638" i="19"/>
  <c r="P2637" i="19"/>
  <c r="P2636" i="19"/>
  <c r="P2635" i="19"/>
  <c r="P2634" i="19"/>
  <c r="P2633" i="19"/>
  <c r="P2632" i="19"/>
  <c r="P2631" i="19"/>
  <c r="P2630" i="19"/>
  <c r="P2629" i="19"/>
  <c r="P2628" i="19"/>
  <c r="P2627" i="19"/>
  <c r="P2626" i="19"/>
  <c r="P2625" i="19"/>
  <c r="P2624" i="19"/>
  <c r="P2623" i="19"/>
  <c r="P2622" i="19"/>
  <c r="P2621" i="19"/>
  <c r="P2620" i="19"/>
  <c r="P2619" i="19"/>
  <c r="P2618" i="19"/>
  <c r="P2617" i="19"/>
  <c r="P2616" i="19"/>
  <c r="P2615" i="19"/>
  <c r="P2614" i="19"/>
  <c r="P2613" i="19"/>
  <c r="P2612" i="19"/>
  <c r="P2611" i="19"/>
  <c r="P2610" i="19"/>
  <c r="P2609" i="19"/>
  <c r="P2608" i="19"/>
  <c r="P2607" i="19"/>
  <c r="P2606" i="19"/>
  <c r="P2605" i="19"/>
  <c r="P2604" i="19"/>
  <c r="P2603" i="19"/>
  <c r="P2602" i="19"/>
  <c r="P2601" i="19"/>
  <c r="P2600" i="19"/>
  <c r="P2599" i="19"/>
  <c r="P2598" i="19"/>
  <c r="P2597" i="19"/>
  <c r="P2596" i="19"/>
  <c r="P2595" i="19"/>
  <c r="P2594" i="19"/>
  <c r="P2593" i="19"/>
  <c r="P2592" i="19"/>
  <c r="P2591" i="19"/>
  <c r="P2590" i="19"/>
  <c r="P2589" i="19"/>
  <c r="P2588" i="19"/>
  <c r="P2587" i="19"/>
  <c r="P2586" i="19"/>
  <c r="P2585" i="19"/>
  <c r="P2584" i="19"/>
  <c r="P2583" i="19"/>
  <c r="P2582" i="19"/>
  <c r="P2581" i="19"/>
  <c r="P2580" i="19"/>
  <c r="P2579" i="19"/>
  <c r="P2578" i="19"/>
  <c r="P2577" i="19"/>
  <c r="P2576" i="19"/>
  <c r="P2575" i="19"/>
  <c r="P2574" i="19"/>
  <c r="P2573" i="19"/>
  <c r="P2572" i="19"/>
  <c r="P2571" i="19"/>
  <c r="P2570" i="19"/>
  <c r="P2569" i="19"/>
  <c r="P2568" i="19"/>
  <c r="P2567" i="19"/>
  <c r="P2566" i="19"/>
  <c r="P2565" i="19"/>
  <c r="P2564" i="19"/>
  <c r="P2563" i="19"/>
  <c r="P2562" i="19"/>
  <c r="P2561" i="19"/>
  <c r="P2560" i="19"/>
  <c r="P2559" i="19"/>
  <c r="P2558" i="19"/>
  <c r="P2557" i="19"/>
  <c r="P2556" i="19"/>
  <c r="P2555" i="19"/>
  <c r="P2554" i="19"/>
  <c r="P2553" i="19"/>
  <c r="P2552" i="19"/>
  <c r="P2551" i="19"/>
  <c r="P2550" i="19"/>
  <c r="P2549" i="19"/>
  <c r="P2548" i="19"/>
  <c r="P2547" i="19"/>
  <c r="P2546" i="19"/>
  <c r="P2545" i="19"/>
  <c r="P2544" i="19"/>
  <c r="P2543" i="19"/>
  <c r="P2542" i="19"/>
  <c r="P2541" i="19"/>
  <c r="P2540" i="19"/>
  <c r="P2539" i="19"/>
  <c r="P2538" i="19"/>
  <c r="P2537" i="19"/>
  <c r="P2536" i="19"/>
  <c r="P2535" i="19"/>
  <c r="P2534" i="19"/>
  <c r="P2533" i="19"/>
  <c r="P2532" i="19"/>
  <c r="P2531" i="19"/>
  <c r="P2530" i="19"/>
  <c r="P2529" i="19"/>
  <c r="P2528" i="19"/>
  <c r="P2527" i="19"/>
  <c r="P2526" i="19"/>
  <c r="P2525" i="19"/>
  <c r="P2524" i="19"/>
  <c r="P2523" i="19"/>
  <c r="P2522" i="19"/>
  <c r="P2521" i="19"/>
  <c r="P2520" i="19"/>
  <c r="P2519" i="19"/>
  <c r="P2518" i="19"/>
  <c r="P2517" i="19"/>
  <c r="P2516" i="19"/>
  <c r="P2515" i="19"/>
  <c r="P2514" i="19"/>
  <c r="P2513" i="19"/>
  <c r="P2512" i="19"/>
  <c r="P2511" i="19"/>
  <c r="P2510" i="19"/>
  <c r="P2509" i="19"/>
  <c r="P2508" i="19"/>
  <c r="P2507" i="19"/>
  <c r="P2506" i="19"/>
  <c r="P2505" i="19"/>
  <c r="P2504" i="19"/>
  <c r="P2503" i="19"/>
  <c r="P2502" i="19"/>
  <c r="P2501" i="19"/>
  <c r="P2500" i="19"/>
  <c r="P2499" i="19"/>
  <c r="P2498" i="19"/>
  <c r="P2497" i="19"/>
  <c r="P2496" i="19"/>
  <c r="P2495" i="19"/>
  <c r="P2494" i="19"/>
  <c r="P2493" i="19"/>
  <c r="P2492" i="19"/>
  <c r="P2491" i="19"/>
  <c r="P2490" i="19"/>
  <c r="P2489" i="19"/>
  <c r="P2488" i="19"/>
  <c r="P2487" i="19"/>
  <c r="P2486" i="19"/>
  <c r="P2485" i="19"/>
  <c r="P2484" i="19"/>
  <c r="P2483" i="19"/>
  <c r="P2482" i="19"/>
  <c r="P2481" i="19"/>
  <c r="P2480" i="19"/>
  <c r="P2479" i="19"/>
  <c r="P2478" i="19"/>
  <c r="P2477" i="19"/>
  <c r="P2476" i="19"/>
  <c r="P2475" i="19"/>
  <c r="P2474" i="19"/>
  <c r="P2473" i="19"/>
  <c r="P2472" i="19"/>
  <c r="P2471" i="19"/>
  <c r="P2470" i="19"/>
  <c r="P2469" i="19"/>
  <c r="P2468" i="19"/>
  <c r="P2467" i="19"/>
  <c r="P2466" i="19"/>
  <c r="P2465" i="19"/>
  <c r="P2464" i="19"/>
  <c r="P2463" i="19"/>
  <c r="P2462" i="19"/>
  <c r="P2461" i="19"/>
  <c r="P2460" i="19"/>
  <c r="P2459" i="19"/>
  <c r="P2458" i="19"/>
  <c r="P2457" i="19"/>
  <c r="P2456" i="19"/>
  <c r="P2455" i="19"/>
  <c r="P2454" i="19"/>
  <c r="P2453" i="19"/>
  <c r="P2452" i="19"/>
  <c r="P2451" i="19"/>
  <c r="P2450" i="19"/>
  <c r="P2449" i="19"/>
  <c r="P2448" i="19"/>
  <c r="P2447" i="19"/>
  <c r="P2446" i="19"/>
  <c r="P2445" i="19"/>
  <c r="P2444" i="19"/>
  <c r="P2443" i="19"/>
  <c r="P2442" i="19"/>
  <c r="P2441" i="19"/>
  <c r="P2440" i="19"/>
  <c r="P2439" i="19"/>
  <c r="P2438" i="19"/>
  <c r="P2437" i="19"/>
  <c r="P2436" i="19"/>
  <c r="P2435" i="19"/>
  <c r="P2434" i="19"/>
  <c r="P2433" i="19"/>
  <c r="P2432" i="19"/>
  <c r="P2431" i="19"/>
  <c r="P2430" i="19"/>
  <c r="P2429" i="19"/>
  <c r="P2428" i="19"/>
  <c r="P2427" i="19"/>
  <c r="P2426" i="19"/>
  <c r="P2425" i="19"/>
  <c r="P2424" i="19"/>
  <c r="P2423" i="19"/>
  <c r="P2422" i="19"/>
  <c r="P2421" i="19"/>
  <c r="P2420" i="19"/>
  <c r="P2419" i="19"/>
  <c r="P2418" i="19"/>
  <c r="P2417" i="19"/>
  <c r="P2416" i="19"/>
  <c r="P2415" i="19"/>
  <c r="P2414" i="19"/>
  <c r="P2413" i="19"/>
  <c r="P2412" i="19"/>
  <c r="P2411" i="19"/>
  <c r="P2410" i="19"/>
  <c r="P2409" i="19"/>
  <c r="P2408" i="19"/>
  <c r="P2407" i="19"/>
  <c r="P2406" i="19"/>
  <c r="P2405" i="19"/>
  <c r="P2404" i="19"/>
  <c r="P2403" i="19"/>
  <c r="P2402" i="19"/>
  <c r="P2401" i="19"/>
  <c r="P2400" i="19"/>
  <c r="P2399" i="19"/>
  <c r="P2398" i="19"/>
  <c r="P2397" i="19"/>
  <c r="P2396" i="19"/>
  <c r="P2395" i="19"/>
  <c r="P2394" i="19"/>
  <c r="P2393" i="19"/>
  <c r="P2392" i="19"/>
  <c r="P2391" i="19"/>
  <c r="P2390" i="19"/>
  <c r="P2389" i="19"/>
  <c r="P2388" i="19"/>
  <c r="P2387" i="19"/>
  <c r="P2386" i="19"/>
  <c r="P2385" i="19"/>
  <c r="P2384" i="19"/>
  <c r="P2383" i="19"/>
  <c r="P2382" i="19"/>
  <c r="P2381" i="19"/>
  <c r="P2380" i="19"/>
  <c r="P2379" i="19"/>
  <c r="P2378" i="19"/>
  <c r="P3" i="19" a="1"/>
  <c r="K25" i="16" a="1"/>
  <c r="M26" i="32" a="1"/>
  <c r="M13" i="32" a="1"/>
  <c r="M9" i="32" a="1"/>
  <c r="L40" i="16" a="1"/>
  <c r="L24" i="16" a="1"/>
  <c r="L40" i="32" a="1"/>
  <c r="L36" i="32" a="1"/>
  <c r="L19" i="16" a="1"/>
  <c r="L7" i="32" a="1"/>
  <c r="L19" i="32" a="1"/>
  <c r="L20" i="32" a="1"/>
  <c r="L7" i="16" a="1"/>
  <c r="N2377" i="19" a="1"/>
  <c r="N1393" i="19" a="1"/>
  <c r="N2086" i="19" a="1"/>
  <c r="N1449" i="19" a="1"/>
  <c r="N2158" i="19" a="1"/>
  <c r="N1888" i="19" a="1"/>
  <c r="N2218" i="19" a="1"/>
  <c r="N884" i="19" a="1"/>
  <c r="N1985" i="19" a="1"/>
  <c r="N537" i="19" a="1"/>
  <c r="N1906" i="19" a="1"/>
  <c r="N1027" i="19" a="1"/>
  <c r="N1325" i="19" a="1"/>
  <c r="N1868" i="19" a="1"/>
  <c r="N2137" i="19" a="1"/>
  <c r="N1673" i="19" a="1"/>
  <c r="N1974" i="19" a="1"/>
  <c r="N2107" i="19" a="1"/>
  <c r="N479" i="19" a="1"/>
  <c r="N1242" i="19" a="1"/>
  <c r="N461" i="19" a="1"/>
  <c r="N1495" i="19" a="1"/>
  <c r="N2329" i="19" a="1"/>
  <c r="N1691" i="19" a="1"/>
  <c r="N873" i="19" a="1"/>
  <c r="N2261" i="19" a="1"/>
  <c r="N1203" i="19" a="1"/>
  <c r="N1196" i="19" a="1"/>
  <c r="N592" i="19" a="1"/>
  <c r="N1705" i="19" a="1"/>
  <c r="N2239" i="19" a="1"/>
  <c r="N2321" i="19" a="1"/>
  <c r="N1455" i="19" a="1"/>
  <c r="N1572" i="19" a="1"/>
  <c r="N1937" i="19" a="1"/>
  <c r="N2271" i="19" a="1"/>
  <c r="N2004" i="19" a="1"/>
  <c r="N2353" i="19" a="1"/>
  <c r="N2027" i="19" a="1"/>
  <c r="N2284" i="19" a="1"/>
  <c r="N2155" i="19" a="1"/>
  <c r="N2181" i="19" a="1"/>
  <c r="N2023" i="19" a="1"/>
  <c r="N2291" i="19" a="1"/>
  <c r="N1236" i="19" a="1"/>
  <c r="N1209" i="19" a="1"/>
  <c r="N1375" i="19" a="1"/>
  <c r="N1122" i="19" a="1"/>
  <c r="N2111" i="19" a="1"/>
  <c r="N2343" i="19" a="1"/>
  <c r="N828" i="19" a="1"/>
  <c r="N525" i="19" a="1"/>
  <c r="N676" i="19" a="1"/>
  <c r="N1756" i="19" a="1"/>
  <c r="N639" i="19" a="1"/>
  <c r="N911" i="19" a="1"/>
  <c r="N1166" i="19" a="1"/>
  <c r="N2213" i="19" a="1"/>
  <c r="N1128" i="19" a="1"/>
  <c r="N1553" i="19" a="1"/>
  <c r="N1532" i="19" a="1"/>
  <c r="N1097" i="19" a="1"/>
  <c r="N738" i="19" a="1"/>
  <c r="N1761" i="19" a="1"/>
  <c r="N1147" i="19" a="1"/>
  <c r="N2031" i="19" a="1"/>
  <c r="N1588" i="19" a="1"/>
  <c r="N1486" i="19" a="1"/>
  <c r="N370" i="19" a="1"/>
  <c r="N1995" i="19" a="1"/>
  <c r="N281" i="19" a="1"/>
  <c r="N1079" i="19" a="1"/>
  <c r="N279" i="19" a="1"/>
  <c r="N327" i="19" a="1"/>
  <c r="N2325" i="19" a="1"/>
  <c r="N1037" i="19" a="1"/>
  <c r="N1487" i="19" a="1"/>
  <c r="N1362" i="19" a="1"/>
  <c r="N2236" i="19" a="1"/>
  <c r="N2304" i="19" a="1"/>
  <c r="N1333" i="19" a="1"/>
  <c r="N1518" i="19" a="1"/>
  <c r="N1376" i="19" a="1"/>
  <c r="N584" i="19" a="1"/>
  <c r="N58" i="19" a="1"/>
  <c r="N205" i="19" a="1"/>
  <c r="N424" i="19" a="1"/>
  <c r="N2115" i="19" a="1"/>
  <c r="N1493" i="19" a="1"/>
  <c r="N1295" i="19" a="1"/>
  <c r="N1211" i="19" a="1"/>
  <c r="N701" i="19" a="1"/>
  <c r="N2240" i="19" a="1"/>
  <c r="N1975" i="19" a="1"/>
  <c r="N1821" i="19" a="1"/>
  <c r="N749" i="19" a="1"/>
  <c r="N1095" i="19" a="1"/>
  <c r="N1205" i="19" a="1"/>
  <c r="N14" i="19" a="1"/>
  <c r="N85" i="19" a="1"/>
  <c r="N127" i="19" a="1"/>
  <c r="N480" i="19" a="1"/>
  <c r="N1773" i="19" a="1"/>
  <c r="N1304" i="19" a="1"/>
  <c r="N357" i="19" a="1"/>
  <c r="N439" i="19" a="1"/>
  <c r="N193" i="19" a="1"/>
  <c r="N508" i="19" a="1"/>
  <c r="N35" i="19" a="1"/>
  <c r="N1164" i="19" a="1"/>
  <c r="N882" i="19" a="1"/>
  <c r="N1151" i="19" a="1"/>
  <c r="N2357" i="19" a="1"/>
  <c r="L3" i="32" a="1"/>
  <c r="K5" i="16" a="1"/>
  <c r="K20" i="16" a="1"/>
  <c r="M14" i="32" a="1"/>
  <c r="L18" i="32" a="1"/>
  <c r="M39" i="32" a="1"/>
  <c r="L33" i="16" a="1"/>
  <c r="L28" i="16" a="1"/>
  <c r="M22" i="32" a="1"/>
  <c r="M3" i="32" a="1"/>
  <c r="M34" i="32" a="1"/>
  <c r="M31" i="32" a="1"/>
  <c r="L34" i="16" a="1"/>
  <c r="N2364" i="19" a="1"/>
  <c r="N1321" i="19" a="1"/>
  <c r="N1905" i="19" a="1"/>
  <c r="N1272" i="19" a="1"/>
  <c r="N1969" i="19" a="1"/>
  <c r="N1535" i="19" a="1"/>
  <c r="N1887" i="19" a="1"/>
  <c r="N717" i="19" a="1"/>
  <c r="N1391" i="19" a="1"/>
  <c r="N376" i="19" a="1"/>
  <c r="N1819" i="19" a="1"/>
  <c r="N955" i="19" a="1"/>
  <c r="N1155" i="19" a="1"/>
  <c r="N1763" i="19" a="1"/>
  <c r="N1846" i="19" a="1"/>
  <c r="N1353" i="19" a="1"/>
  <c r="N1583" i="19" a="1"/>
  <c r="N1740" i="19" a="1"/>
  <c r="N335" i="19" a="1"/>
  <c r="N880" i="19" a="1"/>
  <c r="N288" i="19" a="1"/>
  <c r="N1423" i="19" a="1"/>
  <c r="N2149" i="19" a="1"/>
  <c r="N1521" i="19" a="1"/>
  <c r="N2242" i="19" a="1"/>
  <c r="N1946" i="19" a="1"/>
  <c r="N2323" i="19" a="1"/>
  <c r="N936" i="19" a="1"/>
  <c r="N2184" i="19" a="1"/>
  <c r="N1633" i="19" a="1"/>
  <c r="N2095" i="19" a="1"/>
  <c r="N2179" i="19" a="1"/>
  <c r="N1251" i="19" a="1"/>
  <c r="N1330" i="19" a="1"/>
  <c r="N1726" i="19" a="1"/>
  <c r="N1909" i="19" a="1"/>
  <c r="N1831" i="19" a="1"/>
  <c r="N2101" i="19" a="1"/>
  <c r="N1781" i="19" a="1"/>
  <c r="N1900" i="19" a="1"/>
  <c r="N1644" i="19" a="1"/>
  <c r="N1991" i="19" a="1"/>
  <c r="N2337" i="19" a="1"/>
  <c r="N1989" i="19" a="1"/>
  <c r="N2273" i="19" a="1"/>
  <c r="N2127" i="19" a="1"/>
  <c r="N1267" i="19" a="1"/>
  <c r="N2306" i="19" a="1"/>
  <c r="N1832" i="19" a="1"/>
  <c r="N1920" i="19" a="1"/>
  <c r="N612" i="19" a="1"/>
  <c r="N355" i="19" a="1"/>
  <c r="N470" i="19" a="1"/>
  <c r="N1664" i="19" a="1"/>
  <c r="N467" i="19" a="1"/>
  <c r="N653" i="19" a="1"/>
  <c r="N2161" i="19" a="1"/>
  <c r="N1997" i="19" a="1"/>
  <c r="N2254" i="19" a="1"/>
  <c r="N1210" i="19" a="1"/>
  <c r="N1144" i="19" a="1"/>
  <c r="N834" i="19" a="1"/>
  <c r="N511" i="19" a="1"/>
  <c r="N1191" i="19" a="1"/>
  <c r="N1039" i="19" a="1"/>
  <c r="N1632" i="19" a="1"/>
  <c r="N2160" i="19" a="1"/>
  <c r="N1156" i="19" a="1"/>
  <c r="N2190" i="19" a="1"/>
  <c r="N1492" i="19" a="1"/>
  <c r="N108" i="19" a="1"/>
  <c r="N823" i="19" a="1"/>
  <c r="N119" i="19" a="1"/>
  <c r="N75" i="19" a="1"/>
  <c r="N2305" i="19" a="1"/>
  <c r="N2140" i="19" a="1"/>
  <c r="N1896" i="19" a="1"/>
  <c r="N782" i="19" a="1"/>
  <c r="N1192" i="19" a="1"/>
  <c r="N1360" i="19" a="1"/>
  <c r="N1141" i="19" a="1"/>
  <c r="N927" i="19" a="1"/>
  <c r="N1947" i="19" a="1"/>
  <c r="N381" i="19" a="1"/>
  <c r="N1911" i="19" a="1"/>
  <c r="N2223" i="19" a="1"/>
  <c r="N98" i="19" a="1"/>
  <c r="N2180" i="19" a="1"/>
  <c r="N1956" i="19" a="1"/>
  <c r="N743" i="19" a="1"/>
  <c r="N799" i="19" a="1"/>
  <c r="N477" i="19" a="1"/>
  <c r="N1867" i="19" a="1"/>
  <c r="N1364" i="19" a="1"/>
  <c r="N2087" i="19" a="1"/>
  <c r="N2366" i="19" a="1"/>
  <c r="N781" i="19" a="1"/>
  <c r="N831" i="19" a="1"/>
  <c r="N1640" i="19" a="1"/>
  <c r="N1229" i="19" a="1"/>
  <c r="N1437" i="19" a="1"/>
  <c r="N27" i="19" a="1"/>
  <c r="N1312" i="19" a="1"/>
  <c r="N2034" i="19" a="1"/>
  <c r="N1987" i="19" a="1"/>
  <c r="N174" i="19" a="1"/>
  <c r="N2151" i="19" a="1"/>
  <c r="N310" i="19" a="1"/>
  <c r="N999" i="19" a="1"/>
  <c r="N739" i="19" a="1"/>
  <c r="N291" i="19" a="1"/>
  <c r="N238" i="19" a="1"/>
  <c r="N1971" i="19" a="1"/>
  <c r="L34" i="32" a="1"/>
  <c r="L13" i="32" a="1"/>
  <c r="M33" i="32" a="1"/>
  <c r="M41" i="32" a="1"/>
  <c r="M5" i="32" a="1"/>
  <c r="K18" i="16" a="1"/>
  <c r="K27" i="16" a="1"/>
  <c r="K3" i="16" a="1"/>
  <c r="M21" i="32" a="1"/>
  <c r="M30" i="32" a="1"/>
  <c r="L33" i="32" a="1"/>
  <c r="K21" i="16" a="1"/>
  <c r="M19" i="32" a="1"/>
  <c r="M10" i="32" a="1"/>
  <c r="N2207" i="19" a="1"/>
  <c r="N1177" i="19" a="1"/>
  <c r="N1685" i="19" a="1"/>
  <c r="N2328" i="19" a="1"/>
  <c r="N1674" i="19" a="1"/>
  <c r="N2123" i="19" a="1"/>
  <c r="N1256" i="19" a="1"/>
  <c r="N429" i="19" a="1"/>
  <c r="N780" i="19" a="1"/>
  <c r="N2367" i="19" a="1"/>
  <c r="N1675" i="19" a="1"/>
  <c r="N2174" i="19" a="1"/>
  <c r="N2258" i="19" a="1"/>
  <c r="N1346" i="19" a="1"/>
  <c r="N1468" i="19" a="1"/>
  <c r="N1862" i="19" a="1"/>
  <c r="N2108" i="19" a="1"/>
  <c r="N982" i="19" a="1"/>
  <c r="N1649" i="19" a="1"/>
  <c r="N519" i="19" a="1"/>
  <c r="N1959" i="19" a="1"/>
  <c r="N1279" i="19" a="1"/>
  <c r="N1838" i="19" a="1"/>
  <c r="N1174" i="19" a="1"/>
  <c r="N1848" i="19" a="1"/>
  <c r="N1389" i="19" a="1"/>
  <c r="N1595" i="19" a="1"/>
  <c r="N632" i="19" a="1"/>
  <c r="N1154" i="19" a="1"/>
  <c r="N1489" i="19" a="1"/>
  <c r="N2314" i="19" a="1"/>
  <c r="N1678" i="19" a="1"/>
  <c r="N860" i="19" a="1"/>
  <c r="N2249" i="19" a="1"/>
  <c r="N1193" i="19" a="1"/>
  <c r="N1170" i="19" a="1"/>
  <c r="N1615" i="19" a="1"/>
  <c r="N1698" i="19" a="1"/>
  <c r="N1180" i="19" a="1"/>
  <c r="N2134" i="19" a="1"/>
  <c r="N1757" i="19" a="1"/>
  <c r="N1717" i="19" a="1"/>
  <c r="N1845" i="19" a="1"/>
  <c r="N1494" i="19" a="1"/>
  <c r="N1398" i="19" a="1"/>
  <c r="N2350" i="19" a="1"/>
  <c r="N1051" i="19" a="1"/>
  <c r="N1665" i="19" a="1"/>
  <c r="N2183" i="19" a="1"/>
  <c r="N1184" i="19" a="1"/>
  <c r="N2230" i="19" a="1"/>
  <c r="N1538" i="19" a="1"/>
  <c r="N128" i="19" a="1"/>
  <c r="N858" i="19" a="1"/>
  <c r="N139" i="19" a="1"/>
  <c r="N164" i="19" a="1"/>
  <c r="N1801" i="19" a="1"/>
  <c r="N2000" i="19" a="1"/>
  <c r="N1730" i="19" a="1"/>
  <c r="N1676" i="19" a="1"/>
  <c r="N1545" i="19" a="1"/>
  <c r="N2165" i="19" a="1"/>
  <c r="N135" i="19" a="1"/>
  <c r="N606" i="19" a="1"/>
  <c r="N2200" i="19" a="1"/>
  <c r="N1115" i="19" a="1"/>
  <c r="N1516" i="19" a="1"/>
  <c r="N1520" i="19" a="1"/>
  <c r="N1077" i="19" a="1"/>
  <c r="N729" i="19" a="1"/>
  <c r="N1715" i="19" a="1"/>
  <c r="N444" i="19" a="1"/>
  <c r="N1981" i="19" a="1"/>
  <c r="N608" i="19" a="1"/>
  <c r="N1735" i="19" a="1"/>
  <c r="N1043" i="19" a="1"/>
  <c r="N1662" i="19" a="1"/>
  <c r="N1617" i="19" a="1"/>
  <c r="N510" i="19" a="1"/>
  <c r="N692" i="19" a="1"/>
  <c r="N2128" i="19" a="1"/>
  <c r="N1564" i="19" a="1"/>
  <c r="N1308" i="19" a="1"/>
  <c r="N1294" i="19" a="1"/>
  <c r="N711" i="19" a="1"/>
  <c r="N1121" i="19" a="1"/>
  <c r="N771" i="19" a="1"/>
  <c r="N1469" i="19" a="1"/>
  <c r="N2058" i="19" a="1"/>
  <c r="N2049" i="19" a="1"/>
  <c r="N220" i="19" a="1"/>
  <c r="N2256" i="19" a="1"/>
  <c r="N1513" i="19" a="1"/>
  <c r="N1833" i="19" a="1"/>
  <c r="N2067" i="19" a="1"/>
  <c r="N800" i="19" a="1"/>
  <c r="N213" i="19" a="1"/>
  <c r="N358" i="19" a="1"/>
  <c r="N818" i="19" a="1"/>
  <c r="N353" i="19" a="1"/>
  <c r="N471" i="19" a="1"/>
  <c r="N2233" i="19" a="1"/>
  <c r="N1960" i="19" a="1"/>
  <c r="N1625" i="19" a="1"/>
  <c r="N723" i="19" a="1"/>
  <c r="N1082" i="19" a="1"/>
  <c r="N1188" i="19" a="1"/>
  <c r="N8" i="19" a="1"/>
  <c r="N65" i="19" a="1"/>
  <c r="N83" i="19" a="1"/>
  <c r="N450" i="19" a="1"/>
  <c r="N210" i="19" a="1"/>
  <c r="K37" i="16" a="1"/>
  <c r="L11" i="16" a="1"/>
  <c r="M20" i="32" a="1"/>
  <c r="K15" i="16" a="1"/>
  <c r="K38" i="16" a="1"/>
  <c r="K30" i="16" a="1"/>
  <c r="L10" i="16" a="1"/>
  <c r="L12" i="16" a="1"/>
  <c r="M12" i="32" a="1"/>
  <c r="M38" i="32" a="1"/>
  <c r="N1609" i="19" a="1"/>
  <c r="N1802" i="19" a="1"/>
  <c r="N1772" i="19" a="1"/>
  <c r="N1270" i="19" a="1"/>
  <c r="N1496" i="19" a="1"/>
  <c r="N1776" i="19" a="1"/>
  <c r="N1348" i="19" a="1"/>
  <c r="N1747" i="19" a="1"/>
  <c r="N2219" i="19" a="1"/>
  <c r="N1089" i="19" a="1"/>
  <c r="N1686" i="19" a="1"/>
  <c r="N1119" i="19" a="1"/>
  <c r="N560" i="19" a="1"/>
  <c r="N2209" i="19" a="1"/>
  <c r="N70" i="19" a="1"/>
  <c r="N1711" i="19" a="1"/>
  <c r="N1968" i="19" a="1"/>
  <c r="N1980" i="19" a="1"/>
  <c r="N1601" i="19" a="1"/>
  <c r="N2038" i="19" a="1"/>
  <c r="N2270" i="19" a="1"/>
  <c r="N1965" i="19" a="1"/>
  <c r="N1951" i="19" a="1"/>
  <c r="N1161" i="19" a="1"/>
  <c r="N2193" i="19" a="1"/>
  <c r="N1392" i="19" a="1"/>
  <c r="N619" i="19" a="1"/>
  <c r="N967" i="19" a="1"/>
  <c r="N1503" i="19" a="1"/>
  <c r="N1982" i="19" a="1"/>
  <c r="N1796" i="19" a="1"/>
  <c r="N2039" i="19" a="1"/>
  <c r="N2120" i="19" a="1"/>
  <c r="N1212" i="19" a="1"/>
  <c r="N1159" i="19" a="1"/>
  <c r="N2281" i="19" a="1"/>
  <c r="N1347" i="19" a="1"/>
  <c r="M40" i="32" a="1"/>
  <c r="L32" i="32" a="1"/>
  <c r="M16" i="32" a="1"/>
  <c r="L10" i="32" a="1"/>
  <c r="L39" i="32" a="1"/>
  <c r="K14" i="16" a="1"/>
  <c r="M7" i="32" a="1"/>
  <c r="M37" i="32" a="1"/>
  <c r="L28" i="32" a="1"/>
  <c r="K19" i="16" a="1"/>
  <c r="N1537" i="19" a="1"/>
  <c r="N1515" i="19" a="1"/>
  <c r="N1565" i="19" a="1"/>
  <c r="N1013" i="19" a="1"/>
  <c r="N2263" i="19" a="1"/>
  <c r="N1319" i="19" a="1"/>
  <c r="N940" i="19" a="1"/>
  <c r="N1603" i="19" a="1"/>
  <c r="N2062" i="19" a="1"/>
  <c r="N2301" i="19" a="1"/>
  <c r="N1262" i="19" a="1"/>
  <c r="N2202" i="19" a="1"/>
  <c r="N416" i="19" a="1"/>
  <c r="N1310" i="19" a="1"/>
  <c r="N2234" i="19" a="1"/>
  <c r="N1639" i="19" a="1"/>
  <c r="N1751" i="19" a="1"/>
  <c r="N1815" i="19" a="1"/>
  <c r="N1365" i="19" a="1"/>
  <c r="N1354" i="19" a="1"/>
  <c r="N1970" i="19" a="1"/>
  <c r="N1849" i="19" a="1"/>
  <c r="N2133" i="19" a="1"/>
  <c r="N984" i="19" a="1"/>
  <c r="N1990" i="19" a="1"/>
  <c r="N2309" i="19" a="1"/>
  <c r="N475" i="19" a="1"/>
  <c r="N2272" i="19" a="1"/>
  <c r="N899" i="19" a="1"/>
  <c r="N1637" i="19" a="1"/>
  <c r="N1221" i="19" a="1"/>
  <c r="N1659" i="19" a="1"/>
  <c r="N1857" i="19" a="1"/>
  <c r="N2189" i="19" a="1"/>
  <c r="N943" i="19" a="1"/>
  <c r="N1933" i="19" a="1"/>
  <c r="N2077" i="19" a="1"/>
  <c r="N1689" i="19" a="1"/>
  <c r="N337" i="19" a="1"/>
  <c r="N265" i="19" a="1"/>
  <c r="N38" i="19" a="1"/>
  <c r="N33" i="19" a="1"/>
  <c r="N1045" i="19" a="1"/>
  <c r="N1408" i="19" a="1"/>
  <c r="N2313" i="19" a="1"/>
  <c r="N2210" i="19" a="1"/>
  <c r="N2045" i="19" a="1"/>
  <c r="N1687" i="19" a="1"/>
  <c r="N1096" i="19" a="1"/>
  <c r="N1202" i="19" a="1"/>
  <c r="N2152" i="19" a="1"/>
  <c r="N499" i="19" a="1"/>
  <c r="N1126" i="19" a="1"/>
  <c r="N1419" i="19" a="1"/>
  <c r="N845" i="19" a="1"/>
  <c r="N1543" i="19" a="1"/>
  <c r="N2016" i="19" a="1"/>
  <c r="N501" i="19" a="1"/>
  <c r="N266" i="19" a="1"/>
  <c r="N1576" i="19" a="1"/>
  <c r="N1030" i="19" a="1"/>
  <c r="N756" i="19" a="1"/>
  <c r="N2208" i="19" a="1"/>
  <c r="N630" i="19" a="1"/>
  <c r="N449" i="19" a="1"/>
  <c r="N1017" i="19" a="1"/>
  <c r="N1916" i="19" a="1"/>
  <c r="N2153" i="19" a="1"/>
  <c r="N587" i="19" a="1"/>
  <c r="N1456" i="19" a="1"/>
  <c r="N1332" i="19" a="1"/>
  <c r="N1127" i="19" a="1"/>
  <c r="N2176" i="19" a="1"/>
  <c r="N382" i="19" a="1"/>
  <c r="N217" i="19" a="1"/>
  <c r="N356" i="19" a="1"/>
  <c r="N1318" i="19" a="1"/>
  <c r="N1311" i="19" a="1"/>
  <c r="N1112" i="19" a="1"/>
  <c r="N805" i="19" a="1"/>
  <c r="N301" i="19" a="1"/>
  <c r="N162" i="19" a="1"/>
  <c r="N495" i="19" a="1"/>
  <c r="N1843" i="19" a="1"/>
  <c r="N1798" i="19" a="1"/>
  <c r="N1993" i="19" a="1"/>
  <c r="N754" i="19" a="1"/>
  <c r="N180" i="19" a="1"/>
  <c r="N342" i="19" a="1"/>
  <c r="N683" i="19" a="1"/>
  <c r="N325" i="19" a="1"/>
  <c r="N417" i="19" a="1"/>
  <c r="N509" i="19" a="1"/>
  <c r="N264" i="19" a="1"/>
  <c r="N2289" i="19" a="1"/>
  <c r="N263" i="19" a="1"/>
  <c r="N1803" i="19" a="1"/>
  <c r="N503" i="19" a="1"/>
  <c r="N526" i="19" a="1"/>
  <c r="N611" i="19" a="1"/>
  <c r="R1101" i="19" a="1"/>
  <c r="R1914" i="19" a="1"/>
  <c r="R349" i="19" a="1"/>
  <c r="N2156" i="19" a="1"/>
  <c r="N1785" i="19" a="1"/>
  <c r="N326" i="19" a="1"/>
  <c r="N299" i="19" a="1"/>
  <c r="N1864" i="19" a="1"/>
  <c r="N157" i="19" a="1"/>
  <c r="R1351" i="19" a="1"/>
  <c r="N1718" i="19" a="1"/>
  <c r="N259" i="19" a="1"/>
  <c r="N147" i="19" a="1"/>
  <c r="N2105" i="19" a="1"/>
  <c r="N811" i="19" a="1"/>
  <c r="N1010" i="19" a="1"/>
  <c r="R455" i="19" a="1"/>
  <c r="R854" i="19" a="1"/>
  <c r="L41" i="16" a="1"/>
  <c r="L24" i="32" a="1"/>
  <c r="K24" i="16" a="1"/>
  <c r="M32" i="32" a="1"/>
  <c r="K31" i="16" a="1"/>
  <c r="K36" i="16" a="1"/>
  <c r="L15" i="16" a="1"/>
  <c r="L16" i="16" a="1"/>
  <c r="M4" i="32" a="1"/>
  <c r="M11" i="32" a="1"/>
  <c r="N1465" i="19" a="1"/>
  <c r="N1338" i="19" a="1"/>
  <c r="N1361" i="19" a="1"/>
  <c r="N2104" i="19" a="1"/>
  <c r="N2005" i="19" a="1"/>
  <c r="N990" i="19" a="1"/>
  <c r="N720" i="19" a="1"/>
  <c r="N1531" i="19" a="1"/>
  <c r="N1897" i="19" a="1"/>
  <c r="N2084" i="19" a="1"/>
  <c r="N1005" i="19" a="1"/>
  <c r="N1817" i="19" a="1"/>
  <c r="N272" i="19" a="1"/>
  <c r="N930" i="19" a="1"/>
  <c r="N1668" i="19" a="1"/>
  <c r="N1567" i="19" a="1"/>
  <c r="N1587" i="19" a="1"/>
  <c r="N1683" i="19" a="1"/>
  <c r="N1167" i="19" a="1"/>
  <c r="N1106" i="19" a="1"/>
  <c r="N1522" i="19" a="1"/>
  <c r="N1777" i="19" a="1"/>
  <c r="N1953" i="19" a="1"/>
  <c r="N2197" i="19" a="1"/>
  <c r="N1752" i="19" a="1"/>
  <c r="N2021" i="19" a="1"/>
  <c r="N331" i="19" a="1"/>
  <c r="N2056" i="19" a="1"/>
  <c r="N2185" i="19" a="1"/>
  <c r="N1222" i="19" a="1"/>
  <c r="N855" i="19" a="1"/>
  <c r="N1430" i="19" a="1"/>
  <c r="N1650" i="19" a="1"/>
  <c r="N1608" i="19" a="1"/>
  <c r="N2226" i="19" a="1"/>
  <c r="N1746" i="19" a="1"/>
  <c r="L11" i="32" a="1"/>
  <c r="L37" i="32" a="1"/>
  <c r="L35" i="32" a="1"/>
  <c r="L27" i="16" a="1"/>
  <c r="L26" i="16" a="1"/>
  <c r="L16" i="32" a="1"/>
  <c r="K4" i="16" a="1"/>
  <c r="L5" i="32" a="1"/>
  <c r="L22" i="16" a="1"/>
  <c r="L25" i="32" a="1"/>
  <c r="N1249" i="19" a="1"/>
  <c r="N1168" i="19" a="1"/>
  <c r="N1157" i="19" a="1"/>
  <c r="N2360" i="19" a="1"/>
  <c r="N1607" i="19" a="1"/>
  <c r="N821" i="19" a="1"/>
  <c r="N207" i="19" a="1"/>
  <c r="N1459" i="19" a="1"/>
  <c r="N1794" i="19" a="1"/>
  <c r="N1550" i="19" a="1"/>
  <c r="N2091" i="19" a="1"/>
  <c r="N1445" i="19" a="1"/>
  <c r="N1257" i="19" a="1"/>
  <c r="N712" i="19" a="1"/>
  <c r="N1080" i="19" a="1"/>
  <c r="N1351" i="19" a="1"/>
  <c r="N1410" i="19" a="1"/>
  <c r="N1479" i="19" a="1"/>
  <c r="N1629" i="19" a="1"/>
  <c r="N2097" i="19" a="1"/>
  <c r="N1120" i="19" a="1"/>
  <c r="N1561" i="19" a="1"/>
  <c r="N1830" i="19" a="1"/>
  <c r="N1942" i="19" a="1"/>
  <c r="N1116" i="19" a="1"/>
  <c r="N1570" i="19" a="1"/>
  <c r="N2251" i="19" a="1"/>
  <c r="N1852" i="19" a="1"/>
  <c r="N1865" i="19" a="1"/>
  <c r="N2248" i="19" a="1"/>
  <c r="N1813" i="19" a="1"/>
  <c r="N1142" i="19" a="1"/>
  <c r="N2229" i="19" a="1"/>
  <c r="N1569" i="19" a="1"/>
  <c r="N2010" i="19" a="1"/>
  <c r="N1432" i="19" a="1"/>
  <c r="N1562" i="19" a="1"/>
  <c r="N841" i="19" a="1"/>
  <c r="N2124" i="19" a="1"/>
  <c r="N1173" i="19" a="1"/>
  <c r="N1844" i="19" a="1"/>
  <c r="N784" i="19" a="1"/>
  <c r="N2267" i="19" a="1"/>
  <c r="N2374" i="19" a="1"/>
  <c r="N1499" i="19" a="1"/>
  <c r="N625" i="19" a="1"/>
  <c r="N871" i="19" a="1"/>
  <c r="N1471" i="19" a="1"/>
  <c r="N1377" i="19" a="1"/>
  <c r="N1666" i="19" a="1"/>
  <c r="N1108" i="19" a="1"/>
  <c r="N1018" i="19" a="1"/>
  <c r="N588" i="19" a="1"/>
  <c r="N804" i="19" a="1"/>
  <c r="N1169" i="19" a="1"/>
  <c r="N1189" i="19" a="1"/>
  <c r="N2013" i="19" a="1"/>
  <c r="N553" i="19" a="1"/>
  <c r="N1994" i="19" a="1"/>
  <c r="N1880" i="19" a="1"/>
  <c r="N1988" i="19" a="1"/>
  <c r="N2071" i="19" a="1"/>
  <c r="N798" i="19" a="1"/>
  <c r="N1529" i="19" a="1"/>
  <c r="N1873" i="19" a="1"/>
  <c r="N1337" i="19" a="1"/>
  <c r="N455" i="19" a="1"/>
  <c r="N790" i="19" a="1"/>
  <c r="N198" i="19" a="1"/>
  <c r="N2375" i="19" a="1"/>
  <c r="N2029" i="19" a="1"/>
  <c r="N447" i="19" a="1"/>
  <c r="N578" i="19" a="1"/>
  <c r="N1350" i="19" a="1"/>
  <c r="N1197" i="19" a="1"/>
  <c r="N1818" i="19" a="1"/>
  <c r="N1824" i="19" a="1"/>
  <c r="N2011" i="19" a="1"/>
  <c r="N1914" i="19" a="1"/>
  <c r="N350" i="19" a="1"/>
  <c r="N1316" i="19" a="1"/>
  <c r="N390" i="19" a="1"/>
  <c r="N583" i="19" a="1"/>
  <c r="N1447" i="19" a="1"/>
  <c r="N2300" i="19" a="1"/>
  <c r="N1708" i="19" a="1"/>
  <c r="N276" i="19" a="1"/>
  <c r="N1533" i="19" a="1"/>
  <c r="N1902" i="19" a="1"/>
  <c r="N45" i="19" a="1"/>
  <c r="N797" i="19" a="1"/>
  <c r="N1592" i="19" a="1"/>
  <c r="N316" i="19" a="1"/>
  <c r="R471" i="19" a="1"/>
  <c r="N1107" i="19" a="1"/>
  <c r="N392" i="19" a="1"/>
  <c r="N647" i="19" a="1"/>
  <c r="N859" i="19" a="1"/>
  <c r="N809" i="19" a="1"/>
  <c r="N1924" i="19" a="1"/>
  <c r="R1497" i="19" a="1"/>
  <c r="R2222" i="19" a="1"/>
  <c r="N1435" i="19" a="1"/>
  <c r="N1775" i="19" a="1"/>
  <c r="N154" i="19" a="1"/>
  <c r="N1799" i="19" a="1"/>
  <c r="N530" i="19" a="1"/>
  <c r="N481" i="19" a="1"/>
  <c r="N1511" i="19" a="1"/>
  <c r="R1988" i="19" a="1"/>
  <c r="N1233" i="19" a="1"/>
  <c r="N1903" i="19" a="1"/>
  <c r="N726" i="19" a="1"/>
  <c r="N221" i="19" a="1"/>
  <c r="N2136" i="19" a="1"/>
  <c r="N721" i="19" a="1"/>
  <c r="R668" i="19" a="1"/>
  <c r="K34" i="16" a="1"/>
  <c r="K41" i="16" a="1"/>
  <c r="L37" i="16" a="1"/>
  <c r="L38" i="32" a="1"/>
  <c r="L21" i="32" a="1"/>
  <c r="K39" i="16" a="1"/>
  <c r="N1919" i="19" a="1"/>
  <c r="N998" i="19" a="1"/>
  <c r="N2150" i="19" a="1"/>
  <c r="N1217" i="19" a="1"/>
  <c r="N492" i="19" a="1"/>
  <c r="N1387" i="19" a="1"/>
  <c r="N1913" i="19" a="1"/>
  <c r="N1877" i="19" a="1"/>
  <c r="N1334" i="19" a="1"/>
  <c r="N529" i="19" a="1"/>
  <c r="N2122" i="19" a="1"/>
  <c r="N1240" i="19" a="1"/>
  <c r="N1540" i="19" a="1"/>
  <c r="N1828" i="19" a="1"/>
  <c r="N695" i="19" a="1"/>
  <c r="N1744" i="19" a="1"/>
  <c r="N2026" i="19" a="1"/>
  <c r="N1342" i="19" a="1"/>
  <c r="N1399" i="19" a="1"/>
  <c r="N1682" i="19" a="1"/>
  <c r="N891" i="19" a="1"/>
  <c r="N2368" i="19" a="1"/>
  <c r="N1800" i="19" a="1"/>
  <c r="N2290" i="19" a="1"/>
  <c r="N1563" i="19" a="1"/>
  <c r="N1158" i="19" a="1"/>
  <c r="N148" i="19" a="1"/>
  <c r="N460" i="19" a="1"/>
  <c r="N110" i="19" a="1"/>
  <c r="N1477" i="19" a="1"/>
  <c r="N1390" i="19" a="1"/>
  <c r="N1907" i="19" a="1"/>
  <c r="N896" i="19" a="1"/>
  <c r="N115" i="19" a="1"/>
  <c r="N1992" i="19" a="1"/>
  <c r="N1814" i="19" a="1"/>
  <c r="N1539" i="19" a="1"/>
  <c r="N321" i="19" a="1"/>
  <c r="N1712" i="19" a="1"/>
  <c r="N626" i="19" a="1"/>
  <c r="N663" i="19" a="1"/>
  <c r="N1697" i="19" a="1"/>
  <c r="N597" i="19" a="1"/>
  <c r="N273" i="19" a="1"/>
  <c r="N1482" i="19" a="1"/>
  <c r="N2294" i="19" a="1"/>
  <c r="N1160" i="19" a="1"/>
  <c r="N577" i="19" a="1"/>
  <c r="N1123" i="19" a="1"/>
  <c r="N2132" i="19" a="1"/>
  <c r="N1764" i="19" a="1"/>
  <c r="N389" i="19" a="1"/>
  <c r="N912" i="19" a="1"/>
  <c r="N2009" i="19" a="1"/>
  <c r="N970" i="19" a="1"/>
  <c r="N132" i="19" a="1"/>
  <c r="N2212" i="19" a="1"/>
  <c r="N1657" i="19" a="1"/>
  <c r="N1470" i="19" a="1"/>
  <c r="N787" i="19" a="1"/>
  <c r="N406" i="19" a="1"/>
  <c r="N55" i="19" a="1"/>
  <c r="N794" i="19" a="1"/>
  <c r="N84" i="19" a="1"/>
  <c r="N939" i="19" a="1"/>
  <c r="N2012" i="19" a="1"/>
  <c r="N538" i="19" a="1"/>
  <c r="N675" i="19" a="1"/>
  <c r="N498" i="19" a="1"/>
  <c r="N419" i="19" a="1"/>
  <c r="N1335" i="19" a="1"/>
  <c r="N953" i="19" a="1"/>
  <c r="N1837" i="19" a="1"/>
  <c r="N1670" i="19" a="1"/>
  <c r="N173" i="19" a="1"/>
  <c r="N246" i="19" a="1"/>
  <c r="N92" i="19" a="1"/>
  <c r="N819" i="19" a="1"/>
  <c r="R16" i="19" a="1"/>
  <c r="R431" i="19" a="1"/>
  <c r="N2319" i="19" a="1"/>
  <c r="N633" i="19" a="1"/>
  <c r="N410" i="19" a="1"/>
  <c r="N349" i="19" a="1"/>
  <c r="N190" i="19" a="1"/>
  <c r="R1146" i="19" a="1"/>
  <c r="N2227" i="19" a="1"/>
  <c r="N237" i="19" a="1"/>
  <c r="N613" i="19" a="1"/>
  <c r="N996" i="19" a="1"/>
  <c r="N1007" i="19" a="1"/>
  <c r="R416" i="19" a="1"/>
  <c r="R1730" i="19" a="1"/>
  <c r="N2211" i="19" a="1"/>
  <c r="N876" i="19" a="1"/>
  <c r="N1485" i="19" a="1"/>
  <c r="N637" i="19" a="1"/>
  <c r="N323" i="19" a="1"/>
  <c r="N280" i="19" a="1"/>
  <c r="R640" i="19" a="1"/>
  <c r="R991" i="19" a="1"/>
  <c r="R733" i="19" a="1"/>
  <c r="R1000" i="19" a="1"/>
  <c r="R894" i="19" a="1"/>
  <c r="N2307" i="19" a="1"/>
  <c r="N274" i="19" a="1"/>
  <c r="N595" i="19" a="1"/>
  <c r="N635" i="19" a="1"/>
  <c r="N490" i="19" a="1"/>
  <c r="N788" i="19" a="1"/>
  <c r="R671" i="19" a="1"/>
  <c r="R115" i="19" a="1"/>
  <c r="R871" i="19" a="1"/>
  <c r="R1339" i="19" a="1"/>
  <c r="R1929" i="19" a="1"/>
  <c r="R2281" i="19" a="1"/>
  <c r="R1923" i="19" a="1"/>
  <c r="R329" i="19" a="1"/>
  <c r="R1640" i="19" a="1"/>
  <c r="N2025" i="19" a="1"/>
  <c r="N843" i="19" a="1"/>
  <c r="N906" i="19" a="1"/>
  <c r="L23" i="32" a="1"/>
  <c r="K26" i="16" a="1"/>
  <c r="K40" i="16" a="1"/>
  <c r="K6" i="16" a="1"/>
  <c r="M25" i="32" a="1"/>
  <c r="L13" i="16" a="1"/>
  <c r="N1825" i="19" a="1"/>
  <c r="N2274" i="19" a="1"/>
  <c r="N1856" i="19" a="1"/>
  <c r="N2131" i="19" a="1"/>
  <c r="N348" i="19" a="1"/>
  <c r="N1315" i="19" a="1"/>
  <c r="N1606" i="19" a="1"/>
  <c r="N1524" i="19" a="1"/>
  <c r="N1058" i="19" a="1"/>
  <c r="N360" i="19" a="1"/>
  <c r="N1978" i="19" a="1"/>
  <c r="N1070" i="19" a="1"/>
  <c r="N2217" i="19" a="1"/>
  <c r="N1293" i="19" a="1"/>
  <c r="N6" i="19" a="1"/>
  <c r="N1574" i="19" a="1"/>
  <c r="N1840" i="19" a="1"/>
  <c r="N2354" i="19" a="1"/>
  <c r="N1291" i="19" a="1"/>
  <c r="N2262" i="19" a="1"/>
  <c r="N658" i="19" a="1"/>
  <c r="N2070" i="19" a="1"/>
  <c r="N2373" i="19" a="1"/>
  <c r="N2015" i="19" a="1"/>
  <c r="N1218" i="19" a="1"/>
  <c r="N396" i="19" a="1"/>
  <c r="N1406" i="19" a="1"/>
  <c r="N295" i="19" a="1"/>
  <c r="N2032" i="19" a="1"/>
  <c r="N1369" i="19" a="1"/>
  <c r="N1904" i="19" a="1"/>
  <c r="N1175" i="19" a="1"/>
  <c r="N682" i="19" a="1"/>
  <c r="N22" i="19" a="1"/>
  <c r="N1809" i="19" a="1"/>
  <c r="N1793" i="19" a="1"/>
  <c r="N802" i="19" a="1"/>
  <c r="N122" i="19" a="1"/>
  <c r="N1552" i="19" a="1"/>
  <c r="N315" i="19" a="1"/>
  <c r="N1893" i="19" a="1"/>
  <c r="N1415" i="19" a="1"/>
  <c r="N394" i="19" a="1"/>
  <c r="N2310" i="19" a="1"/>
  <c r="N1024" i="19" a="1"/>
  <c r="N1124" i="19" a="1"/>
  <c r="N502" i="19" a="1"/>
  <c r="N341" i="19" a="1"/>
  <c r="N973" i="19" a="1"/>
  <c r="N1380" i="19" a="1"/>
  <c r="N463" i="19" a="1"/>
  <c r="N2175" i="19" a="1"/>
  <c r="N1931" i="19" a="1"/>
  <c r="N1206" i="19" a="1"/>
  <c r="N693" i="19" a="1"/>
  <c r="N1317" i="19" a="1"/>
  <c r="N766" i="19" a="1"/>
  <c r="N1453" i="19" a="1"/>
  <c r="N1742" i="19" a="1"/>
  <c r="N551" i="19" a="1"/>
  <c r="N2014" i="19" a="1"/>
  <c r="N713" i="19" a="1"/>
  <c r="N457" i="19" a="1"/>
  <c r="N644" i="19" a="1"/>
  <c r="N1889" i="19" a="1"/>
  <c r="N1287" i="19" a="1"/>
  <c r="N1694" i="19" a="1"/>
  <c r="N391" i="19" a="1"/>
  <c r="N294" i="19" a="1"/>
  <c r="N54" i="19" a="1"/>
  <c r="N779" i="19" a="1"/>
  <c r="N1546" i="19" a="1"/>
  <c r="N1441" i="19" a="1"/>
  <c r="N992" i="19" a="1"/>
  <c r="N1935" i="19" a="1"/>
  <c r="N1527" i="19" a="1"/>
  <c r="N96" i="19" a="1"/>
  <c r="N1631" i="19" a="1"/>
  <c r="R544" i="19" a="1"/>
  <c r="R1118" i="19" a="1"/>
  <c r="N1073" i="19" a="1"/>
  <c r="N1491" i="19" a="1"/>
  <c r="N2221" i="19" a="1"/>
  <c r="N2324" i="19" a="1"/>
  <c r="N539" i="19" a="1"/>
  <c r="R1738" i="19" a="1"/>
  <c r="N1636" i="19" a="1"/>
  <c r="N909" i="19" a="1"/>
  <c r="N271" i="19" a="1"/>
  <c r="N487" i="19" a="1"/>
  <c r="N192" i="19" a="1"/>
  <c r="R163" i="19" a="1"/>
  <c r="R680" i="19" a="1"/>
  <c r="N1220" i="19" a="1"/>
  <c r="N1827" i="19" a="1"/>
  <c r="N718" i="19" a="1"/>
  <c r="N209" i="19" a="1"/>
  <c r="N1943" i="19" a="1"/>
  <c r="N654" i="19" a="1"/>
  <c r="R247" i="19" a="1"/>
  <c r="R762" i="19" a="1"/>
  <c r="R1270" i="19" a="1"/>
  <c r="R1245" i="19" a="1"/>
  <c r="R1188" i="19" a="1"/>
  <c r="K17" i="16" a="1"/>
  <c r="L17" i="32" a="1"/>
  <c r="M23" i="32" a="1"/>
  <c r="K7" i="16" a="1"/>
  <c r="L14" i="16" a="1"/>
  <c r="M17" i="32" a="1"/>
  <c r="N1753" i="19" a="1"/>
  <c r="N2093" i="19" a="1"/>
  <c r="N1695" i="19" a="1"/>
  <c r="N1690" i="19" a="1"/>
  <c r="N2237" i="19" a="1"/>
  <c r="N1243" i="19" a="1"/>
  <c r="N1436" i="19" a="1"/>
  <c r="N2349" i="19" a="1"/>
  <c r="N877" i="19" a="1"/>
  <c r="N194" i="19" a="1"/>
  <c r="N1855" i="19" a="1"/>
  <c r="N2345" i="19" a="1"/>
  <c r="N2002" i="19" a="1"/>
  <c r="N2333" i="19" a="1"/>
  <c r="N2253" i="19" a="1"/>
  <c r="N1397" i="19" a="1"/>
  <c r="N1721" i="19" a="1"/>
  <c r="N2081" i="19" a="1"/>
  <c r="N1183" i="19" a="1"/>
  <c r="N1923" i="19" a="1"/>
  <c r="N442" i="19" a="1"/>
  <c r="N1704" i="19" a="1"/>
  <c r="N1966" i="19" a="1"/>
  <c r="N1823" i="19" a="1"/>
  <c r="N2238" i="19" a="1"/>
  <c r="N1145" i="19" a="1"/>
  <c r="N950" i="19" a="1"/>
  <c r="N133" i="19" a="1"/>
  <c r="N354" i="19" a="1"/>
  <c r="N1261" i="19" a="1"/>
  <c r="N1094" i="19" a="1"/>
  <c r="N2143" i="19" a="1"/>
  <c r="N512" i="19" a="1"/>
  <c r="N870" i="19" a="1"/>
  <c r="N1613" i="19" a="1"/>
  <c r="N2114" i="19" a="1"/>
  <c r="N586" i="19" a="1"/>
  <c r="N2019" i="19" a="1"/>
  <c r="N604" i="19" a="1"/>
  <c r="N86" i="19" a="1"/>
  <c r="N1339" i="19" a="1"/>
  <c r="N2080" i="19" a="1"/>
  <c r="N1940" i="19" a="1"/>
  <c r="N887" i="19" a="1"/>
  <c r="N2022" i="19" a="1"/>
  <c r="N468" i="19" a="1"/>
  <c r="N242" i="19" a="1"/>
  <c r="N165" i="19" a="1"/>
  <c r="N1787" i="19" a="1"/>
  <c r="N2264" i="19" a="1"/>
  <c r="N1143" i="19" a="1"/>
  <c r="N1509" i="19" a="1"/>
  <c r="N1478" i="19" a="1"/>
  <c r="N1328" i="19" a="1"/>
  <c r="N422" i="19" a="1"/>
  <c r="N66" i="19" a="1"/>
  <c r="N443" i="19" a="1"/>
  <c r="N1303" i="19" a="1"/>
  <c r="N2303" i="19" a="1"/>
  <c r="N283" i="19" a="1"/>
  <c r="N569" i="19" a="1"/>
  <c r="N369" i="19" a="1"/>
  <c r="N137" i="19" a="1"/>
  <c r="N1032" i="19" a="1"/>
  <c r="N1305" i="19" a="1"/>
  <c r="N1125" i="19" a="1"/>
  <c r="N1055" i="19" a="1"/>
  <c r="N186" i="19" a="1"/>
  <c r="N93" i="19" a="1"/>
  <c r="N1113" i="19" a="1"/>
  <c r="N125" i="19" a="1"/>
  <c r="N63" i="19" a="1"/>
  <c r="N1087" i="19" a="1"/>
  <c r="N311" i="19" a="1"/>
  <c r="N744" i="19" a="1"/>
  <c r="N2215" i="19" a="1"/>
  <c r="N71" i="19" a="1"/>
  <c r="N426" i="19" a="1"/>
  <c r="R674" i="19" a="1"/>
  <c r="R1501" i="19" a="1"/>
  <c r="N1820" i="19" a="1"/>
  <c r="N570" i="19" a="1"/>
  <c r="N758" i="19" a="1"/>
  <c r="N956" i="19" a="1"/>
  <c r="N791" i="19" a="1"/>
  <c r="R1104" i="19" a="1"/>
  <c r="N2252" i="19" a="1"/>
  <c r="N345" i="19" a="1"/>
  <c r="N56" i="19" a="1"/>
  <c r="N129" i="19" a="1"/>
  <c r="N385" i="19" a="1"/>
  <c r="R1336" i="19" a="1"/>
  <c r="R1543" i="19" a="1"/>
  <c r="N1612" i="19" a="1"/>
  <c r="N656" i="19" a="1"/>
  <c r="N287" i="19" a="1"/>
  <c r="N1066" i="19" a="1"/>
  <c r="N838" i="19" a="1"/>
  <c r="N136" i="19" a="1"/>
  <c r="R509" i="19" a="1"/>
  <c r="R1802" i="19" a="1"/>
  <c r="R1742" i="19" a="1"/>
  <c r="R539" i="19" a="1"/>
  <c r="N1759" i="19" a="1"/>
  <c r="N1750" i="19" a="1"/>
  <c r="N589" i="19" a="1"/>
  <c r="N44" i="19" a="1"/>
  <c r="N962" i="19" a="1"/>
  <c r="N1396" i="19" a="1"/>
  <c r="N642" i="19" a="1"/>
  <c r="R972" i="19" a="1"/>
  <c r="R99" i="19" a="1"/>
  <c r="R1307" i="19" a="1"/>
  <c r="R244" i="19" a="1"/>
  <c r="R2133" i="19" a="1"/>
  <c r="R930" i="19" a="1"/>
  <c r="R1561" i="19" a="1"/>
  <c r="R1151" i="19" a="1"/>
  <c r="N2312" i="19" a="1"/>
  <c r="N1908" i="19" a="1"/>
  <c r="N1446" i="19" a="1"/>
  <c r="K23" i="16" a="1"/>
  <c r="L17" i="16" a="1"/>
  <c r="L39" i="16" a="1"/>
  <c r="K12" i="16" a="1"/>
  <c r="L32" i="16" a="1"/>
  <c r="L25" i="16" a="1"/>
  <c r="N1681" i="19" a="1"/>
  <c r="N1936" i="19" a="1"/>
  <c r="N1506" i="19" a="1"/>
  <c r="N1349" i="19" a="1"/>
  <c r="N1671" i="19" a="1"/>
  <c r="N1171" i="19" a="1"/>
  <c r="N1259" i="19" a="1"/>
  <c r="N2099" i="19" a="1"/>
  <c r="N704" i="19" a="1"/>
  <c r="N2342" i="19" a="1"/>
  <c r="N1783" i="19" a="1"/>
  <c r="N2188" i="19" a="1"/>
  <c r="N1774" i="19" a="1"/>
  <c r="N1928" i="19" a="1"/>
  <c r="N2109" i="19" a="1"/>
  <c r="N1227" i="19" a="1"/>
  <c r="N1517" i="19" a="1"/>
  <c r="N1786" i="19" a="1"/>
  <c r="N1075" i="19" a="1"/>
  <c r="N1620" i="19" a="1"/>
  <c r="N226" i="19" a="1"/>
  <c r="N1416" i="19" a="1"/>
  <c r="N1586" i="19" a="1"/>
  <c r="N1646" i="19" a="1"/>
  <c r="N1703" i="19" a="1"/>
  <c r="N638" i="19" a="1"/>
  <c r="N297" i="19" a="1"/>
  <c r="N2061" i="19" a="1"/>
  <c r="N1378" i="19" a="1"/>
  <c r="N1153" i="19" a="1"/>
  <c r="N2100" i="19" a="1"/>
  <c r="N2051" i="19" a="1"/>
  <c r="N322" i="19" a="1"/>
  <c r="N2148" i="19" a="1"/>
  <c r="N1358" i="19" a="1"/>
  <c r="N2372" i="19" a="1"/>
  <c r="N1623" i="19" a="1"/>
  <c r="N1326" i="19" a="1"/>
  <c r="N248" i="19" a="1"/>
  <c r="N1898" i="19" a="1"/>
  <c r="N997" i="19" a="1"/>
  <c r="N2163" i="19" a="1"/>
  <c r="N1386" i="19" a="1"/>
  <c r="N421" i="19" a="1"/>
  <c r="N1488" i="19" a="1"/>
  <c r="N1244" i="19" a="1"/>
  <c r="N993" i="19" a="1"/>
  <c r="N32" i="19" a="1"/>
  <c r="N1011" i="19" a="1"/>
  <c r="N1366" i="19" a="1"/>
  <c r="N485" i="19" a="1"/>
  <c r="N1663" i="19" a="1"/>
  <c r="N1784" i="19" a="1"/>
  <c r="N564" i="19" a="1"/>
  <c r="N206" i="19" a="1"/>
  <c r="N727" i="19" a="1"/>
  <c r="N810" i="19" a="1"/>
  <c r="N1111" i="19" a="1"/>
  <c r="N2041" i="19" a="1"/>
  <c r="N1716" i="19" a="1"/>
  <c r="N172" i="19" a="1"/>
  <c r="N434" i="19" a="1"/>
  <c r="N1743" i="19" a="1"/>
  <c r="N852" i="19" a="1"/>
  <c r="N2216" i="19" a="1"/>
  <c r="N1972" i="19" a="1"/>
  <c r="N686" i="19" a="1"/>
  <c r="N1986" i="19" a="1"/>
  <c r="N2358" i="19" a="1"/>
  <c r="N652" i="19" a="1"/>
  <c r="N523" i="19" a="1"/>
  <c r="N505" i="19" a="1"/>
  <c r="N1938" i="19" a="1"/>
  <c r="N959" i="19" a="1"/>
  <c r="N334" i="19" a="1"/>
  <c r="N379" i="19" a="1"/>
  <c r="N552" i="19" a="1"/>
  <c r="N885" i="19" a="1"/>
  <c r="R723" i="19" a="1"/>
  <c r="R1478" i="19" a="1"/>
  <c r="N1320" i="19" a="1"/>
  <c r="N160" i="19" a="1"/>
  <c r="N233" i="19" a="1"/>
  <c r="N402" i="19" a="1"/>
  <c r="N1215" i="19" a="1"/>
  <c r="R88" i="19" a="1"/>
  <c r="N2092" i="19" a="1"/>
  <c r="N1736" i="19" a="1"/>
  <c r="N2106" i="19" a="1"/>
  <c r="N1412" i="19" a="1"/>
  <c r="N166" i="19" a="1"/>
  <c r="R1408" i="19" a="1"/>
  <c r="R1330" i="19" a="1"/>
  <c r="N2205" i="19" a="1"/>
  <c r="N2316" i="19" a="1"/>
  <c r="N1684" i="19" a="1"/>
  <c r="N314" i="19" a="1"/>
  <c r="N377" i="19" a="1"/>
  <c r="N469" i="19" a="1"/>
  <c r="R1436" i="19" a="1"/>
  <c r="R839" i="19" a="1"/>
  <c r="R1098" i="19" a="1"/>
  <c r="R575" i="19" a="1"/>
  <c r="N1405" i="19" a="1"/>
  <c r="L3" i="16" a="1"/>
  <c r="L20" i="16" a="1"/>
  <c r="M15" i="32" a="1"/>
  <c r="L23" i="16" a="1"/>
  <c r="M8" i="32" a="1"/>
  <c r="N2187" i="19" a="1"/>
  <c r="N1872" i="19" a="1"/>
  <c r="N677" i="19" a="1"/>
  <c r="N1099" i="19" a="1"/>
  <c r="N1941" i="19" a="1"/>
  <c r="N808" i="19" a="1"/>
  <c r="N842" i="19" a="1"/>
  <c r="N2007" i="19" a="1"/>
  <c r="N2192" i="19" a="1"/>
  <c r="N1417" i="19" a="1"/>
  <c r="N1806" i="19" a="1"/>
  <c r="N1283" i="19" a="1"/>
  <c r="N1724" i="19" a="1"/>
  <c r="N1597" i="19" a="1"/>
  <c r="N1835" i="19" a="1"/>
  <c r="N1384" i="19" a="1"/>
  <c r="N2066" i="19" a="1"/>
  <c r="N28" i="19" a="1"/>
  <c r="N2142" i="19" a="1"/>
  <c r="N937" i="19" a="1"/>
  <c r="N2126" i="19" a="1"/>
  <c r="N2075" i="19" a="1"/>
  <c r="N1255" i="19" a="1"/>
  <c r="N1998" i="19" a="1"/>
  <c r="N889" i="19" a="1"/>
  <c r="N113" i="19" a="1"/>
  <c r="N740" i="19" a="1"/>
  <c r="N2369" i="19" a="1"/>
  <c r="N64" i="19" a="1"/>
  <c r="N1850" i="19" a="1"/>
  <c r="N1915" i="19" a="1"/>
  <c r="N1875" i="19" a="1"/>
  <c r="N1979" i="19" a="1"/>
  <c r="N234" i="19" a="1"/>
  <c r="N2172" i="19" a="1"/>
  <c r="N296" i="19" a="1"/>
  <c r="N1064" i="19" a="1"/>
  <c r="N149" i="19" a="1"/>
  <c r="N2348" i="19" a="1"/>
  <c r="N694" i="19" a="1"/>
  <c r="N106" i="19" a="1"/>
  <c r="N556" i="19" a="1"/>
  <c r="N1093" i="19" a="1"/>
  <c r="N1019" i="19" a="1"/>
  <c r="N702" i="19" a="1"/>
  <c r="N2356" i="19" a="1"/>
  <c r="N1085" i="19" a="1"/>
  <c r="N935" i="19" a="1"/>
  <c r="N2341" i="19" a="1"/>
  <c r="N1172" i="19" a="1"/>
  <c r="N904" i="19" a="1"/>
  <c r="R298" i="19" a="1"/>
  <c r="R2041" i="19" a="1"/>
  <c r="N975" i="19" a="1"/>
  <c r="N1078" i="19" a="1"/>
  <c r="N81" i="19" a="1"/>
  <c r="R161" i="19" a="1"/>
  <c r="N1065" i="19" a="1"/>
  <c r="N1510" i="19" a="1"/>
  <c r="N338" i="19" a="1"/>
  <c r="N714" i="19" a="1"/>
  <c r="R1689" i="19" a="1"/>
  <c r="N1696" i="19" a="1"/>
  <c r="N988" i="19" a="1"/>
  <c r="N472" i="19" a="1"/>
  <c r="N716" i="19" a="1"/>
  <c r="R951" i="19" a="1"/>
  <c r="R1024" i="19" a="1"/>
  <c r="R581" i="19" a="1"/>
  <c r="N1918" i="19" a="1"/>
  <c r="N1260" i="19" a="1"/>
  <c r="N1566" i="19" a="1"/>
  <c r="N1767" i="19" a="1"/>
  <c r="N372" i="19" a="1"/>
  <c r="R2065" i="19" a="1"/>
  <c r="R660" i="19" a="1"/>
  <c r="R1128" i="19" a="1"/>
  <c r="R1524" i="19" a="1"/>
  <c r="R1520" i="19" a="1"/>
  <c r="R1523" i="19" a="1"/>
  <c r="R688" i="19" a="1"/>
  <c r="N2361" i="19" a="1"/>
  <c r="N848" i="19" a="1"/>
  <c r="N232" i="19" a="1"/>
  <c r="N142" i="19" a="1"/>
  <c r="N282" i="19" a="1"/>
  <c r="N158" i="19" a="1"/>
  <c r="R1580" i="19" a="1"/>
  <c r="R1175" i="19" a="1"/>
  <c r="R1488" i="19" a="1"/>
  <c r="R2145" i="19" a="1"/>
  <c r="R2338" i="19" a="1"/>
  <c r="R1616" i="19" a="1"/>
  <c r="R759" i="19" a="1"/>
  <c r="R453" i="19" a="1"/>
  <c r="R405" i="19" a="1"/>
  <c r="N453" i="19" a="1"/>
  <c r="N768" i="19" a="1"/>
  <c r="N2245" i="19" a="1"/>
  <c r="R537" i="19" a="1"/>
  <c r="R177" i="19" a="1"/>
  <c r="R2268" i="19" a="1"/>
  <c r="R957" i="19" a="1"/>
  <c r="R1467" i="19" a="1"/>
  <c r="R496" i="19" a="1"/>
  <c r="R1678" i="19" a="1"/>
  <c r="N1593" i="19" a="1"/>
  <c r="N989" i="19" a="1"/>
  <c r="N183" i="19" a="1"/>
  <c r="R848" i="19" a="1"/>
  <c r="R336" i="19" a="1"/>
  <c r="N1560" i="19" a="1"/>
  <c r="N916" i="19" a="1"/>
  <c r="N61" i="19" a="1"/>
  <c r="R992" i="19" a="1"/>
  <c r="R586" i="19" a="1"/>
  <c r="R1431" i="19" a="1"/>
  <c r="R2101" i="19" a="1"/>
  <c r="R110" i="19" a="1"/>
  <c r="N566" i="19" a="1"/>
  <c r="N286" i="19" a="1"/>
  <c r="N1235" i="19" a="1"/>
  <c r="R1178" i="19" a="1"/>
  <c r="M27" i="32" a="1"/>
  <c r="L15" i="32" a="1"/>
  <c r="L14" i="32" a="1"/>
  <c r="K35" i="16" a="1"/>
  <c r="L35" i="16" a="1"/>
  <c r="N2043" i="19" a="1"/>
  <c r="N1710" i="19" a="1"/>
  <c r="N533" i="19" a="1"/>
  <c r="N2318" i="19" a="1"/>
  <c r="N1797" i="19" a="1"/>
  <c r="N664" i="19" a="1"/>
  <c r="N649" i="19" a="1"/>
  <c r="N1344" i="19" a="1"/>
  <c r="N1950" i="19" a="1"/>
  <c r="N1345" i="19" a="1"/>
  <c r="N1660" i="19" a="1"/>
  <c r="N1473" i="19" a="1"/>
  <c r="N1462" i="19" a="1"/>
  <c r="N1501" i="19" a="1"/>
  <c r="N1610" i="19" a="1"/>
  <c r="N2054" i="19" a="1"/>
  <c r="N1557" i="19" a="1"/>
  <c r="N1808" i="19" a="1"/>
  <c r="N1178" i="19" a="1"/>
  <c r="N1816" i="19" a="1"/>
  <c r="N1329" i="19" a="1"/>
  <c r="N1514" i="19" a="1"/>
  <c r="N931" i="19" a="1"/>
  <c r="N1720" i="19" a="1"/>
  <c r="N669" i="19" a="1"/>
  <c r="N1878" i="19" a="1"/>
  <c r="N393" i="19" a="1"/>
  <c r="N1388" i="19" a="1"/>
  <c r="N1041" i="19" a="1"/>
  <c r="N1967" i="19" a="1"/>
  <c r="N817" i="19" a="1"/>
  <c r="N1458" i="19" a="1"/>
  <c r="N1373" i="19" a="1"/>
  <c r="N52" i="19" a="1"/>
  <c r="N1780" i="19" a="1"/>
  <c r="N1739" i="19" a="1"/>
  <c r="N770" i="19" a="1"/>
  <c r="N2052" i="19" a="1"/>
  <c r="N1314" i="19" a="1"/>
  <c r="N772" i="19" a="1"/>
  <c r="N1594" i="19" a="1"/>
  <c r="N12" i="19" a="1"/>
  <c r="N2125" i="19" a="1"/>
  <c r="N684" i="19" a="1"/>
  <c r="N423" i="19" a="1"/>
  <c r="N1263" i="19" a="1"/>
  <c r="N679" i="19" a="1"/>
  <c r="N212" i="19" a="1"/>
  <c r="N2269" i="19" a="1"/>
  <c r="N365" i="19" a="1"/>
  <c r="N484" i="19" a="1"/>
  <c r="R83" i="19" a="1"/>
  <c r="R382" i="19" a="1"/>
  <c r="N298" i="19" a="1"/>
  <c r="N629" i="19" a="1"/>
  <c r="N775" i="19" a="1"/>
  <c r="R457" i="19" a="1"/>
  <c r="N2145" i="19" a="1"/>
  <c r="N303" i="19" a="1"/>
  <c r="N856" i="19" a="1"/>
  <c r="N1431" i="19" a="1"/>
  <c r="R663" i="19" a="1"/>
  <c r="N1264" i="19" a="1"/>
  <c r="N603" i="19" a="1"/>
  <c r="N117" i="19" a="1"/>
  <c r="N820" i="19" a="1"/>
  <c r="R232" i="19" a="1"/>
  <c r="R548" i="19" a="1"/>
  <c r="R963" i="19" a="1"/>
  <c r="N1434" i="19" a="1"/>
  <c r="N544" i="19" a="1"/>
  <c r="N593" i="19" a="1"/>
  <c r="N751" i="19" a="1"/>
  <c r="N343" i="19" a="1"/>
  <c r="R1410" i="19" a="1"/>
  <c r="R256" i="19" a="1"/>
  <c r="R1115" i="19" a="1"/>
  <c r="R1259" i="19" a="1"/>
  <c r="R1051" i="19" a="1"/>
  <c r="R2032" i="19" a="1"/>
  <c r="R835" i="19" a="1"/>
  <c r="N1541" i="19" a="1"/>
  <c r="N1653" i="19" a="1"/>
  <c r="N1596" i="19" a="1"/>
  <c r="N1341" i="19" a="1"/>
  <c r="N9" i="19" a="1"/>
  <c r="N307" i="19" a="1"/>
  <c r="R1901" i="19" a="1"/>
  <c r="R317" i="19" a="1"/>
  <c r="R1793" i="19" a="1"/>
  <c r="R2347" i="19" a="1"/>
  <c r="R2071" i="19" a="1"/>
  <c r="R1314" i="19" a="1"/>
  <c r="R426" i="19" a="1"/>
  <c r="R1458" i="19" a="1"/>
  <c r="R1085" i="19" a="1"/>
  <c r="N624" i="19" a="1"/>
  <c r="N1061" i="19" a="1"/>
  <c r="N214" i="19" a="1"/>
  <c r="R712" i="19" a="1"/>
  <c r="R503" i="19" a="1"/>
  <c r="R900" i="19" a="1"/>
  <c r="R554" i="19" a="1"/>
  <c r="R600" i="19" a="1"/>
  <c r="R741" i="19" a="1"/>
  <c r="R511" i="19" a="1"/>
  <c r="N1204" i="19" a="1"/>
  <c r="N100" i="19" a="1"/>
  <c r="N646" i="19" a="1"/>
  <c r="R755" i="19" a="1"/>
  <c r="L31" i="32" a="1"/>
  <c r="L6" i="16" a="1"/>
  <c r="K22" i="16" a="1"/>
  <c r="K11" i="16" a="1"/>
  <c r="M36" i="32" a="1"/>
  <c r="N1899" i="19" a="1"/>
  <c r="N1370" i="19" a="1"/>
  <c r="N1016" i="19" a="1"/>
  <c r="N2030" i="19" a="1"/>
  <c r="N1658" i="19" a="1"/>
  <c r="N520" i="19" a="1"/>
  <c r="N134" i="19" a="1"/>
  <c r="N1004" i="19" a="1"/>
  <c r="N1738" i="19" a="1"/>
  <c r="N1273" i="19" a="1"/>
  <c r="N1047" i="19" a="1"/>
  <c r="N921" i="19" a="1"/>
  <c r="N1200" i="19" a="1"/>
  <c r="N1381" i="19" a="1"/>
  <c r="N1713" i="19" a="1"/>
  <c r="N1403" i="19" a="1"/>
  <c r="N2191" i="19" a="1"/>
  <c r="N1224" i="19" a="1"/>
  <c r="N742" i="19" a="1"/>
  <c r="N1626" i="19" a="1"/>
  <c r="N2055" i="19" a="1"/>
  <c r="N1031" i="19" a="1"/>
  <c r="N1984" i="19" a="1"/>
  <c r="N2299" i="19" a="1"/>
  <c r="N309" i="19" a="1"/>
  <c r="N1104" i="19" a="1"/>
  <c r="N163" i="19" a="1"/>
  <c r="N1961" i="19" a="1"/>
  <c r="N719" i="19" a="1"/>
  <c r="N1407" i="19" a="1"/>
  <c r="N478" i="19" a="1"/>
  <c r="N864" i="19" a="1"/>
  <c r="N2326" i="19" a="1"/>
  <c r="N1881" i="19" a="1"/>
  <c r="N965" i="19" a="1"/>
  <c r="N703" i="19" a="1"/>
  <c r="N516" i="19" a="1"/>
  <c r="N596" i="19" a="1"/>
  <c r="N2317" i="19" a="1"/>
  <c r="N438" i="19" a="1"/>
  <c r="N1289" i="19" a="1"/>
  <c r="N292" i="19" a="1"/>
  <c r="N1766" i="19" a="1"/>
  <c r="N324" i="19" a="1"/>
  <c r="N34" i="19" a="1"/>
  <c r="N275" i="19" a="1"/>
  <c r="N363" i="19" a="1"/>
  <c r="N974" i="19" a="1"/>
  <c r="N1834" i="19" a="1"/>
  <c r="N68" i="19" a="1"/>
  <c r="N11" i="19" a="1"/>
  <c r="R200" i="19" a="1"/>
  <c r="R131" i="19" a="1"/>
  <c r="N951" i="19" a="1"/>
  <c r="N62" i="19" a="1"/>
  <c r="N49" i="19" a="1"/>
  <c r="R1483" i="19" a="1"/>
  <c r="N1792" i="19" a="1"/>
  <c r="N1709" i="19" a="1"/>
  <c r="N388" i="19" a="1"/>
  <c r="N362" i="19" a="1"/>
  <c r="R481" i="19" a="1"/>
  <c r="N905" i="19" a="1"/>
  <c r="N255" i="19" a="1"/>
  <c r="N1372" i="19" a="1"/>
  <c r="N79" i="19" a="1"/>
  <c r="R198" i="19" a="1"/>
  <c r="R1769" i="19" a="1"/>
  <c r="R1179" i="19" a="1"/>
  <c r="N1226" i="19" a="1"/>
  <c r="N114" i="19" a="1"/>
  <c r="N197" i="19" a="1"/>
  <c r="N308" i="19" a="1"/>
  <c r="N18" i="19" a="1"/>
  <c r="R304" i="19" a="1"/>
  <c r="R299" i="19" a="1"/>
  <c r="R1535" i="19" a="1"/>
  <c r="R2057" i="19" a="1"/>
  <c r="R1226" i="19" a="1"/>
  <c r="R1962" i="19" a="1"/>
  <c r="R2087" i="19" a="1"/>
  <c r="N2164" i="19" a="1"/>
  <c r="N610" i="19" a="1"/>
  <c r="N534" i="19" a="1"/>
  <c r="N620" i="19" a="1"/>
  <c r="N425" i="19" a="1"/>
  <c r="N568" i="19" a="1"/>
  <c r="R1061" i="19" a="1"/>
  <c r="R1001" i="19" a="1"/>
  <c r="R1152" i="19" a="1"/>
  <c r="R1645" i="19" a="1"/>
  <c r="R441" i="19" a="1"/>
  <c r="R2034" i="19" a="1"/>
  <c r="R2326" i="19" a="1"/>
  <c r="R532" i="19" a="1"/>
  <c r="N2089" i="19" a="1"/>
  <c r="N1029" i="19" a="1"/>
  <c r="N151" i="19" a="1"/>
  <c r="N1634" i="19" a="1"/>
  <c r="R451" i="19" a="1"/>
  <c r="R826" i="19" a="1"/>
  <c r="R1995" i="19" a="1"/>
  <c r="R2329" i="19" a="1"/>
  <c r="R737" i="19" a="1"/>
  <c r="R744" i="19" a="1"/>
  <c r="R1898" i="19" a="1"/>
  <c r="N1648" i="19" a="1"/>
  <c r="N796" i="19" a="1"/>
  <c r="N1265" i="19" a="1"/>
  <c r="R821" i="19" a="1"/>
  <c r="R1093" i="19" a="1"/>
  <c r="N1433" i="19" a="1"/>
  <c r="L18" i="16" a="1"/>
  <c r="M18" i="32" a="1"/>
  <c r="L26" i="32" a="1"/>
  <c r="L21" i="16" a="1"/>
  <c r="N3" i="19" a="1"/>
  <c r="N1619" i="19" a="1"/>
  <c r="N1876" i="19" a="1"/>
  <c r="N1883" i="19" a="1"/>
  <c r="N1672" i="19" a="1"/>
  <c r="N1863" i="19" a="1"/>
  <c r="N1374" i="19" a="1"/>
  <c r="N1207" i="19" a="1"/>
  <c r="N1275" i="19" a="1"/>
  <c r="N1505" i="19" a="1"/>
  <c r="N1129" i="19" a="1"/>
  <c r="N1934" i="19" a="1"/>
  <c r="N1927" i="19" a="1"/>
  <c r="N1278" i="19" a="1"/>
  <c r="N1165" i="19" a="1"/>
  <c r="N1590" i="19" a="1"/>
  <c r="N1110" i="19" a="1"/>
  <c r="N2225" i="19" a="1"/>
  <c r="N667" i="19" a="1"/>
  <c r="N696" i="19" a="1"/>
  <c r="N1109" i="19" a="1"/>
  <c r="N2170" i="19" a="1"/>
  <c r="N1367" i="19" a="1"/>
  <c r="N2282" i="19" a="1"/>
  <c r="N2083" i="19" a="1"/>
  <c r="N861" i="19" a="1"/>
  <c r="N436" i="19" a="1"/>
  <c r="N2141" i="19" a="1"/>
  <c r="N1409" i="19" a="1"/>
  <c r="N218" i="19" a="1"/>
  <c r="N1450" i="19" a="1"/>
  <c r="N493" i="19" a="1"/>
  <c r="N2279" i="19" a="1"/>
  <c r="N2072" i="19" a="1"/>
  <c r="N219" i="19" a="1"/>
  <c r="N1313" i="19" a="1"/>
  <c r="N1939" i="19" a="1"/>
  <c r="N380" i="19" a="1"/>
  <c r="N482" i="19" a="1"/>
  <c r="N1324" i="19" a="1"/>
  <c r="N40" i="19" a="1"/>
  <c r="N1198" i="19" a="1"/>
  <c r="N1577" i="19" a="1"/>
  <c r="N1298" i="19" a="1"/>
  <c r="N1036" i="19" a="1"/>
  <c r="N1957" i="19" a="1"/>
  <c r="N698" i="19" a="1"/>
  <c r="N2001" i="19" a="1"/>
  <c r="N777" i="19" a="1"/>
  <c r="N2044" i="19" a="1"/>
  <c r="N1006" i="19" a="1"/>
  <c r="N1476" i="19" a="1"/>
  <c r="R801" i="19" a="1"/>
  <c r="N1789" i="19" a="1"/>
  <c r="N728" i="19" a="1"/>
  <c r="N1452" i="19" a="1"/>
  <c r="N223" i="19" a="1"/>
  <c r="R62" i="19" a="1"/>
  <c r="N1274" i="19" a="1"/>
  <c r="N914" i="19" a="1"/>
  <c r="N670" i="19" a="1"/>
  <c r="R1908" i="19" a="1"/>
  <c r="N1411" i="19" a="1"/>
  <c r="N900" i="19" a="1"/>
  <c r="N2033" i="19" a="1"/>
  <c r="N30" i="19" a="1"/>
  <c r="N1269" i="19" a="1"/>
  <c r="R1660" i="19" a="1"/>
  <c r="R2166" i="19" a="1"/>
  <c r="N1009" i="19" a="1"/>
  <c r="N239" i="19" a="1"/>
  <c r="N709" i="19" a="1"/>
  <c r="N245" i="19" a="1"/>
  <c r="N883" i="19" a="1"/>
  <c r="N179" i="19" a="1"/>
  <c r="R998" i="19" a="1"/>
  <c r="R145" i="19" a="1"/>
  <c r="R1516" i="19" a="1"/>
  <c r="R1149" i="19" a="1"/>
  <c r="R91" i="19" a="1"/>
  <c r="R2228" i="19" a="1"/>
  <c r="R637" i="19" a="1"/>
  <c r="N1542" i="19" a="1"/>
  <c r="N258" i="19" a="1"/>
  <c r="N20" i="19" a="1"/>
  <c r="N892" i="19" a="1"/>
  <c r="N1248" i="19" a="1"/>
  <c r="N601" i="19" a="1"/>
  <c r="R1234" i="19" a="1"/>
  <c r="R171" i="19" a="1"/>
  <c r="R2191" i="19" a="1"/>
  <c r="R358" i="19" a="1"/>
  <c r="R2336" i="19" a="1"/>
  <c r="R564" i="19" a="1"/>
  <c r="R65" i="19" a="1"/>
  <c r="R1375" i="19" a="1"/>
  <c r="N1976" i="19" a="1"/>
  <c r="N367" i="19" a="1"/>
  <c r="N1060" i="19" a="1"/>
  <c r="R231" i="19" a="1"/>
  <c r="R495" i="19" a="1"/>
  <c r="R1109" i="19" a="1"/>
  <c r="R1437" i="19" a="1"/>
  <c r="R506" i="19" a="1"/>
  <c r="R2080" i="19" a="1"/>
  <c r="R2319" i="19" a="1"/>
  <c r="R1737" i="19" a="1"/>
  <c r="N2277" i="19" a="1"/>
  <c r="N1498" i="19" a="1"/>
  <c r="N7" i="19" a="1"/>
  <c r="R21" i="19" a="1"/>
  <c r="R2340" i="19" a="1"/>
  <c r="N2201" i="19" a="1"/>
  <c r="N1234" i="19" a="1"/>
  <c r="N1847" i="19" a="1"/>
  <c r="R165" i="19" a="1"/>
  <c r="R2060" i="19" a="1"/>
  <c r="R348" i="19" a="1"/>
  <c r="R816" i="19" a="1"/>
  <c r="N1195" i="19" a="1"/>
  <c r="N2018" i="19" a="1"/>
  <c r="N256" i="19" a="1"/>
  <c r="N524" i="19" a="1"/>
  <c r="K28" i="16" a="1"/>
  <c r="L9" i="16" a="1"/>
  <c r="M6" i="32" a="1"/>
  <c r="N2331" i="19" a="1"/>
  <c r="N1146" i="19" a="1"/>
  <c r="N2050" i="19" a="1"/>
  <c r="N1296" i="19" a="1"/>
  <c r="N200" i="19" a="1"/>
  <c r="N1745" i="19" a="1"/>
  <c r="N839" i="19" a="1"/>
  <c r="N2224" i="19" a="1"/>
  <c r="N2117" i="19" a="1"/>
  <c r="N2259" i="19" a="1"/>
  <c r="N1483" i="19" a="1"/>
  <c r="N708" i="19" a="1"/>
  <c r="N302" i="19" a="1"/>
  <c r="N1652" i="19" a="1"/>
  <c r="N1484" i="19" a="1"/>
  <c r="N1722" i="19" a="1"/>
  <c r="N1343" i="19" a="1"/>
  <c r="N1048" i="19" a="1"/>
  <c r="N948" i="19" a="1"/>
  <c r="N1729" i="19" a="1"/>
  <c r="N826" i="19" a="1"/>
  <c r="N1327" i="19" a="1"/>
  <c r="N368" i="19" a="1"/>
  <c r="N1368" i="19" a="1"/>
  <c r="N1442" i="19" a="1"/>
  <c r="N1861" i="19" a="1"/>
  <c r="N1280" i="19" a="1"/>
  <c r="N2139" i="19" a="1"/>
  <c r="N1297" i="19" a="1"/>
  <c r="N1254" i="19" a="1"/>
  <c r="N752" i="19" a="1"/>
  <c r="N201" i="19" a="1"/>
  <c r="N1790" i="19" a="1"/>
  <c r="N785" i="19" a="1"/>
  <c r="N182" i="19" a="1"/>
  <c r="N1731" i="19" a="1"/>
  <c r="N1728" i="19" a="1"/>
  <c r="N792" i="19" a="1"/>
  <c r="N1912" i="19" a="1"/>
  <c r="N1230" i="19" a="1"/>
  <c r="N103" i="19" a="1"/>
  <c r="N1600" i="19" a="1"/>
  <c r="N121" i="19" a="1"/>
  <c r="N1700" i="19" a="1"/>
  <c r="R728" i="19" a="1"/>
  <c r="R1027" i="19" a="1"/>
  <c r="N2035" i="19" a="1"/>
  <c r="N968" i="19" a="1"/>
  <c r="N243" i="19" a="1"/>
  <c r="R239" i="19" a="1"/>
  <c r="R260" i="19" a="1"/>
  <c r="R427" i="19" a="1"/>
  <c r="R1099" i="19" a="1"/>
  <c r="R1127" i="19" a="1"/>
  <c r="N1003" i="19" a="1"/>
  <c r="N1241" i="19" a="1"/>
  <c r="N863" i="19" a="1"/>
  <c r="N90" i="19" a="1"/>
  <c r="R1309" i="19" a="1"/>
  <c r="R346" i="19" a="1"/>
  <c r="R1359" i="19" a="1"/>
  <c r="R852" i="19" a="1"/>
  <c r="R773" i="19" a="1"/>
  <c r="R1656" i="19" a="1"/>
  <c r="N690" i="19" a="1"/>
  <c r="N1422" i="19" a="1"/>
  <c r="R1417" i="19" a="1"/>
  <c r="R452" i="19" a="1"/>
  <c r="R369" i="19" a="1"/>
  <c r="R1165" i="19" a="1"/>
  <c r="R1232" i="19" a="1"/>
  <c r="N440" i="19" a="1"/>
  <c r="N976" i="19" a="1"/>
  <c r="R829" i="19" a="1"/>
  <c r="N1213" i="19" a="1"/>
  <c r="N734" i="19" a="1"/>
  <c r="N456" i="19" a="1"/>
  <c r="R1432" i="19" a="1"/>
  <c r="R1507" i="19" a="1"/>
  <c r="R1984" i="19" a="1"/>
  <c r="R896" i="19" a="1"/>
  <c r="N304" i="19" a="1"/>
  <c r="N585" i="19" a="1"/>
  <c r="R1506" i="19" a="1"/>
  <c r="R785" i="19" a="1"/>
  <c r="R661" i="19" a="1"/>
  <c r="R2346" i="19" a="1"/>
  <c r="R1376" i="19" a="1"/>
  <c r="R1083" i="19" a="1"/>
  <c r="N1497" i="19" a="1"/>
  <c r="N373" i="19" a="1"/>
  <c r="N123" i="19" a="1"/>
  <c r="R685" i="19" a="1"/>
  <c r="R1659" i="19" a="1"/>
  <c r="R664" i="19" a="1"/>
  <c r="R1912" i="19" a="1"/>
  <c r="N1578" i="19" a="1"/>
  <c r="N204" i="19" a="1"/>
  <c r="N946" i="19" a="1"/>
  <c r="R994" i="19" a="1"/>
  <c r="R461" i="19" a="1"/>
  <c r="R81" i="19" a="1"/>
  <c r="R2363" i="19" a="1"/>
  <c r="R2248" i="19" a="1"/>
  <c r="R316" i="19" a="1"/>
  <c r="R155" i="19" a="1"/>
  <c r="R515" i="19" a="1"/>
  <c r="R1252" i="19" a="1"/>
  <c r="N1072" i="19" a="1"/>
  <c r="N387" i="19" a="1"/>
  <c r="R470" i="19" a="1"/>
  <c r="R1888" i="19" a="1"/>
  <c r="R34" i="19" a="1"/>
  <c r="R444" i="19" a="1"/>
  <c r="R1317" i="19" a="1"/>
  <c r="R1161" i="19" a="1"/>
  <c r="R656" i="19" a="1"/>
  <c r="R1448" i="19" a="1"/>
  <c r="R945" i="19" a="1"/>
  <c r="R1957" i="19" a="1"/>
  <c r="N605" i="19" a="1"/>
  <c r="N1996" i="19" a="1"/>
  <c r="R752" i="19" a="1"/>
  <c r="R2118" i="19" a="1"/>
  <c r="R383" i="19" a="1"/>
  <c r="R2146" i="19" a="1"/>
  <c r="R2322" i="19" a="1"/>
  <c r="R2135" i="19" a="1"/>
  <c r="R823" i="19" a="1"/>
  <c r="R1386" i="19" a="1"/>
  <c r="R1972" i="19" a="1"/>
  <c r="N483" i="19" a="1"/>
  <c r="R82" i="19" a="1"/>
  <c r="R592" i="19" a="1"/>
  <c r="R2296" i="19" a="1"/>
  <c r="R1200" i="19" a="1"/>
  <c r="R686" i="19" a="1"/>
  <c r="R1857" i="19" a="1"/>
  <c r="R1847" i="19" a="1"/>
  <c r="R748" i="19" a="1"/>
  <c r="R1600" i="19" a="1"/>
  <c r="R79" i="19" a="1"/>
  <c r="R1513" i="19" a="1"/>
  <c r="N565" i="19" a="1"/>
  <c r="R248" i="19" a="1"/>
  <c r="R1283" i="19" a="1"/>
  <c r="R931" i="19" a="1"/>
  <c r="R1186" i="19" a="1"/>
  <c r="R717" i="19" a="1"/>
  <c r="R1005" i="19" a="1"/>
  <c r="R332" i="19" a="1"/>
  <c r="R1228" i="19" a="1"/>
  <c r="R2185" i="19" a="1"/>
  <c r="R1869" i="19" a="1"/>
  <c r="R693" i="19" a="1"/>
  <c r="R1843" i="19" a="1"/>
  <c r="R1740" i="19" a="1"/>
  <c r="N549" i="19" a="1"/>
  <c r="R1280" i="19" a="1"/>
  <c r="R458" i="19" a="1"/>
  <c r="R1852" i="19" a="1"/>
  <c r="R2039" i="19" a="1"/>
  <c r="R2307" i="19" a="1"/>
  <c r="R71" i="19" a="1"/>
  <c r="R1727" i="19" a="1"/>
  <c r="N1130" i="19" a="1"/>
  <c r="R1442" i="19" a="1"/>
  <c r="R1841" i="19" a="1"/>
  <c r="R97" i="19" a="1"/>
  <c r="R1720" i="19" a="1"/>
  <c r="R320" i="19" a="1"/>
  <c r="R2162" i="19" a="1"/>
  <c r="R1904" i="19" a="1"/>
  <c r="R283" i="19" a="1"/>
  <c r="N2167" i="19" a="1"/>
  <c r="R1724" i="19" a="1"/>
  <c r="R1721" i="19" a="1"/>
  <c r="R344" i="19" a="1"/>
  <c r="R1460" i="19" a="1"/>
  <c r="R593" i="19" a="1"/>
  <c r="R2176" i="19" a="1"/>
  <c r="R1485" i="19" a="1"/>
  <c r="R406" i="19" a="1"/>
  <c r="R1345" i="19" a="1"/>
  <c r="R2128" i="19" a="1"/>
  <c r="N924" i="19" a="1"/>
  <c r="R69" i="19" a="1"/>
  <c r="R44" i="19" a="1"/>
  <c r="R162" i="19" a="1"/>
  <c r="R601" i="19" a="1"/>
  <c r="R541" i="19" a="1"/>
  <c r="R947" i="19" a="1"/>
  <c r="N1869" i="19" a="1"/>
  <c r="R1108" i="19" a="1"/>
  <c r="R1577" i="19" a="1"/>
  <c r="R764" i="19" a="1"/>
  <c r="R851" i="19" a="1"/>
  <c r="R1126" i="19" a="1"/>
  <c r="R1103" i="19" a="1"/>
  <c r="R361" i="19" a="1"/>
  <c r="R2358" i="19" a="1"/>
  <c r="N1779" i="19" a="1"/>
  <c r="R1671" i="19" a="1"/>
  <c r="R449" i="19" a="1"/>
  <c r="R1088" i="19" a="1"/>
  <c r="R1694" i="19" a="1"/>
  <c r="R1050" i="19" a="1"/>
  <c r="R1059" i="19" a="1"/>
  <c r="R1755" i="19" a="1"/>
  <c r="R697" i="19" a="1"/>
  <c r="R948" i="19" a="1"/>
  <c r="R225" i="19" a="1"/>
  <c r="R730" i="19" a="1"/>
  <c r="R2022" i="19" a="1"/>
  <c r="R18" i="19" a="1"/>
  <c r="R960" i="19" a="1"/>
  <c r="R1688" i="19" a="1"/>
  <c r="R326" i="19" a="1"/>
  <c r="R2173" i="19" a="1"/>
  <c r="R2282" i="19" a="1"/>
  <c r="N320" i="19" a="1"/>
  <c r="R2181" i="19" a="1"/>
  <c r="R2178" i="19" a="1"/>
  <c r="R1079" i="19" a="1"/>
  <c r="R1390" i="19" a="1"/>
  <c r="R192" i="19" a="1"/>
  <c r="R1233" i="19" a="1"/>
  <c r="N60" i="19" a="1"/>
  <c r="R833" i="19" a="1"/>
  <c r="R1766" i="19" a="1"/>
  <c r="R995" i="19" a="1"/>
  <c r="N176" i="19" a="1"/>
  <c r="R792" i="19" a="1"/>
  <c r="R1279" i="19" a="1"/>
  <c r="R1945" i="19" a="1"/>
  <c r="R213" i="19" a="1"/>
  <c r="N1440" i="19" a="1"/>
  <c r="R1422" i="19" a="1"/>
  <c r="R1816" i="19" a="1"/>
  <c r="R1529" i="19" a="1"/>
  <c r="R1573" i="19" a="1"/>
  <c r="R1565" i="19" a="1"/>
  <c r="R2233" i="19" a="1"/>
  <c r="R1848" i="19" a="1"/>
  <c r="R2253" i="19" a="1"/>
  <c r="R1804" i="19" a="1"/>
  <c r="R2201" i="19" a="1"/>
  <c r="R1750" i="19" a="1"/>
  <c r="R2198" i="19" a="1"/>
  <c r="N522" i="19" a="1"/>
  <c r="R392" i="19" a="1"/>
  <c r="R147" i="19" a="1"/>
  <c r="L41" i="32" a="1"/>
  <c r="K13" i="16" a="1"/>
  <c r="L36" i="16" a="1"/>
  <c r="N2228" i="19" a="1"/>
  <c r="N1067" i="19" a="1"/>
  <c r="N1886" i="19" a="1"/>
  <c r="N1247" i="19" a="1"/>
  <c r="N2266" i="19" a="1"/>
  <c r="N2257" i="19" a="1"/>
  <c r="N1201" i="19" a="1"/>
  <c r="N1930" i="19" a="1"/>
  <c r="N2339" i="19" a="1"/>
  <c r="N1187" i="19" a="1"/>
  <c r="N1148" i="19" a="1"/>
  <c r="N2129" i="19" a="1"/>
  <c r="N395" i="19" a="1"/>
  <c r="N1822" i="19" a="1"/>
  <c r="N329" i="19" a="1"/>
  <c r="N1385" i="19" a="1"/>
  <c r="N494" i="19" a="1"/>
  <c r="N622" i="19" a="1"/>
  <c r="N1152" i="19" a="1"/>
  <c r="N1525" i="19" a="1"/>
  <c r="N227" i="19" a="1"/>
  <c r="N1983" i="19" a="1"/>
  <c r="N980" i="19" a="1"/>
  <c r="N1901" i="19" a="1"/>
  <c r="N318" i="19" a="1"/>
  <c r="N2370" i="19" a="1"/>
  <c r="N187" i="19" a="1"/>
  <c r="N827" i="19" a="1"/>
  <c r="N1299" i="19" a="1"/>
  <c r="N431" i="19" a="1"/>
  <c r="N1090" i="19" a="1"/>
  <c r="N1103" i="19" a="1"/>
  <c r="N1962" i="19" a="1"/>
  <c r="N1281" i="19" a="1"/>
  <c r="R1411" i="19" a="1"/>
  <c r="N2235" i="19" a="1"/>
  <c r="N986" i="19" a="1"/>
  <c r="N748" i="19" a="1"/>
  <c r="N1734" i="19" a="1"/>
  <c r="N366" i="19" a="1"/>
  <c r="N361" i="19" a="1"/>
  <c r="N2048" i="19" a="1"/>
  <c r="N50" i="19" a="1"/>
  <c r="N386" i="19" a="1"/>
  <c r="R926" i="19" a="1"/>
  <c r="R2013" i="19" a="1"/>
  <c r="N898" i="19" a="1"/>
  <c r="N224" i="19" a="1"/>
  <c r="N19" i="19" a="1"/>
  <c r="R540" i="19" a="1"/>
  <c r="R420" i="19" a="1"/>
  <c r="R1092" i="19" a="1"/>
  <c r="R2200" i="19" a="1"/>
  <c r="R1066" i="19" a="1"/>
  <c r="N1056" i="19" a="1"/>
  <c r="N536" i="19" a="1"/>
  <c r="N196" i="19" a="1"/>
  <c r="N1179" i="19" a="1"/>
  <c r="R2209" i="19" a="1"/>
  <c r="R549" i="19" a="1"/>
  <c r="R1631" i="19" a="1"/>
  <c r="R1990" i="19" a="1"/>
  <c r="R2298" i="19" a="1"/>
  <c r="R89" i="19" a="1"/>
  <c r="N2286" i="19" a="1"/>
  <c r="N661" i="19" a="1"/>
  <c r="R22" i="19" a="1"/>
  <c r="R195" i="19" a="1"/>
  <c r="R439" i="19" a="1"/>
  <c r="R1475" i="19" a="1"/>
  <c r="R714" i="19" a="1"/>
  <c r="N598" i="19" a="1"/>
  <c r="N594" i="19" a="1"/>
  <c r="R1341" i="19" a="1"/>
  <c r="N1921" i="19" a="1"/>
  <c r="N80" i="19" a="1"/>
  <c r="N1300" i="19" a="1"/>
  <c r="R1125" i="19" a="1"/>
  <c r="R1748" i="19" a="1"/>
  <c r="R886" i="19" a="1"/>
  <c r="N2017" i="19" a="1"/>
  <c r="N907" i="19" a="1"/>
  <c r="N922" i="19" a="1"/>
  <c r="R237" i="19" a="1"/>
  <c r="R1214" i="19" a="1"/>
  <c r="R1065" i="19" a="1"/>
  <c r="R380" i="19" a="1"/>
  <c r="R672" i="19" a="1"/>
  <c r="R474" i="19" a="1"/>
  <c r="N1053" i="19" a="1"/>
  <c r="N2008" i="19" a="1"/>
  <c r="N627" i="19" a="1"/>
  <c r="R2373" i="19" a="1"/>
  <c r="R624" i="19" a="1"/>
  <c r="R223" i="19" a="1"/>
  <c r="R1195" i="19" a="1"/>
  <c r="N2335" i="19" a="1"/>
  <c r="N1630" i="19" a="1"/>
  <c r="N130" i="19" a="1"/>
  <c r="R2229" i="19" a="1"/>
  <c r="R1801" i="19" a="1"/>
  <c r="R1160" i="19" a="1"/>
  <c r="R2280" i="19" a="1"/>
  <c r="R1825" i="19" a="1"/>
  <c r="R1387" i="19" a="1"/>
  <c r="R2121" i="19" a="1"/>
  <c r="R2073" i="19" a="1"/>
  <c r="R467" i="19" a="1"/>
  <c r="N1439" i="19" a="1"/>
  <c r="N69" i="19" a="1"/>
  <c r="R597" i="19" a="1"/>
  <c r="R832" i="19" a="1"/>
  <c r="R1058" i="19" a="1"/>
  <c r="R1462" i="19" a="1"/>
  <c r="R2367" i="19" a="1"/>
  <c r="R2167" i="19" a="1"/>
  <c r="R2106" i="19" a="1"/>
  <c r="R74" i="19" a="1"/>
  <c r="R1033" i="19" a="1"/>
  <c r="R438" i="19" a="1"/>
  <c r="N581" i="19" a="1"/>
  <c r="N731" i="19" a="1"/>
  <c r="R428" i="19" a="1"/>
  <c r="R599" i="19" a="1"/>
  <c r="R590" i="19" a="1"/>
  <c r="R418" i="19" a="1"/>
  <c r="R696" i="19" a="1"/>
  <c r="R169" i="19" a="1"/>
  <c r="R210" i="19" a="1"/>
  <c r="R2160" i="19" a="1"/>
  <c r="R96" i="19" a="1"/>
  <c r="N609" i="19" a="1"/>
  <c r="R1157" i="19" a="1"/>
  <c r="R684" i="19" a="1"/>
  <c r="R1500" i="19" a="1"/>
  <c r="R2205" i="19" a="1"/>
  <c r="R2354" i="19" a="1"/>
  <c r="R2081" i="19" a="1"/>
  <c r="R1145" i="19" a="1"/>
  <c r="R464" i="19" a="1"/>
  <c r="R2361" i="19" a="1"/>
  <c r="R33" i="19" a="1"/>
  <c r="R2328" i="19" a="1"/>
  <c r="N409" i="19" a="1"/>
  <c r="R1817" i="19" a="1"/>
  <c r="R907" i="19" a="1"/>
  <c r="R125" i="19" a="1"/>
  <c r="R1781" i="19" a="1"/>
  <c r="R1444" i="19" a="1"/>
  <c r="R368" i="19" a="1"/>
  <c r="R2318" i="19" a="1"/>
  <c r="R1734" i="19" a="1"/>
  <c r="R966" i="19" a="1"/>
  <c r="R1700" i="19" a="1"/>
  <c r="R269" i="19" a="1"/>
  <c r="R1360" i="19" a="1"/>
  <c r="R1433" i="19" a="1"/>
  <c r="N814" i="19" a="1"/>
  <c r="R1964" i="19" a="1"/>
  <c r="R830" i="19" a="1"/>
  <c r="R770" i="19" a="1"/>
  <c r="R1413" i="19" a="1"/>
  <c r="R1395" i="19" a="1"/>
  <c r="R1896" i="19" a="1"/>
  <c r="R974" i="19" a="1"/>
  <c r="N399" i="19" a="1"/>
  <c r="R243" i="19" a="1"/>
  <c r="R944" i="19" a="1"/>
  <c r="R1601" i="19" a="1"/>
  <c r="R1531" i="19" a="1"/>
  <c r="R2108" i="19" a="1"/>
  <c r="R1834" i="19" a="1"/>
  <c r="R1053" i="19" a="1"/>
  <c r="R2016" i="19" a="1"/>
  <c r="N1544" i="19" a="1"/>
  <c r="R101" i="19" a="1"/>
  <c r="R1819" i="19" a="1"/>
  <c r="R2003" i="19" a="1"/>
  <c r="R229" i="19" a="1"/>
  <c r="R1618" i="19" a="1"/>
  <c r="R1303" i="19" a="1"/>
  <c r="R102" i="19" a="1"/>
  <c r="R1527" i="19" a="1"/>
  <c r="R2325" i="19" a="1"/>
  <c r="R1717" i="19" a="1"/>
  <c r="N31" i="19" a="1"/>
  <c r="R1400" i="19" a="1"/>
  <c r="R1504" i="19" a="1"/>
  <c r="R1705" i="19" a="1"/>
  <c r="R1642" i="19" a="1"/>
  <c r="R2001" i="19" a="1"/>
  <c r="R1575" i="19" a="1"/>
  <c r="N2287" i="19" a="1"/>
  <c r="R1537" i="19" a="1"/>
  <c r="R288" i="19" a="1"/>
  <c r="R56" i="19" a="1"/>
  <c r="R1337" i="19" a="1"/>
  <c r="R1735" i="19" a="1"/>
  <c r="R1494" i="19" a="1"/>
  <c r="R1960" i="19" a="1"/>
  <c r="R2224" i="19" a="1"/>
  <c r="N1725" i="19" a="1"/>
  <c r="R1205" i="19" a="1"/>
  <c r="R1428" i="19" a="1"/>
  <c r="R630" i="19" a="1"/>
  <c r="R1110" i="19" a="1"/>
  <c r="R301" i="19" a="1"/>
  <c r="R1357" i="19" a="1"/>
  <c r="R1022" i="19" a="1"/>
  <c r="R2066" i="19" a="1"/>
  <c r="L29" i="32" a="1"/>
  <c r="L4" i="32" a="1"/>
  <c r="L22" i="32" a="1"/>
  <c r="N1102" i="19" a="1"/>
  <c r="N573" i="19" a="1"/>
  <c r="N1502" i="19" a="1"/>
  <c r="N2247" i="19" a="1"/>
  <c r="N1135" i="19" a="1"/>
  <c r="N1954" i="19" a="1"/>
  <c r="N1057" i="19" a="1"/>
  <c r="N1769" i="19" a="1"/>
  <c r="N1424" i="19" a="1"/>
  <c r="N1755" i="19" a="1"/>
  <c r="N847" i="19" a="1"/>
  <c r="N1042" i="19" a="1"/>
  <c r="N260" i="19" a="1"/>
  <c r="N1611" i="19" a="1"/>
  <c r="N659" i="19" a="1"/>
  <c r="N1086" i="19" a="1"/>
  <c r="N650" i="19" a="1"/>
  <c r="N231" i="19" a="1"/>
  <c r="N789" i="19" a="1"/>
  <c r="N979" i="19" a="1"/>
  <c r="N257" i="19" a="1"/>
  <c r="N1475" i="19" a="1"/>
  <c r="N2119" i="19" a="1"/>
  <c r="N1282" i="19" a="1"/>
  <c r="N153" i="19" a="1"/>
  <c r="N2069" i="19" a="1"/>
  <c r="N1647" i="19" a="1"/>
  <c r="N445" i="19" a="1"/>
  <c r="N1884" i="19" a="1"/>
  <c r="N161" i="19" a="1"/>
  <c r="N340" i="19" a="1"/>
  <c r="N413" i="19" a="1"/>
  <c r="N741" i="19" a="1"/>
  <c r="N558" i="19" a="1"/>
  <c r="R1074" i="19" a="1"/>
  <c r="N1246" i="19" a="1"/>
  <c r="N408" i="19" a="1"/>
  <c r="N398" i="19" a="1"/>
  <c r="N944" i="19" a="1"/>
  <c r="N1719" i="19" a="1"/>
  <c r="R1680" i="19" a="1"/>
  <c r="N2330" i="19" a="1"/>
  <c r="N895" i="19" a="1"/>
  <c r="N954" i="19" a="1"/>
  <c r="R1909" i="19" a="1"/>
  <c r="R1075" i="19" a="1"/>
  <c r="N869" i="19" a="1"/>
  <c r="N1917" i="19" a="1"/>
  <c r="N144" i="19" a="1"/>
  <c r="R731" i="19" a="1"/>
  <c r="R1826" i="19" a="1"/>
  <c r="R1406" i="19" a="1"/>
  <c r="R707" i="19" a="1"/>
  <c r="R1522" i="19" a="1"/>
  <c r="N2064" i="19" a="1"/>
  <c r="N88" i="19" a="1"/>
  <c r="N404" i="19" a="1"/>
  <c r="N168" i="19" a="1"/>
  <c r="R1968" i="19" a="1"/>
  <c r="R676" i="19" a="1"/>
  <c r="R654" i="19" a="1"/>
  <c r="R364" i="19" a="1"/>
  <c r="R618" i="19" a="1"/>
  <c r="R1134" i="19" a="1"/>
  <c r="N1026" i="19" a="1"/>
  <c r="N29" i="19" a="1"/>
  <c r="R188" i="19" a="1"/>
  <c r="R938" i="19" a="1"/>
  <c r="R252" i="19" a="1"/>
  <c r="R1615" i="19" a="1"/>
  <c r="R158" i="19" a="1"/>
  <c r="N981" i="19" a="1"/>
  <c r="N850" i="19" a="1"/>
  <c r="R756" i="19" a="1"/>
  <c r="N1023" i="19" a="1"/>
  <c r="N5" i="19" a="1"/>
  <c r="N759" i="19" a="1"/>
  <c r="R1470" i="19" a="1"/>
  <c r="R1797" i="19" a="1"/>
  <c r="R2243" i="19" a="1"/>
  <c r="N1882" i="19" a="1"/>
  <c r="N2278" i="19" a="1"/>
  <c r="N145" i="19" a="1"/>
  <c r="R542" i="19" a="1"/>
  <c r="R1691" i="19" a="1"/>
  <c r="R1836" i="19" a="1"/>
  <c r="R855" i="19" a="1"/>
  <c r="R1943" i="19" a="1"/>
  <c r="R11" i="19" a="1"/>
  <c r="N1426" i="19" a="1"/>
  <c r="N464" i="19" a="1"/>
  <c r="N317" i="19" a="1"/>
  <c r="R436" i="19" a="1"/>
  <c r="R2000" i="19" a="1"/>
  <c r="R498" i="19" a="1"/>
  <c r="R228" i="19" a="1"/>
  <c r="N671" i="19" a="1"/>
  <c r="N1573" i="19" a="1"/>
  <c r="N175" i="19" a="1"/>
  <c r="R466" i="19" a="1"/>
  <c r="R1547" i="19" a="1"/>
  <c r="R1928" i="19" a="1"/>
  <c r="R1761" i="19" a="1"/>
  <c r="R118" i="19" a="1"/>
  <c r="R1138" i="19" a="1"/>
  <c r="R334" i="19" a="1"/>
  <c r="R1194" i="19" a="1"/>
  <c r="R1729" i="19" a="1"/>
  <c r="N1448" i="19" a="1"/>
  <c r="N793" i="19" a="1"/>
  <c r="R1646" i="19" a="1"/>
  <c r="R1155" i="19" a="1"/>
  <c r="R59" i="19" a="1"/>
  <c r="R280" i="19" a="1"/>
  <c r="R38" i="19" a="1"/>
  <c r="R206" i="19" a="1"/>
  <c r="R1356" i="19" a="1"/>
  <c r="R1229" i="19" a="1"/>
  <c r="R284" i="19" a="1"/>
  <c r="R2029" i="19" a="1"/>
  <c r="N2098" i="19" a="1"/>
  <c r="N1460" i="19" a="1"/>
  <c r="R1474" i="19" a="1"/>
  <c r="R1540" i="19" a="1"/>
  <c r="R1880" i="19" a="1"/>
  <c r="R1453" i="19" a="1"/>
  <c r="R142" i="19" a="1"/>
  <c r="R769" i="19" a="1"/>
  <c r="R2221" i="19" a="1"/>
  <c r="R2155" i="19" a="1"/>
  <c r="R126" i="19" a="1"/>
  <c r="N532" i="19" a="1"/>
  <c r="R1647" i="19" a="1"/>
  <c r="R430" i="19" a="1"/>
  <c r="R130" i="19" a="1"/>
  <c r="R2219" i="19" a="1"/>
  <c r="R1687" i="19" a="1"/>
  <c r="R35" i="19" a="1"/>
  <c r="R1346" i="19" a="1"/>
  <c r="R2262" i="19" a="1"/>
  <c r="R443" i="19" a="1"/>
  <c r="R642" i="19" a="1"/>
  <c r="R340" i="19" a="1"/>
  <c r="N43" i="19" a="1"/>
  <c r="R468" i="19" a="1"/>
  <c r="R570" i="19" a="1"/>
  <c r="R1435" i="19" a="1"/>
  <c r="R1552" i="19" a="1"/>
  <c r="R843" i="19" a="1"/>
  <c r="R1172" i="19" a="1"/>
  <c r="R67" i="19" a="1"/>
  <c r="R1120" i="19" a="1"/>
  <c r="R2312" i="19" a="1"/>
  <c r="R184" i="19" a="1"/>
  <c r="R1592" i="19" a="1"/>
  <c r="R2362" i="19" a="1"/>
  <c r="R1827" i="19" a="1"/>
  <c r="N284" i="19" a="1"/>
  <c r="R331" i="19" a="1"/>
  <c r="R584" i="19" a="1"/>
  <c r="R763" i="19" a="1"/>
  <c r="R706" i="19" a="1"/>
  <c r="R1006" i="19" a="1"/>
  <c r="R1471" i="19" a="1"/>
  <c r="R1440" i="19" a="1"/>
  <c r="N87" i="19" a="1"/>
  <c r="R804" i="19" a="1"/>
  <c r="R1791" i="19" a="1"/>
  <c r="R1938" i="19" a="1"/>
  <c r="R1143" i="19" a="1"/>
  <c r="R330" i="19" a="1"/>
  <c r="R144" i="19" a="1"/>
  <c r="R2063" i="19" a="1"/>
  <c r="R1946" i="19" a="1"/>
  <c r="N1074" i="19" a="1"/>
  <c r="R1658" i="19" a="1"/>
  <c r="R1548" i="19" a="1"/>
  <c r="R634" i="19" a="1"/>
  <c r="R1885" i="19" a="1"/>
  <c r="R30" i="19" a="1"/>
  <c r="R904" i="19" a="1"/>
  <c r="R1227" i="19" a="1"/>
  <c r="R1130" i="19" a="1"/>
  <c r="R396" i="19" a="1"/>
  <c r="R246" i="19" a="1"/>
  <c r="N228" i="19" a="1"/>
  <c r="R1163" i="19" a="1"/>
  <c r="R2157" i="19" a="1"/>
  <c r="R1991" i="19" a="1"/>
  <c r="R891" i="19" a="1"/>
  <c r="R865" i="19" a="1"/>
  <c r="R1603" i="19" a="1"/>
  <c r="N517" i="19" a="1"/>
  <c r="R5" i="19" a="1"/>
  <c r="R1620" i="19" a="1"/>
  <c r="R1169" i="19" a="1"/>
  <c r="R566" i="19" a="1"/>
  <c r="R51" i="19" a="1"/>
  <c r="R1569" i="19" a="1"/>
  <c r="R749" i="19" a="1"/>
  <c r="R2072" i="19" a="1"/>
  <c r="N851" i="19" a="1"/>
  <c r="R976" i="19" a="1"/>
  <c r="R251" i="19" a="1"/>
  <c r="R1854" i="19" a="1"/>
  <c r="R878" i="19" a="1"/>
  <c r="R2214" i="19" a="1"/>
  <c r="R874" i="19" a="1"/>
  <c r="R547" i="19" a="1"/>
  <c r="R1594" i="19" a="1"/>
  <c r="L30" i="16" a="1"/>
  <c r="K16" i="16" a="1"/>
  <c r="L5" i="16" a="1"/>
  <c r="N1885" i="19" a="1"/>
  <c r="N2130" i="19" a="1"/>
  <c r="N2078" i="19" a="1"/>
  <c r="N1641" i="19" a="1"/>
  <c r="N991" i="19" a="1"/>
  <c r="N1466" i="19" a="1"/>
  <c r="N913" i="19" a="1"/>
  <c r="N2177" i="19" a="1"/>
  <c r="N1379" i="19" a="1"/>
  <c r="N886" i="19" a="1"/>
  <c r="N1826" i="19" a="1"/>
  <c r="N555" i="19" a="1"/>
  <c r="N473" i="19" a="1"/>
  <c r="N1804" i="19" a="1"/>
  <c r="N289" i="19" a="1"/>
  <c r="N2073" i="19" a="1"/>
  <c r="N16" i="19" a="1"/>
  <c r="N1088" i="19" a="1"/>
  <c r="N853" i="19" a="1"/>
  <c r="N1859" i="19" a="1"/>
  <c r="N2199" i="19" a="1"/>
  <c r="N920" i="19" a="1"/>
  <c r="N868" i="19" a="1"/>
  <c r="N403" i="19" a="1"/>
  <c r="N448" i="19" a="1"/>
  <c r="N952" i="19" a="1"/>
  <c r="N685" i="19" a="1"/>
  <c r="N1402" i="19" a="1"/>
  <c r="N1733" i="19" a="1"/>
  <c r="N1068" i="19" a="1"/>
  <c r="N983" i="19" a="1"/>
  <c r="N1474" i="19" a="1"/>
  <c r="N1810" i="19" a="1"/>
  <c r="N1654" i="19" a="1"/>
  <c r="R1248" i="19" a="1"/>
  <c r="N2280" i="19" a="1"/>
  <c r="N844" i="19" a="1"/>
  <c r="R370" i="19" a="1"/>
  <c r="N715" i="19" a="1"/>
  <c r="N270" i="19" a="1"/>
  <c r="R50" i="19" a="1"/>
  <c r="N1778" i="19" a="1"/>
  <c r="N1973" i="19" a="1"/>
  <c r="N1871" i="19" a="1"/>
  <c r="R27" i="19" a="1"/>
  <c r="R124" i="19" a="1"/>
  <c r="N643" i="19" a="1"/>
  <c r="N199" i="19" a="1"/>
  <c r="N112" i="19" a="1"/>
  <c r="R1731" i="19" a="1"/>
  <c r="R1450" i="19" a="1"/>
  <c r="R1338" i="19" a="1"/>
  <c r="R1056" i="19" a="1"/>
  <c r="R1069" i="19" a="1"/>
  <c r="N1688" i="19" a="1"/>
  <c r="N700" i="19" a="1"/>
  <c r="N1307" i="19" a="1"/>
  <c r="N47" i="19" a="1"/>
  <c r="R121" i="19" a="1"/>
  <c r="R1910" i="19" a="1"/>
  <c r="R1502" i="19" a="1"/>
  <c r="R1243" i="19" a="1"/>
  <c r="R1223" i="19" a="1"/>
  <c r="R1047" i="19" a="1"/>
  <c r="N822" i="19" a="1"/>
  <c r="N2116" i="19" a="1"/>
  <c r="R993" i="19" a="1"/>
  <c r="R1626" i="19" a="1"/>
  <c r="R502" i="19" a="1"/>
  <c r="R1276" i="19" a="1"/>
  <c r="R1473" i="19" a="1"/>
  <c r="N359" i="19" a="1"/>
  <c r="N1034" i="19" a="1"/>
  <c r="R199" i="19" a="1"/>
  <c r="N527" i="19" a="1"/>
  <c r="N548" i="19" a="1"/>
  <c r="N897" i="19" a="1"/>
  <c r="R687" i="19" a="1"/>
  <c r="R1926" i="19" a="1"/>
  <c r="R54" i="19" a="1"/>
  <c r="N1000" i="19" a="1"/>
  <c r="N74" i="19" a="1"/>
  <c r="N293" i="19" a="1"/>
  <c r="R1396" i="19" a="1"/>
  <c r="R605" i="19" a="1"/>
  <c r="R107" i="19" a="1"/>
  <c r="R387" i="19" a="1"/>
  <c r="R1824" i="19" a="1"/>
  <c r="R644" i="19" a="1"/>
  <c r="N910" i="19" a="1"/>
  <c r="N1614" i="19" a="1"/>
  <c r="N251" i="19" a="1"/>
  <c r="R1514" i="19" a="1"/>
  <c r="R1588" i="19" a="1"/>
  <c r="R398" i="19" a="1"/>
  <c r="R128" i="19" a="1"/>
  <c r="N466" i="19" a="1"/>
  <c r="N1762" i="19" a="1"/>
  <c r="N1301" i="19" a="1"/>
  <c r="R1190" i="19" a="1"/>
  <c r="R699" i="19" a="1"/>
  <c r="R528" i="19" a="1"/>
  <c r="R292" i="19" a="1"/>
  <c r="R1892" i="19" a="1"/>
  <c r="R2090" i="19" a="1"/>
  <c r="R13" i="19" a="1"/>
  <c r="R190" i="19" a="1"/>
  <c r="R982" i="19" a="1"/>
  <c r="N1643" i="19" a="1"/>
  <c r="N1150" i="19" a="1"/>
  <c r="R1318" i="19" a="1"/>
  <c r="R1952" i="19" a="1"/>
  <c r="R727" i="19" a="1"/>
  <c r="R1542" i="19" a="1"/>
  <c r="R1198" i="19" a="1"/>
  <c r="R1653" i="19" a="1"/>
  <c r="R393" i="19" a="1"/>
  <c r="R520" i="19" a="1"/>
  <c r="R1389" i="19" a="1"/>
  <c r="R559" i="19" a="1"/>
  <c r="N778" i="19" a="1"/>
  <c r="R159" i="19" a="1"/>
  <c r="R20" i="19" a="1"/>
  <c r="R1546" i="19" a="1"/>
  <c r="R353" i="19" a="1"/>
  <c r="R939" i="19" a="1"/>
  <c r="R2150" i="19" a="1"/>
  <c r="R2275" i="19" a="1"/>
  <c r="R1342" i="19" a="1"/>
  <c r="R325" i="19" a="1"/>
  <c r="N2344" i="19" a="1"/>
  <c r="N753" i="19" a="1"/>
  <c r="R1302" i="19" a="1"/>
  <c r="R2027" i="19" a="1"/>
  <c r="R1456" i="19" a="1"/>
  <c r="R2203" i="19" a="1"/>
  <c r="R372" i="19" a="1"/>
  <c r="R1673" i="19" a="1"/>
  <c r="R216" i="19" a="1"/>
  <c r="R2127" i="19" a="1"/>
  <c r="R2239" i="19" a="1"/>
  <c r="R2294" i="19" a="1"/>
  <c r="N2159" i="19" a="1"/>
  <c r="N602" i="19" a="1"/>
  <c r="R1751" i="19" a="1"/>
  <c r="R598" i="19" a="1"/>
  <c r="R845" i="19" a="1"/>
  <c r="R1669" i="19" a="1"/>
  <c r="R266" i="19" a="1"/>
  <c r="R1331" i="19" a="1"/>
  <c r="R777" i="19" a="1"/>
  <c r="R2300" i="19" a="1"/>
  <c r="R1449" i="19" a="1"/>
  <c r="R164" i="19" a="1"/>
  <c r="R1747" i="19" a="1"/>
  <c r="R1451" i="19" a="1"/>
  <c r="N2121" i="19" a="1"/>
  <c r="N699" i="19" a="1"/>
  <c r="R2259" i="19" a="1"/>
  <c r="R2140" i="19" a="1"/>
  <c r="R1426" i="19" a="1"/>
  <c r="R1745" i="19" a="1"/>
  <c r="R1704" i="19" a="1"/>
  <c r="R1133" i="19" a="1"/>
  <c r="R916" i="19" a="1"/>
  <c r="N666" i="19" a="1"/>
  <c r="R2247" i="19" a="1"/>
  <c r="R274" i="19" a="1"/>
  <c r="R908" i="19" a="1"/>
  <c r="R2036" i="19" a="1"/>
  <c r="R1913" i="19" a="1"/>
  <c r="R1623" i="19" a="1"/>
  <c r="R313" i="19" a="1"/>
  <c r="R1222" i="19" a="1"/>
  <c r="N1359" i="19" a="1"/>
  <c r="R1121" i="19" a="1"/>
  <c r="R425" i="19" a="1"/>
  <c r="R2359" i="19" a="1"/>
  <c r="R1399" i="19" a="1"/>
  <c r="R999" i="19" a="1"/>
  <c r="R1201" i="19" a="1"/>
  <c r="R1702" i="19" a="1"/>
  <c r="R2148" i="19" a="1"/>
  <c r="R2179" i="19" a="1"/>
  <c r="R504" i="19" a="1"/>
  <c r="N277" i="19" a="1"/>
  <c r="R1814" i="19" a="1"/>
  <c r="R1905" i="19" a="1"/>
  <c r="R104" i="19" a="1"/>
  <c r="R1434" i="19" a="1"/>
  <c r="R986" i="19" a="1"/>
  <c r="R2040" i="19" a="1"/>
  <c r="N2028" i="19" a="1"/>
  <c r="R901" i="19" a="1"/>
  <c r="R465" i="19" a="1"/>
  <c r="R518" i="19" a="1"/>
  <c r="R351" i="19" a="1"/>
  <c r="R1969" i="19" a="1"/>
  <c r="R1818" i="19" a="1"/>
  <c r="R227" i="19" a="1"/>
  <c r="R1316" i="19" a="1"/>
  <c r="N2222" i="19" a="1"/>
  <c r="R975" i="19" a="1"/>
  <c r="R620" i="19" a="1"/>
  <c r="R1388" i="19" a="1"/>
  <c r="R1403" i="19" a="1"/>
  <c r="R1464" i="19" a="1"/>
  <c r="R1863" i="19" a="1"/>
  <c r="R799" i="19" a="1"/>
  <c r="R1319" i="19" a="1"/>
  <c r="R440" i="19" a="1"/>
  <c r="N1002" i="19" a="1"/>
  <c r="R1218" i="19" a="1"/>
  <c r="R1844" i="19" a="1"/>
  <c r="R2058" i="19" a="1"/>
  <c r="R151" i="19" a="1"/>
  <c r="R134" i="19" a="1"/>
  <c r="R1634" i="19" a="1"/>
  <c r="R1206" i="19" a="1"/>
  <c r="N515" i="19" a="1"/>
  <c r="R24" i="19" a="1"/>
  <c r="R2067" i="19" a="1"/>
  <c r="R49" i="19" a="1"/>
  <c r="R1649" i="19" a="1"/>
  <c r="R1073" i="19" a="1"/>
  <c r="R1021" i="19" a="1"/>
  <c r="R2210" i="19" a="1"/>
  <c r="R2082" i="19" a="1"/>
  <c r="R1300" i="19" a="1"/>
  <c r="R2255" i="19" a="1"/>
  <c r="R892" i="19" a="1"/>
  <c r="R1142" i="19" a="1"/>
  <c r="R729" i="19" a="1"/>
  <c r="R1977" i="19" a="1"/>
  <c r="R1486" i="19" a="1"/>
  <c r="R95" i="19" a="1"/>
  <c r="N541" i="19" a="1"/>
  <c r="R1663" i="19" a="1"/>
  <c r="R2313" i="19" a="1"/>
  <c r="R2010" i="19" a="1"/>
  <c r="R1895" i="19" a="1"/>
  <c r="R1185" i="19" a="1"/>
  <c r="R844" i="19" a="1"/>
  <c r="R25" i="19" a="1"/>
  <c r="R1366" i="19" a="1"/>
  <c r="R626" i="19" a="1"/>
  <c r="R233" i="19" a="1"/>
  <c r="R2368" i="19" a="1"/>
  <c r="R1380" i="19" a="1"/>
  <c r="R1528" i="19" a="1"/>
  <c r="R117" i="19" a="1"/>
  <c r="R1786" i="19" a="1"/>
  <c r="L6" i="32" a="1"/>
  <c r="L27" i="32" a="1"/>
  <c r="N1805" i="19" a="1"/>
  <c r="N2194" i="19" a="1"/>
  <c r="N767" i="19" a="1"/>
  <c r="N2053" i="19" a="1"/>
  <c r="N1508" i="19" a="1"/>
  <c r="N926" i="19" a="1"/>
  <c r="N2168" i="19" a="1"/>
  <c r="N903" i="19" a="1"/>
  <c r="N1693" i="19" a="1"/>
  <c r="N1655" i="19" a="1"/>
  <c r="N2020" i="19" a="1"/>
  <c r="N1679" i="19" a="1"/>
  <c r="N235" i="19" a="1"/>
  <c r="N1568" i="19" a="1"/>
  <c r="N762" i="19" a="1"/>
  <c r="N2315" i="19" a="1"/>
  <c r="N857" i="19" a="1"/>
  <c r="N2346" i="19" a="1"/>
  <c r="N346" i="19" a="1"/>
  <c r="N2265" i="19" a="1"/>
  <c r="N150" i="19" a="1"/>
  <c r="N1292" i="19" a="1"/>
  <c r="N236" i="19" a="1"/>
  <c r="N1925" i="19" a="1"/>
  <c r="N1438" i="19" a="1"/>
  <c r="N1021" i="19" a="1"/>
  <c r="N2320" i="19" a="1"/>
  <c r="N1879" i="19" a="1"/>
  <c r="N230" i="19" a="1"/>
  <c r="R1932" i="19" a="1"/>
  <c r="N1554" i="19" a="1"/>
  <c r="N1616" i="19" a="1"/>
  <c r="N614" i="19" a="1"/>
  <c r="R2092" i="19" a="1"/>
  <c r="R1238" i="19" a="1"/>
  <c r="R648" i="19" a="1"/>
  <c r="N835" i="19" a="1"/>
  <c r="N188" i="19" a="1"/>
  <c r="N124" i="19" a="1"/>
  <c r="R277" i="19" a="1"/>
  <c r="R1828" i="19" a="1"/>
  <c r="R1760" i="19" a="1"/>
  <c r="N1228" i="19" a="1"/>
  <c r="N678" i="19" a="1"/>
  <c r="R2334" i="19" a="1"/>
  <c r="R314" i="19" a="1"/>
  <c r="R424" i="19" a="1"/>
  <c r="N651" i="19" a="1"/>
  <c r="N640" i="19" a="1"/>
  <c r="N2024" i="19" a="1"/>
  <c r="N269" i="19" a="1"/>
  <c r="R521" i="19" a="1"/>
  <c r="R1607" i="19" a="1"/>
  <c r="R111" i="19" a="1"/>
  <c r="N531" i="19" a="1"/>
  <c r="R1350" i="19" a="1"/>
  <c r="R1965" i="19" a="1"/>
  <c r="R2004" i="19" a="1"/>
  <c r="R757" i="19" a="1"/>
  <c r="N1706" i="19" a="1"/>
  <c r="N590" i="19" a="1"/>
  <c r="R512" i="19" a="1"/>
  <c r="R899" i="19" a="1"/>
  <c r="R1638" i="19" a="1"/>
  <c r="N10" i="19" a="1"/>
  <c r="N2198" i="19" a="1"/>
  <c r="R1231" i="19" a="1"/>
  <c r="R222" i="19" a="1"/>
  <c r="R112" i="19" a="1"/>
  <c r="R2374" i="19" a="1"/>
  <c r="R1996" i="19" a="1"/>
  <c r="R167" i="19" a="1"/>
  <c r="N894" i="19" a="1"/>
  <c r="R987" i="19" a="1"/>
  <c r="R201" i="19" a="1"/>
  <c r="R149" i="19" a="1"/>
  <c r="R442" i="19" a="1"/>
  <c r="R734" i="19" a="1"/>
  <c r="R2193" i="19" a="1"/>
  <c r="R1211" i="19" a="1"/>
  <c r="N107" i="19" a="1"/>
  <c r="R371" i="19" a="1"/>
  <c r="R407" i="19" a="1"/>
  <c r="R917" i="19" a="1"/>
  <c r="R724" i="19" a="1"/>
  <c r="R1327" i="19" a="1"/>
  <c r="R1097" i="19" a="1"/>
  <c r="N543" i="19" a="1"/>
  <c r="R558" i="19" a="1"/>
  <c r="R2110" i="19" a="1"/>
  <c r="R1627" i="19" a="1"/>
  <c r="R1036" i="19" a="1"/>
  <c r="R1741" i="19" a="1"/>
  <c r="R109" i="19" a="1"/>
  <c r="R1203" i="19" a="1"/>
  <c r="N459" i="19" a="1"/>
  <c r="R1034" i="19" a="1"/>
  <c r="R809" i="19" a="1"/>
  <c r="R157" i="19" a="1"/>
  <c r="R1787" i="19" a="1"/>
  <c r="R2202" i="19" a="1"/>
  <c r="R595" i="19" a="1"/>
  <c r="R1714" i="19" a="1"/>
  <c r="R2364" i="19" a="1"/>
  <c r="N1621" i="19" a="1"/>
  <c r="R423" i="19" a="1"/>
  <c r="R1328" i="19" a="1"/>
  <c r="R883" i="19" a="1"/>
  <c r="R2271" i="19" a="1"/>
  <c r="R2017" i="19" a="1"/>
  <c r="N657" i="19" a="1"/>
  <c r="R623" i="19" a="1"/>
  <c r="R2122" i="19" a="1"/>
  <c r="R587" i="19" a="1"/>
  <c r="R2227" i="19" a="1"/>
  <c r="R2046" i="19" a="1"/>
  <c r="N42" i="19" a="1"/>
  <c r="R2316" i="19" a="1"/>
  <c r="R1401" i="19" a="1"/>
  <c r="R1709" i="19" a="1"/>
  <c r="R1784" i="19" a="1"/>
  <c r="R170" i="19" a="1"/>
  <c r="R918" i="19" a="1"/>
  <c r="N143" i="19" a="1"/>
  <c r="R1189" i="19" a="1"/>
  <c r="R1986" i="19" a="1"/>
  <c r="R2026" i="19" a="1"/>
  <c r="R37" i="19" a="1"/>
  <c r="N765" i="19" a="1"/>
  <c r="R709" i="19" a="1"/>
  <c r="R2055" i="19" a="1"/>
  <c r="R1297" i="19" a="1"/>
  <c r="R529" i="19" a="1"/>
  <c r="R1147" i="19" a="1"/>
  <c r="N631" i="19" a="1"/>
  <c r="R350" i="19" a="1"/>
  <c r="R583" i="19" a="1"/>
  <c r="R1683" i="19" a="1"/>
  <c r="R1013" i="19" a="1"/>
  <c r="N575" i="19" a="1"/>
  <c r="N1581" i="19" a="1"/>
  <c r="R538" i="19" a="1"/>
  <c r="R1538" i="19" a="1"/>
  <c r="R1135" i="19" a="1"/>
  <c r="R940" i="19" a="1"/>
  <c r="R546" i="19" a="1"/>
  <c r="M28" i="32" a="1"/>
  <c r="K8" i="16" a="1"/>
  <c r="N1454" i="19" a="1"/>
  <c r="N978" i="19" a="1"/>
  <c r="N623" i="19" a="1"/>
  <c r="N1791" i="19" a="1"/>
  <c r="N1331" i="19" a="1"/>
  <c r="N1811" i="19" a="1"/>
  <c r="N1952" i="19" a="1"/>
  <c r="N755" i="19" a="1"/>
  <c r="N1585" i="19" a="1"/>
  <c r="N462" i="19" a="1"/>
  <c r="N1481" i="19" a="1"/>
  <c r="N2276" i="19" a="1"/>
  <c r="N807" i="19" a="1"/>
  <c r="N2283" i="19" a="1"/>
  <c r="N507" i="19" a="1"/>
  <c r="N730" i="19" a="1"/>
  <c r="N458" i="19" a="1"/>
  <c r="N960" i="19" a="1"/>
  <c r="N2113" i="19" a="1"/>
  <c r="N1836" i="19" a="1"/>
  <c r="N2079" i="19" a="1"/>
  <c r="N994" i="19" a="1"/>
  <c r="N655" i="19" a="1"/>
  <c r="N1707" i="19" a="1"/>
  <c r="N840" i="19" a="1"/>
  <c r="N928" i="19" a="1"/>
  <c r="N451" i="19" a="1"/>
  <c r="N1964" i="19" a="1"/>
  <c r="N977" i="19" a="1"/>
  <c r="R1872" i="19" a="1"/>
  <c r="N2203" i="19" a="1"/>
  <c r="N881" i="19" a="1"/>
  <c r="N111" i="19" a="1"/>
  <c r="R1324" i="19" a="1"/>
  <c r="R1753" i="19" a="1"/>
  <c r="R472" i="19" a="1"/>
  <c r="N2371" i="19" a="1"/>
  <c r="N94" i="19" a="1"/>
  <c r="R87" i="19" a="1"/>
  <c r="R594" i="19" a="1"/>
  <c r="R1619" i="19" a="1"/>
  <c r="R1404" i="19" a="1"/>
  <c r="N1667" i="19" a="1"/>
  <c r="N932" i="19" a="1"/>
  <c r="R2158" i="19" a="1"/>
  <c r="R1166" i="19" a="1"/>
  <c r="R485" i="19" a="1"/>
  <c r="N2178" i="19" a="1"/>
  <c r="R10" i="19" a="1"/>
  <c r="N1413" i="19" a="1"/>
  <c r="N942" i="19" a="1"/>
  <c r="R238" i="19" a="1"/>
  <c r="R846" i="19" a="1"/>
  <c r="N1547" i="19" a="1"/>
  <c r="N875" i="19" a="1"/>
  <c r="R1585" i="19" a="1"/>
  <c r="R2100" i="19" a="1"/>
  <c r="R1712" i="19" a="1"/>
  <c r="R1870" i="19" a="1"/>
  <c r="N1394" i="19" a="1"/>
  <c r="N1892" i="19" a="1"/>
  <c r="R561" i="19" a="1"/>
  <c r="R722" i="19" a="1"/>
  <c r="R1052" i="19" a="1"/>
  <c r="N375" i="19" a="1"/>
  <c r="N21" i="19" a="1"/>
  <c r="R1915" i="19" a="1"/>
  <c r="R1438" i="19" a="1"/>
  <c r="R934" i="19" a="1"/>
  <c r="R2249" i="19" a="1"/>
  <c r="R967" i="19" a="1"/>
  <c r="R980" i="19" a="1"/>
  <c r="N118" i="19" a="1"/>
  <c r="R2006" i="19" a="1"/>
  <c r="R694" i="19" a="1"/>
  <c r="R1063" i="19" a="1"/>
  <c r="R434" i="19" a="1"/>
  <c r="R1799" i="19" a="1"/>
  <c r="R2291" i="19" a="1"/>
  <c r="R219" i="19" a="1"/>
  <c r="N874" i="19" a="1"/>
  <c r="R1637" i="19" a="1"/>
  <c r="R1031" i="19" a="1"/>
  <c r="R1770" i="19" a="1"/>
  <c r="R1210" i="19" a="1"/>
  <c r="R168" i="19" a="1"/>
  <c r="R1798" i="19" a="1"/>
  <c r="N97" i="19" a="1"/>
  <c r="R842" i="19" a="1"/>
  <c r="R970" i="19" a="1"/>
  <c r="R1369" i="19" a="1"/>
  <c r="R942" i="19" a="1"/>
  <c r="R1181" i="19" a="1"/>
  <c r="R1533" i="19" a="1"/>
  <c r="R2018" i="19" a="1"/>
  <c r="N724" i="19" a="1"/>
  <c r="R1235" i="19" a="1"/>
  <c r="R1927" i="19" a="1"/>
  <c r="R397" i="19" a="1"/>
  <c r="R531" i="19" a="1"/>
  <c r="R2194" i="19" a="1"/>
  <c r="R1983" i="19" a="1"/>
  <c r="R1887" i="19" a="1"/>
  <c r="R1756" i="19" a="1"/>
  <c r="N1770" i="19" a="1"/>
  <c r="R638" i="19" a="1"/>
  <c r="R1681" i="19" a="1"/>
  <c r="R1112" i="19" a="1"/>
  <c r="R391" i="19" a="1"/>
  <c r="R2293" i="19" a="1"/>
  <c r="N25" i="19" a="1"/>
  <c r="R505" i="19" a="1"/>
  <c r="R810" i="19" a="1"/>
  <c r="R2139" i="19" a="1"/>
  <c r="R174" i="19" a="1"/>
  <c r="R338" i="19" a="1"/>
  <c r="N241" i="19" a="1"/>
  <c r="R26" i="19" a="1"/>
  <c r="R979" i="19" a="1"/>
  <c r="R1170" i="19" a="1"/>
  <c r="R477" i="19" a="1"/>
  <c r="R355" i="19" a="1"/>
  <c r="R31" i="19" a="1"/>
  <c r="N347" i="19" a="1"/>
  <c r="R1242" i="19" a="1"/>
  <c r="R6" i="19" a="1"/>
  <c r="R650" i="19" a="1"/>
  <c r="R2217" i="19" a="1"/>
  <c r="N411" i="19" a="1"/>
  <c r="R1911" i="19" a="1"/>
  <c r="R1670" i="19" a="1"/>
  <c r="R373" i="19" a="1"/>
  <c r="R1491" i="19" a="1"/>
  <c r="R2096" i="19" a="1"/>
  <c r="N732" i="19" a="1"/>
  <c r="R1273" i="19" a="1"/>
  <c r="R2047" i="19" a="1"/>
  <c r="R1973" i="19" a="1"/>
  <c r="R1519" i="19" a="1"/>
  <c r="R1890" i="19" a="1"/>
  <c r="R565" i="19" a="1"/>
  <c r="R479" i="19" a="1"/>
  <c r="R510" i="19" a="1"/>
  <c r="R1998" i="19" a="1"/>
  <c r="R2232" i="19" a="1"/>
  <c r="R828" i="19" a="1"/>
  <c r="R1763" i="19" a="1"/>
  <c r="R1829" i="19" a="1"/>
  <c r="N964" i="19" a="1"/>
  <c r="R259" i="19" a="1"/>
  <c r="R721" i="19" a="1"/>
  <c r="R803" i="19" a="1"/>
  <c r="R1621" i="19" a="1"/>
  <c r="R659" i="19" a="1"/>
  <c r="R475" i="19" a="1"/>
  <c r="R46" i="19" a="1"/>
  <c r="R838" i="19" a="1"/>
  <c r="N1523" i="19" a="1"/>
  <c r="R508" i="19" a="1"/>
  <c r="R1140" i="19" a="1"/>
  <c r="R850" i="19" a="1"/>
  <c r="R1008" i="19" a="1"/>
  <c r="R43" i="19" a="1"/>
  <c r="R1370" i="19" a="1"/>
  <c r="R400" i="19" a="1"/>
  <c r="R981" i="19" a="1"/>
  <c r="R492" i="19" a="1"/>
  <c r="R1258" i="19" a="1"/>
  <c r="R433" i="19" a="1"/>
  <c r="R363" i="19" a="1"/>
  <c r="R254" i="19" a="1"/>
  <c r="R1212" i="19" a="1"/>
  <c r="N152" i="19" a="1"/>
  <c r="R2125" i="19" a="1"/>
  <c r="R1277" i="19" a="1"/>
  <c r="R122" i="19" a="1"/>
  <c r="R1871" i="19" a="1"/>
  <c r="N333" i="19" a="1"/>
  <c r="R2341" i="19" a="1"/>
  <c r="R1636" i="19" a="1"/>
  <c r="R2165" i="19" a="1"/>
  <c r="R814" i="19" a="1"/>
  <c r="R667" i="19" a="1"/>
  <c r="R523" i="19" a="1"/>
  <c r="R1596" i="19" a="1"/>
  <c r="R2156" i="19" a="1"/>
  <c r="R1555" i="19" a="1"/>
  <c r="R257" i="19" a="1"/>
  <c r="M35" i="32" a="1"/>
  <c r="K33" i="16" a="1"/>
  <c r="N2118" i="19" a="1"/>
  <c r="N1133" i="19" a="1"/>
  <c r="N1860" i="19" a="1"/>
  <c r="N1414" i="19" a="1"/>
  <c r="N2232" i="19" a="1"/>
  <c r="N1622" i="19" a="1"/>
  <c r="N1807" i="19" a="1"/>
  <c r="N879" i="19" a="1"/>
  <c r="N1371" i="19" a="1"/>
  <c r="N1932" i="19" a="1"/>
  <c r="N795" i="19" a="1"/>
  <c r="N1020" i="19" a="1"/>
  <c r="N518" i="19" a="1"/>
  <c r="N1323" i="19" a="1"/>
  <c r="N1536" i="19" a="1"/>
  <c r="N181" i="19" a="1"/>
  <c r="N73" i="19" a="1"/>
  <c r="N2094" i="19" a="1"/>
  <c r="N267" i="19" a="1"/>
  <c r="N929" i="19" a="1"/>
  <c r="N72" i="19" a="1"/>
  <c r="N641" i="19" a="1"/>
  <c r="N866" i="19" a="1"/>
  <c r="N2003" i="19" a="1"/>
  <c r="N1052" i="19" a="1"/>
  <c r="N615" i="19" a="1"/>
  <c r="N506" i="19" a="1"/>
  <c r="N252" i="19" a="1"/>
  <c r="N783" i="19" a="1"/>
  <c r="R116" i="19" a="1"/>
  <c r="N1076" i="19" a="1"/>
  <c r="N945" i="19" a="1"/>
  <c r="N1131" i="19" a="1"/>
  <c r="R2375" i="19" a="1"/>
  <c r="R1096" i="19" a="1"/>
  <c r="R2161" i="19" a="1"/>
  <c r="N2182" i="19" a="1"/>
  <c r="N634" i="19" a="1"/>
  <c r="R343" i="19" a="1"/>
  <c r="R718" i="19" a="1"/>
  <c r="R2345" i="19" a="1"/>
  <c r="R2343" i="19" a="1"/>
  <c r="N1551" i="19" a="1"/>
  <c r="N672" i="19" a="1"/>
  <c r="R1484" i="19" a="1"/>
  <c r="R708" i="19" a="1"/>
  <c r="R1772" i="19" a="1"/>
  <c r="N178" i="19" a="1"/>
  <c r="R1873" i="19" a="1"/>
  <c r="N579" i="19" a="1"/>
  <c r="N617" i="19" a="1"/>
  <c r="R919" i="19" a="1"/>
  <c r="R745" i="19" a="1"/>
  <c r="N1425" i="19" a="1"/>
  <c r="N1444" i="19" a="1"/>
  <c r="R86" i="19" a="1"/>
  <c r="R296" i="19" a="1"/>
  <c r="R2342" i="19" a="1"/>
  <c r="R414" i="19" a="1"/>
  <c r="N1428" i="19" a="1"/>
  <c r="N497" i="19" a="1"/>
  <c r="R1921" i="19" a="1"/>
  <c r="R1492" i="19" a="1"/>
  <c r="R1639" i="19" a="1"/>
  <c r="N1040" i="19" a="1"/>
  <c r="N1186" i="19" a="1"/>
  <c r="R1025" i="19" a="1"/>
  <c r="R207" i="19" a="1"/>
  <c r="R1060" i="19" a="1"/>
  <c r="R2070" i="19" a="1"/>
  <c r="R494" i="19" a="1"/>
  <c r="R1137" i="19" a="1"/>
  <c r="N2275" i="19" a="1"/>
  <c r="L31" i="16" a="1"/>
  <c r="N4" i="19" a="1"/>
  <c r="N1624" i="19" a="1"/>
  <c r="N934" i="19" a="1"/>
  <c r="N746" i="19" a="1"/>
  <c r="N776" i="19" a="1"/>
  <c r="N1618" i="19" a="1"/>
  <c r="N1302" i="19" a="1"/>
  <c r="N1699" i="19" a="1"/>
  <c r="N430" i="19" a="1"/>
  <c r="N2297" i="19" a="1"/>
  <c r="N1795" i="19" a="1"/>
  <c r="N618" i="19" a="1"/>
  <c r="N2204" i="19" a="1"/>
  <c r="N2255" i="19" a="1"/>
  <c r="N878" i="19" a="1"/>
  <c r="N813" i="19" a="1"/>
  <c r="N446" i="19" a="1"/>
  <c r="N1008" i="19" a="1"/>
  <c r="N1401" i="19" a="1"/>
  <c r="N2135" i="19" a="1"/>
  <c r="N1092" i="19" a="1"/>
  <c r="N225" i="19" a="1"/>
  <c r="N167" i="19" a="1"/>
  <c r="N215" i="19" a="1"/>
  <c r="N250" i="19" a="1"/>
  <c r="N15" i="19" a="1"/>
  <c r="N141" i="19" a="1"/>
  <c r="N750" i="19" a="1"/>
  <c r="N290" i="19" a="1"/>
  <c r="N628" i="19" a="1"/>
  <c r="R483" i="19" a="1"/>
  <c r="N1589" i="19" a="1"/>
  <c r="N1451" i="19" a="1"/>
  <c r="R15" i="19" a="1"/>
  <c r="R482" i="19" a="1"/>
  <c r="R250" i="19" a="1"/>
  <c r="R2370" i="19" a="1"/>
  <c r="N545" i="19" a="1"/>
  <c r="N229" i="19" a="1"/>
  <c r="R527" i="19" a="1"/>
  <c r="R1055" i="19" a="1"/>
  <c r="R1268" i="19" a="1"/>
  <c r="R867" i="19" a="1"/>
  <c r="N2308" i="19" a="1"/>
  <c r="R776" i="19" a="1"/>
  <c r="R2019" i="19" a="1"/>
  <c r="R1757" i="19" a="1"/>
  <c r="R1377" i="19" a="1"/>
  <c r="N120" i="19" a="1"/>
  <c r="R445" i="19" a="1"/>
  <c r="N420" i="19" a="1"/>
  <c r="N969" i="19" a="1"/>
  <c r="R1394" i="19" a="1"/>
  <c r="R1498" i="19" a="1"/>
  <c r="N2268" i="19" a="1"/>
  <c r="N923" i="19" a="1"/>
  <c r="R310" i="19" a="1"/>
  <c r="R2290" i="19" a="1"/>
  <c r="R1208" i="19" a="1"/>
  <c r="R1557" i="19" a="1"/>
  <c r="N2260" i="19" a="1"/>
  <c r="N1014" i="19" a="1"/>
  <c r="R2028" i="19" a="1"/>
  <c r="R1715" i="19" a="1"/>
  <c r="N2096" i="19" a="1"/>
  <c r="N146" i="19" a="1"/>
  <c r="N660" i="19" a="1"/>
  <c r="R352" i="19" a="1"/>
  <c r="R962" i="19" a="1"/>
  <c r="R2124" i="19" a="1"/>
  <c r="R1728" i="19" a="1"/>
  <c r="R1393" i="19" a="1"/>
  <c r="R1774" i="19" a="1"/>
  <c r="N1948" i="19" a="1"/>
  <c r="R927" i="19" a="1"/>
  <c r="R2091" i="19" a="1"/>
  <c r="R1958" i="19" a="1"/>
  <c r="R1716" i="19" a="1"/>
  <c r="R1156" i="19" a="1"/>
  <c r="R1042" i="19" a="1"/>
  <c r="R704" i="19" a="1"/>
  <c r="N1084" i="19" a="1"/>
  <c r="R1875" i="19" a="1"/>
  <c r="R2344" i="19" a="1"/>
  <c r="R2195" i="19" a="1"/>
  <c r="R2323" i="19" a="1"/>
  <c r="R1723" i="19" a="1"/>
  <c r="R2083" i="19" a="1"/>
  <c r="N1035" i="19" a="1"/>
  <c r="R1398" i="19" a="1"/>
  <c r="R1955" i="19" a="1"/>
  <c r="R215" i="19" a="1"/>
  <c r="R1275" i="19" a="1"/>
  <c r="R1989" i="19" a="1"/>
  <c r="R545" i="19" a="1"/>
  <c r="R754" i="19" a="1"/>
  <c r="N202" i="19" a="1"/>
  <c r="R1831" i="19" a="1"/>
  <c r="R388" i="19" a="1"/>
  <c r="R1692" i="19" a="1"/>
  <c r="R666" i="19" a="1"/>
  <c r="R381" i="19" a="1"/>
  <c r="R1176" i="19" a="1"/>
  <c r="R1858" i="19" a="1"/>
  <c r="R1598" i="19" a="1"/>
  <c r="N415" i="19" a="1"/>
  <c r="R2283" i="19" a="1"/>
  <c r="R1367" i="19" a="1"/>
  <c r="R1017" i="19" a="1"/>
  <c r="R1667" i="19" a="1"/>
  <c r="R913" i="19" a="1"/>
  <c r="R1652" i="19" a="1"/>
  <c r="R1419" i="19" a="1"/>
  <c r="R1114" i="19" a="1"/>
  <c r="R1583" i="19" a="1"/>
  <c r="R1980" i="19" a="1"/>
  <c r="R1439" i="19" a="1"/>
  <c r="N902" i="19" a="1"/>
  <c r="R412" i="19" a="1"/>
  <c r="R1416" i="19" a="1"/>
  <c r="R1657" i="19" a="1"/>
  <c r="R1556" i="19" a="1"/>
  <c r="R2257" i="19" a="1"/>
  <c r="R2351" i="19" a="1"/>
  <c r="R1796" i="19" a="1"/>
  <c r="R909" i="19" a="1"/>
  <c r="R1676" i="19" a="1"/>
  <c r="R1554" i="19" a="1"/>
  <c r="R766" i="19" a="1"/>
  <c r="R920" i="19" a="1"/>
  <c r="R1726" i="19" a="1"/>
  <c r="R417" i="19" a="1"/>
  <c r="R2314" i="19" a="1"/>
  <c r="R1711" i="19" a="1"/>
  <c r="R2289" i="19" a="1"/>
  <c r="N2057" i="19" a="1"/>
  <c r="R2042" i="19" a="1"/>
  <c r="R533" i="19" a="1"/>
  <c r="R499" i="19" a="1"/>
  <c r="R868" i="19" a="1"/>
  <c r="R1240" i="19" a="1"/>
  <c r="R677" i="19" a="1"/>
  <c r="R1707" i="19" a="1"/>
  <c r="R306" i="19" a="1"/>
  <c r="R342" i="19" a="1"/>
  <c r="R588" i="19" a="1"/>
  <c r="R463" i="19" a="1"/>
  <c r="R78" i="19" a="1"/>
  <c r="R2031" i="19" a="1"/>
  <c r="N1101" i="19" a="1"/>
  <c r="R1778" i="19" a="1"/>
  <c r="R1251" i="19" a="1"/>
  <c r="R2199" i="19" a="1"/>
  <c r="R888" i="19" a="1"/>
  <c r="R41" i="19" a="1"/>
  <c r="R1087" i="19" a="1"/>
  <c r="N1266" i="19" a="1"/>
  <c r="R765" i="19" a="1"/>
  <c r="N513" i="19" a="1"/>
  <c r="R1274" i="19" a="1"/>
  <c r="R1414" i="19" a="1"/>
  <c r="R517" i="19" a="1"/>
  <c r="R2197" i="19" a="1"/>
  <c r="R815" i="19" a="1"/>
  <c r="R1776" i="19" a="1"/>
  <c r="R1425" i="19" a="1"/>
  <c r="R1493" i="19" a="1"/>
  <c r="R1930" i="19" a="1"/>
  <c r="R2376" i="19" a="1"/>
  <c r="R1011" i="19" a="1"/>
  <c r="R615" i="19" a="1"/>
  <c r="R309" i="19" a="1"/>
  <c r="R419" i="19" a="1"/>
  <c r="N371" i="19" a="1"/>
  <c r="R1949" i="19" a="1"/>
  <c r="R1900" i="19" a="1"/>
  <c r="R569" i="19" a="1"/>
  <c r="R1823" i="19" a="1"/>
  <c r="R2366" i="19" a="1"/>
  <c r="R2064" i="19" a="1"/>
  <c r="R1490" i="19" a="1"/>
  <c r="R422" i="19" a="1"/>
  <c r="R2208" i="19" a="1"/>
  <c r="R345" i="19" a="1"/>
  <c r="R1026" i="19" a="1"/>
  <c r="R713" i="19" a="1"/>
  <c r="R895" i="19" a="1"/>
  <c r="R1792" i="19" a="1"/>
  <c r="R802" i="19" a="1"/>
  <c r="L9" i="32" a="1"/>
  <c r="N2351" i="19" a="1"/>
  <c r="N1306" i="19" a="1"/>
  <c r="N2327" i="19" a="1"/>
  <c r="N352" i="19" a="1"/>
  <c r="N488" i="19" a="1"/>
  <c r="N1355" i="19" a="1"/>
  <c r="N1114" i="19" a="1"/>
  <c r="N1591" i="19" a="1"/>
  <c r="N101" i="19" a="1"/>
  <c r="N2046" i="19" a="1"/>
  <c r="N1579" i="19" a="1"/>
  <c r="N2085" i="19" a="1"/>
  <c r="N1866" i="19" a="1"/>
  <c r="N2292" i="19" a="1"/>
  <c r="N405" i="19" a="1"/>
  <c r="N571" i="19" a="1"/>
  <c r="N46" i="19" a="1"/>
  <c r="N1395" i="19" a="1"/>
  <c r="N1038" i="19" a="1"/>
  <c r="N1651" i="19" a="1"/>
  <c r="N761" i="19" a="1"/>
  <c r="N837" i="19" a="1"/>
  <c r="N1512" i="19" a="1"/>
  <c r="N865" i="19" a="1"/>
  <c r="N971" i="19" a="1"/>
  <c r="N616" i="19" a="1"/>
  <c r="N1427" i="19" a="1"/>
  <c r="N901" i="19" a="1"/>
  <c r="N1559" i="19" a="1"/>
  <c r="N966" i="19" a="1"/>
  <c r="R148" i="19" a="1"/>
  <c r="N2195" i="19" a="1"/>
  <c r="N208" i="19" a="1"/>
  <c r="R236" i="19" a="1"/>
  <c r="R365" i="19" a="1"/>
  <c r="R437" i="19" a="1"/>
  <c r="R493" i="19" a="1"/>
  <c r="N76" i="19" a="1"/>
  <c r="N1701" i="19" a="1"/>
  <c r="R715" i="19" a="1"/>
  <c r="R501" i="19" a="1"/>
  <c r="R2015" i="19" a="1"/>
  <c r="R790" i="19" a="1"/>
  <c r="N645" i="19" a="1"/>
  <c r="R563" i="19" a="1"/>
  <c r="R2152" i="19" a="1"/>
  <c r="R2111" i="19" a="1"/>
  <c r="R861" i="19" a="1"/>
  <c r="N474" i="19" a="1"/>
  <c r="R1489" i="19" a="1"/>
  <c r="N572" i="19" a="1"/>
  <c r="N170" i="19" a="1"/>
  <c r="R1959" i="19" a="1"/>
  <c r="R2117" i="19" a="1"/>
  <c r="N2186" i="19" a="1"/>
  <c r="N51" i="19" a="1"/>
  <c r="R788" i="19" a="1"/>
  <c r="R307" i="19" a="1"/>
  <c r="R2337" i="19" a="1"/>
  <c r="R742" i="19" a="1"/>
  <c r="N305" i="19" a="1"/>
  <c r="N104" i="19" a="1"/>
  <c r="R234" i="19" a="1"/>
  <c r="R2171" i="19" a="1"/>
  <c r="L12" i="32" a="1"/>
  <c r="N918" i="19" a="1"/>
  <c r="N919" i="19" a="1"/>
  <c r="N1999" i="19" a="1"/>
  <c r="N1118" i="19" a="1"/>
  <c r="N1138" i="19" a="1"/>
  <c r="N1363" i="19" a="1"/>
  <c r="N621" i="19" a="1"/>
  <c r="N2146" i="19" a="1"/>
  <c r="N1309" i="19" a="1"/>
  <c r="N2214" i="19" a="1"/>
  <c r="N2138" i="19" a="1"/>
  <c r="N1382" i="19" a="1"/>
  <c r="N580" i="19" a="1"/>
  <c r="R153" i="19" a="1"/>
  <c r="R819" i="19" a="1"/>
  <c r="R160" i="19" a="1"/>
  <c r="N812" i="19" a="1"/>
  <c r="R1701" i="19" a="1"/>
  <c r="N1336" i="19" a="1"/>
  <c r="R866" i="19" a="1"/>
  <c r="R1215" i="19" a="1"/>
  <c r="N846" i="19" a="1"/>
  <c r="R1070" i="19" a="1"/>
  <c r="R1811" i="19" a="1"/>
  <c r="R1635" i="19" a="1"/>
  <c r="R611" i="19" a="1"/>
  <c r="R1566" i="19" a="1"/>
  <c r="N1504" i="19" a="1"/>
  <c r="R1202" i="19" a="1"/>
  <c r="N567" i="19" a="1"/>
  <c r="R949" i="19" a="1"/>
  <c r="N665" i="19" a="1"/>
  <c r="R1562" i="19" a="1"/>
  <c r="R432" i="19" a="1"/>
  <c r="N1083" i="19" a="1"/>
  <c r="N1748" i="19" a="1"/>
  <c r="R1420" i="19" a="1"/>
  <c r="N668" i="19" a="1"/>
  <c r="N2059" i="19" a="1"/>
  <c r="R1291" i="19" a="1"/>
  <c r="R1902" i="19" a="1"/>
  <c r="R2159" i="19" a="1"/>
  <c r="N1555" i="19" a="1"/>
  <c r="R681" i="19" a="1"/>
  <c r="R786" i="19" a="1"/>
  <c r="R783" i="19" a="1"/>
  <c r="R29" i="19" a="1"/>
  <c r="R2251" i="19" a="1"/>
  <c r="N1638" i="19" a="1"/>
  <c r="R1358" i="19" a="1"/>
  <c r="R136" i="19" a="1"/>
  <c r="R1089" i="19" a="1"/>
  <c r="R552" i="19" a="1"/>
  <c r="R925" i="19" a="1"/>
  <c r="N1098" i="19" a="1"/>
  <c r="R2030" i="19" a="1"/>
  <c r="R753" i="19" a="1"/>
  <c r="R971" i="19" a="1"/>
  <c r="R2061" i="19" a="1"/>
  <c r="R958" i="19" a="1"/>
  <c r="N59" i="19" a="1"/>
  <c r="R750" i="19" a="1"/>
  <c r="R1062" i="19" a="1"/>
  <c r="R1699" i="19" a="1"/>
  <c r="R1469" i="19" a="1"/>
  <c r="R834" i="19" a="1"/>
  <c r="R2274" i="19" a="1"/>
  <c r="R1349" i="19" a="1"/>
  <c r="R2276" i="19" a="1"/>
  <c r="R2310" i="19" a="1"/>
  <c r="R1290" i="19" a="1"/>
  <c r="R2085" i="19" a="1"/>
  <c r="R375" i="19" a="1"/>
  <c r="R2241" i="19" a="1"/>
  <c r="R285" i="19" a="1"/>
  <c r="R990" i="19" a="1"/>
  <c r="R1693" i="19" a="1"/>
  <c r="R2252" i="19" a="1"/>
  <c r="R214" i="19" a="1"/>
  <c r="R1551" i="19" a="1"/>
  <c r="R1035" i="19" a="1"/>
  <c r="R1256" i="19" a="1"/>
  <c r="R1292" i="19" a="1"/>
  <c r="R2279" i="19" a="1"/>
  <c r="N1645" i="19" a="1"/>
  <c r="R1153" i="19" a="1"/>
  <c r="R1993" i="19" a="1"/>
  <c r="R1933" i="19" a="1"/>
  <c r="R726" i="19" a="1"/>
  <c r="R811" i="19" a="1"/>
  <c r="R673" i="19" a="1"/>
  <c r="R1779" i="19" a="1"/>
  <c r="R447" i="19" a="1"/>
  <c r="R1749" i="19" a="1"/>
  <c r="N557" i="19" a="1"/>
  <c r="R2266" i="19" a="1"/>
  <c r="R1651" i="19" a="1"/>
  <c r="R489" i="19" a="1"/>
  <c r="R469" i="19" a="1"/>
  <c r="R1415" i="19" a="1"/>
  <c r="R1568" i="19" a="1"/>
  <c r="R670" i="19" a="1"/>
  <c r="R1571" i="19" a="1"/>
  <c r="R2074" i="19" a="1"/>
  <c r="R574" i="19" a="1"/>
  <c r="R487" i="19" a="1"/>
  <c r="R604" i="19" a="1"/>
  <c r="R217" i="19" a="1"/>
  <c r="R743" i="19" a="1"/>
  <c r="R2024" i="19" a="1"/>
  <c r="R807" i="19" a="1"/>
  <c r="R224" i="19" a="1"/>
  <c r="R7" i="19" a="1"/>
  <c r="R2113" i="19" a="1"/>
  <c r="R543" i="19" a="1"/>
  <c r="R189" i="19" a="1"/>
  <c r="R526" i="19" a="1"/>
  <c r="R997" i="19" a="1"/>
  <c r="R736" i="19" a="1"/>
  <c r="R1018" i="19" a="1"/>
  <c r="R1343" i="19" a="1"/>
  <c r="R872" i="19" a="1"/>
  <c r="R1976" i="19" a="1"/>
  <c r="R683" i="19" a="1"/>
  <c r="R1124" i="19" a="1"/>
  <c r="R1029" i="19" a="1"/>
  <c r="R57" i="19" a="1"/>
  <c r="R1790" i="19" a="1"/>
  <c r="R58" i="19" a="1"/>
  <c r="R946" i="19" a="1"/>
  <c r="R1856" i="19" a="1"/>
  <c r="R818" i="19" a="1"/>
  <c r="R2054" i="19" a="1"/>
  <c r="R1505" i="19" a="1"/>
  <c r="R1613" i="19" a="1"/>
  <c r="R1812" i="19" a="1"/>
  <c r="R119" i="19" a="1"/>
  <c r="R2180" i="19" a="1"/>
  <c r="R261" i="19" a="1"/>
  <c r="R2265" i="19" a="1"/>
  <c r="R1590" i="19" a="1"/>
  <c r="R568" i="19" a="1"/>
  <c r="R2129" i="19" a="1"/>
  <c r="R2053" i="19" a="1"/>
  <c r="R1271" i="19" a="1"/>
  <c r="R1605" i="19" a="1"/>
  <c r="R2044" i="19" a="1"/>
  <c r="R500" i="19" a="1"/>
  <c r="R321" i="19" a="1"/>
  <c r="L8" i="32" a="1"/>
  <c r="M29" i="32" a="1"/>
  <c r="N764" i="19" a="1"/>
  <c r="N2246" i="19" a="1"/>
  <c r="N1457" i="19" a="1"/>
  <c r="N2088" i="19" a="1"/>
  <c r="N849" i="19" a="1"/>
  <c r="N2243" i="19" a="1"/>
  <c r="N26" i="19" a="1"/>
  <c r="N1461" i="19" a="1"/>
  <c r="N1117" i="19" a="1"/>
  <c r="N2157" i="19" a="1"/>
  <c r="N1182" i="19" a="1"/>
  <c r="N1025" i="19" a="1"/>
  <c r="N1955" i="19" a="1"/>
  <c r="N1081" i="19" a="1"/>
  <c r="R282" i="19" a="1"/>
  <c r="R454" i="19" a="1"/>
  <c r="N169" i="19" a="1"/>
  <c r="R524" i="19" a="1"/>
  <c r="N662" i="19" a="1"/>
  <c r="R1003" i="19" a="1"/>
  <c r="R710" i="19" a="1"/>
  <c r="N155" i="19" a="1"/>
  <c r="R1164" i="19" a="1"/>
  <c r="R700" i="19" a="1"/>
  <c r="N1231" i="19" a="1"/>
  <c r="R185" i="19" a="1"/>
  <c r="R787" i="19" a="1"/>
  <c r="N547" i="19" a="1"/>
  <c r="R2302" i="19" a="1"/>
  <c r="R154" i="19" a="1"/>
  <c r="R2215" i="19" a="1"/>
  <c r="N1149" i="19" a="1"/>
  <c r="R525" i="19" a="1"/>
  <c r="R249" i="19" a="1"/>
  <c r="N2036" i="19" a="1"/>
  <c r="N972" i="19" a="1"/>
  <c r="R1038" i="19" a="1"/>
  <c r="N1054" i="19" a="1"/>
  <c r="N17" i="19" a="1"/>
  <c r="R1846" i="19" a="1"/>
  <c r="R1967" i="19" a="1"/>
  <c r="R476" i="19" a="1"/>
  <c r="N1194" i="19" a="1"/>
  <c r="R410" i="19" a="1"/>
  <c r="R1496" i="19" a="1"/>
  <c r="R553" i="19" a="1"/>
  <c r="R1441" i="19" a="1"/>
  <c r="R1253" i="19" a="1"/>
  <c r="N2231" i="19" a="1"/>
  <c r="R1284" i="19" a="1"/>
  <c r="R1281" i="19" a="1"/>
  <c r="R1906" i="19" a="1"/>
  <c r="R1193" i="19" a="1"/>
  <c r="R1994" i="19" a="1"/>
  <c r="N400" i="19" a="1"/>
  <c r="R1939" i="19" a="1"/>
  <c r="R2187" i="19" a="1"/>
  <c r="R1236" i="19" a="1"/>
  <c r="R996" i="19" a="1"/>
  <c r="N2311" i="19" a="1"/>
  <c r="R429" i="19" a="1"/>
  <c r="R2088" i="19" a="1"/>
  <c r="R556" i="19" a="1"/>
  <c r="R1180" i="19" a="1"/>
  <c r="R836" i="19" a="1"/>
  <c r="R933" i="19" a="1"/>
  <c r="R1564" i="19" a="1"/>
  <c r="R1443" i="19" a="1"/>
  <c r="R639" i="19" a="1"/>
  <c r="R8" i="19" a="1"/>
  <c r="R1987" i="19" a="1"/>
  <c r="R1558" i="19" a="1"/>
  <c r="R2299" i="19" a="1"/>
  <c r="R519" i="19" a="1"/>
  <c r="R1877" i="19" a="1"/>
  <c r="R2043" i="19" a="1"/>
  <c r="R1706" i="19" a="1"/>
  <c r="R1845" i="19" a="1"/>
  <c r="R120" i="19" a="1"/>
  <c r="R1581" i="19" a="1"/>
  <c r="R1335" i="19" a="1"/>
  <c r="R1285" i="19" a="1"/>
  <c r="R1509" i="19" a="1"/>
  <c r="R580" i="19" a="1"/>
  <c r="N1788" i="19" a="1"/>
  <c r="R1894" i="19" a="1"/>
  <c r="R606" i="19" a="1"/>
  <c r="R1184" i="19" a="1"/>
  <c r="R636" i="19" a="1"/>
  <c r="R488" i="19" a="1"/>
  <c r="R653" i="19" a="1"/>
  <c r="R2218" i="19" a="1"/>
  <c r="R1807" i="19" a="1"/>
  <c r="R2263" i="19" a="1"/>
  <c r="N705" i="19" a="1"/>
  <c r="R2216" i="19" a="1"/>
  <c r="R1718" i="19" a="1"/>
  <c r="R402" i="19" a="1"/>
  <c r="R1482" i="19" a="1"/>
  <c r="R1353" i="19" a="1"/>
  <c r="R278" i="19" a="1"/>
  <c r="R1963" i="19" a="1"/>
  <c r="R1191" i="19" a="1"/>
  <c r="N1253" i="19" a="1"/>
  <c r="R1924" i="19" a="1"/>
  <c r="R1129" i="19" a="1"/>
  <c r="R1308" i="19" a="1"/>
  <c r="N2322" i="19" a="1"/>
  <c r="R610" i="19" a="1"/>
  <c r="R2115" i="19" a="1"/>
  <c r="R614" i="19" a="1"/>
  <c r="R1879" i="19" a="1"/>
  <c r="R628" i="19" a="1"/>
  <c r="R1997" i="19" a="1"/>
  <c r="R2147" i="19" a="1"/>
  <c r="R1865" i="19" a="1"/>
  <c r="N397" i="19" a="1"/>
  <c r="M24" i="32" a="1"/>
  <c r="N1033" i="19" a="1"/>
  <c r="N2147" i="19" a="1"/>
  <c r="N2206" i="19" a="1"/>
  <c r="N1723" i="19" a="1"/>
  <c r="N1760" i="19" a="1"/>
  <c r="N1945" i="19" a="1"/>
  <c r="N2365" i="19" a="1"/>
  <c r="N1858" i="19" a="1"/>
  <c r="N786" i="19" a="1"/>
  <c r="N1322" i="19" a="1"/>
  <c r="N1870" i="19" a="1"/>
  <c r="N1176" i="19" a="1"/>
  <c r="N432" i="19" a="1"/>
  <c r="N244" i="19" a="1"/>
  <c r="N735" i="19" a="1"/>
  <c r="N562" i="19" a="1"/>
  <c r="N1765" i="19" a="1"/>
  <c r="N36" i="19" a="1"/>
  <c r="N2288" i="19" a="1"/>
  <c r="N222" i="19" a="1"/>
  <c r="R781" i="19" a="1"/>
  <c r="N1741" i="19" a="1"/>
  <c r="N722" i="19" a="1"/>
  <c r="R2236" i="19" a="1"/>
  <c r="R389" i="19" a="1"/>
  <c r="N191" i="19" a="1"/>
  <c r="R2170" i="19" a="1"/>
  <c r="R264" i="19" a="1"/>
  <c r="N140" i="19" a="1"/>
  <c r="N833" i="19" a="1"/>
  <c r="R961" i="19" a="1"/>
  <c r="R1849" i="19" a="1"/>
  <c r="N687" i="19" a="1"/>
  <c r="R1832" i="19" a="1"/>
  <c r="R1866" i="19" a="1"/>
  <c r="N452" i="19" a="1"/>
  <c r="R235" i="19" a="1"/>
  <c r="R133" i="19" a="1"/>
  <c r="N1091" i="19" a="1"/>
  <c r="R72" i="19" a="1"/>
  <c r="R1876" i="19" a="1"/>
  <c r="R1465" i="19" a="1"/>
  <c r="R1057" i="19" a="1"/>
  <c r="N1252" i="19" a="1"/>
  <c r="R2183" i="19" a="1"/>
  <c r="R98" i="19" a="1"/>
  <c r="R1239" i="19" a="1"/>
  <c r="R2303" i="19" a="1"/>
  <c r="R47" i="19" a="1"/>
  <c r="N830" i="19" a="1"/>
  <c r="R1907" i="19" a="1"/>
  <c r="R1919" i="19" a="1"/>
  <c r="R386" i="19" a="1"/>
  <c r="R1391" i="19" a="1"/>
  <c r="N1949" i="19" a="1"/>
  <c r="R2021" i="19" a="1"/>
  <c r="R747" i="19" a="1"/>
  <c r="R2137" i="19" a="1"/>
  <c r="R1666" i="19" a="1"/>
  <c r="R2339" i="19" a="1"/>
  <c r="N1140" i="19" a="1"/>
  <c r="R860" i="19" a="1"/>
  <c r="R768" i="19" a="1"/>
  <c r="R1954" i="19" a="1"/>
  <c r="R2288" i="19" a="1"/>
  <c r="R1010" i="19" a="1"/>
  <c r="R1550" i="19" a="1"/>
  <c r="N1812" i="19" a="1"/>
  <c r="R2246" i="19" a="1"/>
  <c r="R869" i="19" a="1"/>
  <c r="R2077" i="19" a="1"/>
  <c r="R2242" i="19" a="1"/>
  <c r="R915" i="19" a="1"/>
  <c r="R1530" i="19" a="1"/>
  <c r="R585" i="19" a="1"/>
  <c r="R879" i="19" a="1"/>
  <c r="N1284" i="19" a="1"/>
  <c r="R1759" i="19" a="1"/>
  <c r="R1624" i="19" a="1"/>
  <c r="R1382" i="19" a="1"/>
  <c r="R627" i="19" a="1"/>
  <c r="N1421" i="19" a="1"/>
  <c r="R2038" i="19" a="1"/>
  <c r="R1067" i="19" a="1"/>
  <c r="R48" i="19" a="1"/>
  <c r="N1548" i="19" a="1"/>
  <c r="R2245" i="19" a="1"/>
  <c r="R1480" i="19" a="1"/>
  <c r="R1364" i="19" a="1"/>
  <c r="R1030" i="19" a="1"/>
  <c r="N77" i="19" a="1"/>
  <c r="R1545" i="19" a="1"/>
  <c r="R887" i="19" a="1"/>
  <c r="R1430" i="19" a="1"/>
  <c r="R2130" i="19" a="1"/>
  <c r="R1262" i="19" a="1"/>
  <c r="R2270" i="19" a="1"/>
  <c r="R1589" i="19" a="1"/>
  <c r="N1286" i="19" a="1"/>
  <c r="R150" i="19" a="1"/>
  <c r="R2136" i="19" a="1"/>
  <c r="R1820" i="19" a="1"/>
  <c r="R1970" i="19" a="1"/>
  <c r="R1622" i="19" a="1"/>
  <c r="R413" i="19" a="1"/>
  <c r="R1295" i="19" a="1"/>
  <c r="R2207" i="19" a="1"/>
  <c r="R616" i="19" a="1"/>
  <c r="R446" i="19" a="1"/>
  <c r="R123" i="19" a="1"/>
  <c r="R1630" i="19" a="1"/>
  <c r="R180" i="19" a="1"/>
  <c r="R2052" i="19" a="1"/>
  <c r="R778" i="19" a="1"/>
  <c r="R1764" i="19" a="1"/>
  <c r="R923" i="19" a="1"/>
  <c r="R2356" i="19" a="1"/>
  <c r="R52" i="19" a="1"/>
  <c r="R555" i="19" a="1"/>
  <c r="R1722" i="19" a="1"/>
  <c r="R1323" i="19" a="1"/>
  <c r="R1237" i="19" a="1"/>
  <c r="R70" i="19" a="1"/>
  <c r="R720" i="19" a="1"/>
  <c r="R1920" i="19" a="1"/>
  <c r="R2350" i="19" a="1"/>
  <c r="R175" i="19" a="1"/>
  <c r="L30" i="32" a="1"/>
  <c r="N961" i="19" a="1"/>
  <c r="N2363" i="19" a="1"/>
  <c r="N1062" i="19" a="1"/>
  <c r="N1507" i="19" a="1"/>
  <c r="N2173" i="19" a="1"/>
  <c r="N2171" i="19" a="1"/>
  <c r="N1891" i="19" a="1"/>
  <c r="N1526" i="19" a="1"/>
  <c r="N1418" i="19" a="1"/>
  <c r="N2047" i="19" a="1"/>
  <c r="N1028" i="19" a="1"/>
  <c r="N1922" i="19" a="1"/>
  <c r="N1012" i="19" a="1"/>
  <c r="N995" i="19" a="1"/>
  <c r="N319" i="19" a="1"/>
  <c r="N1001" i="19" a="1"/>
  <c r="N1015" i="19" a="1"/>
  <c r="R92" i="19" a="1"/>
  <c r="N890" i="19" a="1"/>
  <c r="R1508" i="19" a="1"/>
  <c r="R1278" i="19" a="1"/>
  <c r="N1357" i="19" a="1"/>
  <c r="N774" i="19" a="1"/>
  <c r="R357" i="19" a="1"/>
  <c r="R459" i="19" a="1"/>
  <c r="N1530" i="19" a="1"/>
  <c r="R114" i="19" a="1"/>
  <c r="R1299" i="19" a="1"/>
  <c r="N351" i="19" a="1"/>
  <c r="N2042" i="19" a="1"/>
  <c r="R263" i="19" a="1"/>
  <c r="R1015" i="19" a="1"/>
  <c r="N2060" i="19" a="1"/>
  <c r="R1612" i="19" a="1"/>
  <c r="R1197" i="19" a="1"/>
  <c r="N1238" i="19" a="1"/>
  <c r="R36" i="19" a="1"/>
  <c r="R2011" i="19" a="1"/>
  <c r="N1490" i="19" a="1"/>
  <c r="R211" i="19" a="1"/>
  <c r="R1891" i="19" a="1"/>
  <c r="R17" i="19" a="1"/>
  <c r="R1116" i="19" a="1"/>
  <c r="N2166" i="19" a="1"/>
  <c r="R607" i="19" a="1"/>
  <c r="R1815" i="19" a="1"/>
  <c r="R152" i="19" a="1"/>
  <c r="R90" i="19" a="1"/>
  <c r="R1567" i="19" a="1"/>
  <c r="N1250" i="19" a="1"/>
  <c r="R204" i="19" a="1"/>
  <c r="R1515" i="19" a="1"/>
  <c r="R1091" i="19" a="1"/>
  <c r="R1570" i="19" a="1"/>
  <c r="N1216" i="19" a="1"/>
  <c r="R772" i="19" a="1"/>
  <c r="R360" i="19" a="1"/>
  <c r="R209" i="19" a="1"/>
  <c r="R1632" i="19" a="1"/>
  <c r="R633" i="19" a="1"/>
  <c r="N102" i="19" a="1"/>
  <c r="R1982" i="19" a="1"/>
  <c r="R973" i="19" a="1"/>
  <c r="R2051" i="19" a="1"/>
  <c r="R2123" i="19" a="1"/>
  <c r="R1810" i="19" a="1"/>
  <c r="R2360" i="19" a="1"/>
  <c r="N1605" i="19" a="1"/>
  <c r="R2005" i="19" a="1"/>
  <c r="R2348" i="19" a="1"/>
  <c r="R1806" i="19" a="1"/>
  <c r="R156" i="19" a="1"/>
  <c r="R1610" i="19" a="1"/>
  <c r="R2285" i="19" a="1"/>
  <c r="R220" i="19" a="1"/>
  <c r="R774" i="19" a="1"/>
  <c r="N550" i="19" a="1"/>
  <c r="R2050" i="19" a="1"/>
  <c r="R613" i="19" a="1"/>
  <c r="R2104" i="19" a="1"/>
  <c r="R450" i="19" a="1"/>
  <c r="N1044" i="19" a="1"/>
  <c r="R530" i="19" a="1"/>
  <c r="R1978" i="19" a="1"/>
  <c r="R732" i="19" a="1"/>
  <c r="N37" i="19" a="1"/>
  <c r="R2151" i="19" a="1"/>
  <c r="R1177" i="19" a="1"/>
  <c r="R2154" i="19" a="1"/>
  <c r="R473" i="19" a="1"/>
  <c r="N574" i="19" a="1"/>
  <c r="R328" i="19" a="1"/>
  <c r="R212" i="19" a="1"/>
  <c r="R208" i="19" a="1"/>
  <c r="R2069" i="19" a="1"/>
  <c r="R751" i="19" a="1"/>
  <c r="R1286" i="19" a="1"/>
  <c r="N1782" i="19" a="1"/>
  <c r="N591" i="19" a="1"/>
  <c r="N1628" i="19" a="1"/>
  <c r="R805" i="19" a="1"/>
  <c r="R140" i="19" a="1"/>
  <c r="R1768" i="19" a="1"/>
  <c r="R1260" i="19" a="1"/>
  <c r="R19" i="19" a="1"/>
  <c r="N1288" i="19" a="1"/>
  <c r="R1409" i="19" a="1"/>
  <c r="R1563" i="19" a="1"/>
  <c r="R63" i="19" a="1"/>
  <c r="R1614" i="19" a="1"/>
  <c r="R3" i="19" a="1"/>
  <c r="R1468" i="19" a="1"/>
  <c r="R333" i="19" a="1"/>
  <c r="R1682" i="19" a="1"/>
  <c r="R1479" i="19" a="1"/>
  <c r="R571" i="19" a="1"/>
  <c r="R924" i="19" a="1"/>
  <c r="R890" i="19" a="1"/>
  <c r="R1517" i="19" a="1"/>
  <c r="R978" i="19" a="1"/>
  <c r="R2009" i="19" a="1"/>
  <c r="R1265" i="19" a="1"/>
  <c r="R2168" i="19" a="1"/>
  <c r="R1305" i="19" a="1"/>
  <c r="N1071" i="19" a="1"/>
  <c r="R827" i="19" a="1"/>
  <c r="K9" i="16" a="1"/>
  <c r="N285" i="19" a="1"/>
  <c r="N1958" i="19" a="1"/>
  <c r="N1285" i="19" a="1"/>
  <c r="N184" i="19" a="1"/>
  <c r="N414" i="19" a="1"/>
  <c r="N546" i="19" a="1"/>
  <c r="N2144" i="19" a="1"/>
  <c r="N2352" i="19" a="1"/>
  <c r="R1136" i="19" a="1"/>
  <c r="N1642" i="19" a="1"/>
  <c r="N41" i="19" a="1"/>
  <c r="N332" i="19" a="1"/>
  <c r="N240" i="19" a="1"/>
  <c r="R952" i="19" a="1"/>
  <c r="N1420" i="19" a="1"/>
  <c r="R55" i="19" a="1"/>
  <c r="R775" i="19" a="1"/>
  <c r="R702" i="19" a="1"/>
  <c r="N2076" i="19" a="1"/>
  <c r="R312" i="19" a="1"/>
  <c r="R324" i="19" a="1"/>
  <c r="N1584" i="19" a="1"/>
  <c r="R2304" i="19" a="1"/>
  <c r="N2334" i="19" a="1"/>
  <c r="R302" i="19" a="1"/>
  <c r="N1214" i="19" a="1"/>
  <c r="R290" i="19" a="1"/>
  <c r="R1713" i="19" a="1"/>
  <c r="R1454" i="19" a="1"/>
  <c r="R858" i="19" a="1"/>
  <c r="R1325" i="19" a="1"/>
  <c r="R1293" i="19" a="1"/>
  <c r="R1123" i="19" a="1"/>
  <c r="R796" i="19" a="1"/>
  <c r="R1961" i="19" a="1"/>
  <c r="R1081" i="19" a="1"/>
  <c r="N262" i="19" a="1"/>
  <c r="R268" i="19" a="1"/>
  <c r="R1703" i="19" a="1"/>
  <c r="R658" i="19" a="1"/>
  <c r="N689" i="19" a="1"/>
  <c r="R106" i="19" a="1"/>
  <c r="R1312" i="19" a="1"/>
  <c r="R2107" i="19" a="1"/>
  <c r="R1016" i="19" a="1"/>
  <c r="R2330" i="19" a="1"/>
  <c r="R1100" i="19" a="1"/>
  <c r="R1174" i="19" a="1"/>
  <c r="R1084" i="19" a="1"/>
  <c r="R66" i="19" a="1"/>
  <c r="R955" i="19" a="1"/>
  <c r="R1144" i="19" a="1"/>
  <c r="R692" i="19" a="1"/>
  <c r="R347" i="19" a="1"/>
  <c r="R245" i="19" a="1"/>
  <c r="R1113" i="19" a="1"/>
  <c r="R1168" i="19" a="1"/>
  <c r="R1576" i="19" a="1"/>
  <c r="R1541" i="19" a="1"/>
  <c r="R39" i="19" a="1"/>
  <c r="R1072" i="19" a="1"/>
  <c r="R1119" i="19" a="1"/>
  <c r="R127" i="19" a="1"/>
  <c r="R740" i="19" a="1"/>
  <c r="R536" i="19" a="1"/>
  <c r="R490" i="19" a="1"/>
  <c r="R135" i="19" a="1"/>
  <c r="R1809" i="19" a="1"/>
  <c r="R910" i="19" a="1"/>
  <c r="R1332" i="19" a="1"/>
  <c r="R1582" i="19" a="1"/>
  <c r="R1046" i="19" a="1"/>
  <c r="R1771" i="19" a="1"/>
  <c r="R1340" i="19" a="1"/>
  <c r="N13" i="19" a="1"/>
  <c r="R1225" i="19" a="1"/>
  <c r="R889" i="19" a="1"/>
  <c r="R1477" i="19" a="1"/>
  <c r="R1288" i="19" a="1"/>
  <c r="R1107" i="19" a="1"/>
  <c r="R2353" i="19" a="1"/>
  <c r="R1780" i="19" a="1"/>
  <c r="R139" i="19" a="1"/>
  <c r="R1559" i="19" a="1"/>
  <c r="R322" i="19" a="1"/>
  <c r="R1981" i="19" a="1"/>
  <c r="R1679" i="19" a="1"/>
  <c r="R2352" i="19" a="1"/>
  <c r="R1758" i="19" a="1"/>
  <c r="R1886" i="19" a="1"/>
  <c r="R2126" i="19" a="1"/>
  <c r="R2033" i="19" a="1"/>
  <c r="N949" i="19" a="1"/>
  <c r="R1263" i="19" a="1"/>
  <c r="R226" i="19" a="1"/>
  <c r="R1002" i="19" a="1"/>
  <c r="R2332" i="19" a="1"/>
  <c r="R1934" i="19" a="1"/>
  <c r="R286" i="19" a="1"/>
  <c r="R276" i="19" a="1"/>
  <c r="R1306" i="19" a="1"/>
  <c r="R1736" i="19" a="1"/>
  <c r="N67" i="19" a="1"/>
  <c r="R403" i="19" a="1"/>
  <c r="R516" i="19" a="1"/>
  <c r="R1611" i="19" a="1"/>
  <c r="R1264" i="19" a="1"/>
  <c r="R421" i="19" a="1"/>
  <c r="R1272" i="19" a="1"/>
  <c r="N1571" i="19" a="1"/>
  <c r="R906" i="19" a="1"/>
  <c r="R2287" i="19" a="1"/>
  <c r="R2369" i="19" a="1"/>
  <c r="R1662" i="19" a="1"/>
  <c r="R108" i="19" a="1"/>
  <c r="R1936" i="19" a="1"/>
  <c r="R1665" i="19" a="1"/>
  <c r="R1950" i="19" a="1"/>
  <c r="R2305" i="19" a="1"/>
  <c r="N1627" i="19" a="1"/>
  <c r="R1447" i="19" a="1"/>
  <c r="R1379" i="19" a="1"/>
  <c r="N437" i="19" a="1"/>
  <c r="R105" i="19" a="1"/>
  <c r="R2020" i="19" a="1"/>
  <c r="R1068" i="19" a="1"/>
  <c r="R902" i="19" a="1"/>
  <c r="R1822" i="19" a="1"/>
  <c r="R643" i="19" a="1"/>
  <c r="R1608" i="19" a="1"/>
  <c r="R2143" i="19" a="1"/>
  <c r="R137" i="19" a="1"/>
  <c r="R812" i="19" a="1"/>
  <c r="N441" i="19" a="1"/>
  <c r="R1690" i="19" a="1"/>
  <c r="R1941" i="19" a="1"/>
  <c r="R1789" i="19" a="1"/>
  <c r="R912" i="19" a="1"/>
  <c r="R2120" i="19" a="1"/>
  <c r="N116" i="19" a="1"/>
  <c r="R2226" i="19" a="1"/>
  <c r="N528" i="19" a="1"/>
  <c r="N736" i="19" a="1"/>
  <c r="N1132" i="19" a="1"/>
  <c r="N1528" i="19" a="1"/>
  <c r="N1894" i="19" a="1"/>
  <c r="N435" i="19" a="1"/>
  <c r="R905" i="19" a="1"/>
  <c r="N915" i="19" a="1"/>
  <c r="N1383" i="19" a="1"/>
  <c r="N1737" i="19" a="1"/>
  <c r="N725" i="19" a="1"/>
  <c r="R738" i="19" a="1"/>
  <c r="R1028" i="19" a="1"/>
  <c r="R2169" i="19" a="1"/>
  <c r="R1183" i="19" a="1"/>
  <c r="R695" i="19" a="1"/>
  <c r="R253" i="19" a="1"/>
  <c r="R1019" i="19" a="1"/>
  <c r="R327" i="19" a="1"/>
  <c r="R2267" i="19" a="1"/>
  <c r="R308" i="19" a="1"/>
  <c r="R1743" i="19" a="1"/>
  <c r="R1373" i="19" a="1"/>
  <c r="N2298" i="19" a="1"/>
  <c r="R399" i="19" a="1"/>
  <c r="R2240" i="19" a="1"/>
  <c r="R1148" i="19" a="1"/>
  <c r="R1889" i="19" a="1"/>
  <c r="R651" i="19" a="1"/>
  <c r="R2175" i="19" a="1"/>
  <c r="N2302" i="19" a="1"/>
  <c r="R2357" i="19" a="1"/>
  <c r="R1511" i="19" a="1"/>
  <c r="R937" i="19" a="1"/>
  <c r="R1381" i="19" a="1"/>
  <c r="R1254" i="19" a="1"/>
  <c r="R1951" i="19" a="1"/>
  <c r="R1974" i="19" a="1"/>
  <c r="N401" i="19" a="1"/>
  <c r="R1675" i="19" a="1"/>
  <c r="R577" i="19" a="1"/>
  <c r="R669" i="19" a="1"/>
  <c r="R1421" i="19" a="1"/>
  <c r="R1878" i="19" a="1"/>
  <c r="R191" i="19" a="1"/>
  <c r="R1326" i="19" a="1"/>
  <c r="R1868" i="19" a="1"/>
  <c r="R359" i="19" a="1"/>
  <c r="N1500" i="19" a="1"/>
  <c r="N773" i="19" a="1"/>
  <c r="N1429" i="19" a="1"/>
  <c r="R1874" i="19" a="1"/>
  <c r="N195" i="19" a="1"/>
  <c r="N407" i="19" a="1"/>
  <c r="R1744" i="19" a="1"/>
  <c r="R984" i="19" a="1"/>
  <c r="R1536" i="19" a="1"/>
  <c r="R1525" i="19" a="1"/>
  <c r="R859" i="19" a="1"/>
  <c r="N747" i="19" a="1"/>
  <c r="R582" i="19" a="1"/>
  <c r="R631" i="19" a="1"/>
  <c r="R1732" i="19" a="1"/>
  <c r="R196" i="19" a="1"/>
  <c r="R929" i="19" a="1"/>
  <c r="R1782" i="19" a="1"/>
  <c r="N1049" i="19" a="1"/>
  <c r="R1372" i="19" a="1"/>
  <c r="R1261" i="19" a="1"/>
  <c r="R1094" i="19" a="1"/>
  <c r="R679" i="19" a="1"/>
  <c r="N957" i="19" a="1"/>
  <c r="N2068" i="19" a="1"/>
  <c r="R1090" i="19" a="1"/>
  <c r="R1012" i="19" a="1"/>
  <c r="R646" i="19" a="1"/>
  <c r="N563" i="19" a="1"/>
  <c r="N1714" i="19" a="1"/>
  <c r="R1985" i="19" a="1"/>
  <c r="R1219" i="19" a="1"/>
  <c r="N109" i="19" a="1"/>
  <c r="N908" i="19" a="1"/>
  <c r="R2192" i="19" a="1"/>
  <c r="R1595" i="19" a="1"/>
  <c r="R1644" i="19" a="1"/>
  <c r="R1698" i="19" a="1"/>
  <c r="R1495" i="19" a="1"/>
  <c r="R2149" i="19" a="1"/>
  <c r="R297" i="19" a="1"/>
  <c r="R1405" i="19" a="1"/>
  <c r="R1851" i="19" a="1"/>
  <c r="R1296" i="19" a="1"/>
  <c r="N2065" i="19" a="1"/>
  <c r="R76" i="19" a="1"/>
  <c r="R2025" i="19" a="1"/>
  <c r="N454" i="19" a="1"/>
  <c r="R1247" i="19" a="1"/>
  <c r="R1830" i="19" a="1"/>
  <c r="R1294" i="19" a="1"/>
  <c r="N816" i="19" a="1"/>
  <c r="R791" i="19" a="1"/>
  <c r="R641" i="19" a="1"/>
  <c r="R2261" i="19" a="1"/>
  <c r="R562" i="19" a="1"/>
  <c r="R2308" i="19" a="1"/>
  <c r="R384" i="19" a="1"/>
  <c r="R1762" i="19" a="1"/>
  <c r="R1739" i="19" a="1"/>
  <c r="R1855" i="19" a="1"/>
  <c r="N2162" i="19" a="1"/>
  <c r="K32" i="16" a="1"/>
  <c r="N185" i="19" a="1"/>
  <c r="N673" i="19" a="1"/>
  <c r="R935" i="19" a="1"/>
  <c r="R267" i="19" a="1"/>
  <c r="N737" i="19" a="1"/>
  <c r="R1684" i="19" a="1"/>
  <c r="R460" i="19" a="1"/>
  <c r="R1633" i="19" a="1"/>
  <c r="K10" i="16" a="1"/>
  <c r="N636" i="19" a="1"/>
  <c r="N344" i="19" a="1"/>
  <c r="N1069" i="19" a="1"/>
  <c r="N1749" i="19" a="1"/>
  <c r="N249" i="19" a="1"/>
  <c r="N1669" i="19" a="1"/>
  <c r="N1022" i="19" a="1"/>
  <c r="N2293" i="19" a="1"/>
  <c r="N1758" i="19" a="1"/>
  <c r="N1839" i="19" a="1"/>
  <c r="N1059" i="19" a="1"/>
  <c r="R1578" i="19" a="1"/>
  <c r="N418" i="19" a="1"/>
  <c r="R857" i="19" a="1"/>
  <c r="N211" i="19" a="1"/>
  <c r="R956" i="19" a="1"/>
  <c r="R1392" i="19" a="1"/>
  <c r="R1867" i="19" a="1"/>
  <c r="N1225" i="19" a="1"/>
  <c r="N312" i="19" a="1"/>
  <c r="R1805" i="19" a="1"/>
  <c r="N854" i="19" a="1"/>
  <c r="R1648" i="19" a="1"/>
  <c r="N801" i="19" a="1"/>
  <c r="R448" i="19" a="1"/>
  <c r="N1472" i="19" a="1"/>
  <c r="R2237" i="19" a="1"/>
  <c r="R401" i="19" a="1"/>
  <c r="R394" i="19" a="1"/>
  <c r="R4" i="19" a="1"/>
  <c r="R411" i="19" a="1"/>
  <c r="R1859" i="19" a="1"/>
  <c r="N1219" i="19" a="1"/>
  <c r="R1429" i="19" a="1"/>
  <c r="R68" i="19" a="1"/>
  <c r="R514" i="19" a="1"/>
  <c r="N803" i="19" a="1"/>
  <c r="R385" i="19" a="1"/>
  <c r="R1267" i="19" a="1"/>
  <c r="R954" i="19" a="1"/>
  <c r="N1680" i="19" a="1"/>
  <c r="R2327" i="19" a="1"/>
  <c r="R612" i="19" a="1"/>
  <c r="R1944" i="19" a="1"/>
  <c r="R1617" i="19" a="1"/>
  <c r="R824" i="19" a="1"/>
  <c r="R1686" i="19" a="1"/>
  <c r="N2285" i="19" a="1"/>
  <c r="R2333" i="19" a="1"/>
  <c r="R2377" i="19" a="1"/>
  <c r="R1255" i="19" a="1"/>
  <c r="R1427" i="19" a="1"/>
  <c r="R2256" i="19" a="1"/>
  <c r="R1931" i="19" a="1"/>
  <c r="R1209" i="19" a="1"/>
  <c r="R1472" i="19" a="1"/>
  <c r="R1424" i="19" a="1"/>
  <c r="R1800" i="19" a="1"/>
  <c r="R2076" i="19" a="1"/>
  <c r="R1301" i="19" a="1"/>
  <c r="R2188" i="19" a="1"/>
  <c r="R2089" i="19" a="1"/>
  <c r="N1604" i="19" a="1"/>
  <c r="R1159" i="19" a="1"/>
  <c r="R1510" i="19" a="1"/>
  <c r="R1521" i="19" a="1"/>
  <c r="R258" i="19" a="1"/>
  <c r="R779" i="19" a="1"/>
  <c r="R2213" i="19" a="1"/>
  <c r="R911" i="19" a="1"/>
  <c r="R2093" i="19" a="1"/>
  <c r="R45" i="19" a="1"/>
  <c r="R242" i="19" a="1"/>
  <c r="R2324" i="19" a="1"/>
  <c r="N216" i="19" a="1"/>
  <c r="R665" i="19" a="1"/>
  <c r="R1696" i="19" a="1"/>
  <c r="R840" i="19" a="1"/>
  <c r="R1141" i="19" a="1"/>
  <c r="R203" i="19" a="1"/>
  <c r="R2078" i="19" a="1"/>
  <c r="R1457" i="19" a="1"/>
  <c r="R1835" i="19" a="1"/>
  <c r="R837" i="19" a="1"/>
  <c r="R1131" i="19" a="1"/>
  <c r="R1710" i="19" a="1"/>
  <c r="N427" i="19" a="1"/>
  <c r="R1971" i="19" a="1"/>
  <c r="L8" i="16" a="1"/>
  <c r="N1276" i="19" a="1"/>
  <c r="N862" i="19" a="1"/>
  <c r="N1556" i="19" a="1"/>
  <c r="N2362" i="19" a="1"/>
  <c r="N1519" i="19" a="1"/>
  <c r="N757" i="19" a="1"/>
  <c r="N1598" i="19" a="1"/>
  <c r="N2250" i="19" a="1"/>
  <c r="N1137" i="19" a="1"/>
  <c r="R341" i="19" a="1"/>
  <c r="R241" i="19" a="1"/>
  <c r="N105" i="19" a="1"/>
  <c r="R337" i="19" a="1"/>
  <c r="N1727" i="19" a="1"/>
  <c r="R1752" i="19" a="1"/>
  <c r="R2225" i="19" a="1"/>
  <c r="N1944" i="19" a="1"/>
  <c r="N2359" i="19" a="1"/>
  <c r="R77" i="19" a="1"/>
  <c r="R1539" i="19" a="1"/>
  <c r="N2347" i="19" a="1"/>
  <c r="N328" i="19" a="1"/>
  <c r="R486" i="19" a="1"/>
  <c r="R847" i="19" a="1"/>
  <c r="N1580" i="19" a="1"/>
  <c r="R1315" i="19" a="1"/>
  <c r="R1785" i="19" a="1"/>
  <c r="N987" i="19" a="1"/>
  <c r="R965" i="19" a="1"/>
  <c r="R2086" i="19" a="1"/>
  <c r="R2371" i="19" a="1"/>
  <c r="R567" i="19" a="1"/>
  <c r="R42" i="19" a="1"/>
  <c r="N2074" i="19" a="1"/>
  <c r="R187" i="19" a="1"/>
  <c r="N559" i="19" a="1"/>
  <c r="R1040" i="19" a="1"/>
  <c r="R1992" i="19" a="1"/>
  <c r="R1445" i="19" a="1"/>
  <c r="R1526" i="19" a="1"/>
  <c r="R1839" i="19" a="1"/>
  <c r="L29" i="16" a="1"/>
  <c r="N1208" i="19" a="1"/>
  <c r="N1841" i="19" a="1"/>
  <c r="N1890" i="19" a="1"/>
  <c r="N138" i="19" a="1"/>
  <c r="R456" i="19" a="1"/>
  <c r="R1628" i="19" a="1"/>
  <c r="R1244" i="19" a="1"/>
  <c r="R1579" i="19" a="1"/>
  <c r="N300" i="19" a="1"/>
  <c r="R1064" i="19" a="1"/>
  <c r="N433" i="19" a="1"/>
  <c r="N1732" i="19" a="1"/>
  <c r="R746" i="19" a="1"/>
  <c r="N1754" i="19" a="1"/>
  <c r="R279" i="19" a="1"/>
  <c r="N947" i="19" a="1"/>
  <c r="R701" i="19" a="1"/>
  <c r="R84" i="19" a="1"/>
  <c r="R1313" i="19" a="1"/>
  <c r="R181" i="19" a="1"/>
  <c r="R179" i="19" a="1"/>
  <c r="R1048" i="19" a="1"/>
  <c r="N521" i="19" a="1"/>
  <c r="N336" i="19" a="1"/>
  <c r="R2186" i="19" a="1"/>
  <c r="R2098" i="19" a="1"/>
  <c r="R2094" i="19" a="1"/>
  <c r="N491" i="19" a="1"/>
  <c r="R1975" i="19" a="1"/>
  <c r="R2284" i="19" a="1"/>
  <c r="R903" i="19" a="1"/>
  <c r="R1591" i="19" a="1"/>
  <c r="R2037" i="19" a="1"/>
  <c r="R863" i="19" a="1"/>
  <c r="R1463" i="19" a="1"/>
  <c r="R14" i="19" a="1"/>
  <c r="R2163" i="19" a="1"/>
  <c r="R1105" i="19" a="1"/>
  <c r="R800" i="19" a="1"/>
  <c r="R1767" i="19" a="1"/>
  <c r="R1249" i="19" a="1"/>
  <c r="R1334" i="19" a="1"/>
  <c r="N2220" i="19" a="1"/>
  <c r="N2082" i="19" a="1"/>
  <c r="N554" i="19" a="1"/>
  <c r="R1266" i="19" a="1"/>
  <c r="R1167" i="19" a="1"/>
  <c r="R1289" i="19" a="1"/>
  <c r="R1487" i="19" a="1"/>
  <c r="R1287" i="19" a="1"/>
  <c r="N1910" i="19" a="1"/>
  <c r="N1851" i="19" a="1"/>
  <c r="R173" i="19" a="1"/>
  <c r="R1139" i="19" a="1"/>
  <c r="R880" i="19" a="1"/>
  <c r="R1241" i="19" a="1"/>
  <c r="N824" i="19" a="1"/>
  <c r="R218" i="19" a="1"/>
  <c r="R2068" i="19" a="1"/>
  <c r="R1213" i="19" a="1"/>
  <c r="R1942" i="19" a="1"/>
  <c r="N1185" i="19" a="1"/>
  <c r="R1999" i="19" a="1"/>
  <c r="N2112" i="19" a="1"/>
  <c r="N1134" i="19" a="1"/>
  <c r="N156" i="19" a="1"/>
  <c r="N1467" i="19" a="1"/>
  <c r="R617" i="19" a="1"/>
  <c r="R591" i="19" a="1"/>
  <c r="R691" i="19" a="1"/>
  <c r="R698" i="19" a="1"/>
  <c r="R2103" i="19" a="1"/>
  <c r="R2264" i="19" a="1"/>
  <c r="R2250" i="19" a="1"/>
  <c r="R841" i="19" a="1"/>
  <c r="R1604" i="19" a="1"/>
  <c r="R1853" i="19" a="1"/>
  <c r="N48" i="19" a="1"/>
  <c r="R1862" i="19" a="1"/>
  <c r="R1937" i="19" a="1"/>
  <c r="R1246" i="19" a="1"/>
  <c r="R323" i="19" a="1"/>
  <c r="R2212" i="19" a="1"/>
  <c r="N2037" i="19" a="1"/>
  <c r="N941" i="19" a="1"/>
  <c r="N1181" i="19" a="1"/>
  <c r="N1853" i="19" a="1"/>
  <c r="N339" i="19" a="1"/>
  <c r="N681" i="19" a="1"/>
  <c r="N82" i="19" a="1"/>
  <c r="R376" i="19" a="1"/>
  <c r="R1329" i="19" a="1"/>
  <c r="R705" i="19" a="1"/>
  <c r="N697" i="19" a="1"/>
  <c r="R2311" i="19" a="1"/>
  <c r="R1625" i="19" a="1"/>
  <c r="R408" i="19" a="1"/>
  <c r="R2105" i="19" a="1"/>
  <c r="R339" i="19" a="1"/>
  <c r="R1446" i="19" a="1"/>
  <c r="R1311" i="19" a="1"/>
  <c r="R882" i="19" a="1"/>
  <c r="N1340" i="19" a="1"/>
  <c r="R390" i="19" a="1"/>
  <c r="N57" i="19" a="1"/>
  <c r="R725" i="19" a="1"/>
  <c r="N1245" i="19" a="1"/>
  <c r="N769" i="19" a="1"/>
  <c r="N384" i="19" a="1"/>
  <c r="R2177" i="19" a="1"/>
  <c r="R1725" i="19" a="1"/>
  <c r="R1697" i="19" a="1"/>
  <c r="R735" i="19" a="1"/>
  <c r="R1384" i="19" a="1"/>
  <c r="R132" i="19" a="1"/>
  <c r="R1423" i="19" a="1"/>
  <c r="N958" i="19" a="1"/>
  <c r="K29" i="16" a="1"/>
  <c r="N2338" i="19" a="1"/>
  <c r="N1602" i="19" a="1"/>
  <c r="N1635" i="19" a="1"/>
  <c r="N815" i="19" a="1"/>
  <c r="N1534" i="19" a="1"/>
  <c r="N1842" i="19" a="1"/>
  <c r="N2006" i="19" a="1"/>
  <c r="N710" i="19" a="1"/>
  <c r="N2296" i="19" a="1"/>
  <c r="N745" i="19" a="1"/>
  <c r="R572" i="19" a="1"/>
  <c r="R377" i="19" a="1"/>
  <c r="N1239" i="19" a="1"/>
  <c r="R1953" i="19" a="1"/>
  <c r="N576" i="19" a="1"/>
  <c r="R1672" i="19" a="1"/>
  <c r="N126" i="19" a="1"/>
  <c r="R138" i="19" a="1"/>
  <c r="N963" i="19" a="1"/>
  <c r="N893" i="19" a="1"/>
  <c r="R1412" i="19" a="1"/>
  <c r="R1014" i="19" a="1"/>
  <c r="R985" i="19" a="1"/>
  <c r="N688" i="19" a="1"/>
  <c r="R2206" i="19" a="1"/>
  <c r="N1271" i="19" a="1"/>
  <c r="R1362" i="19" a="1"/>
  <c r="R1304" i="19" a="1"/>
  <c r="N313" i="19" a="1"/>
  <c r="R2131" i="19" a="1"/>
  <c r="R1553" i="19" a="1"/>
  <c r="R1754" i="19" a="1"/>
  <c r="N1352" i="19" a="1"/>
  <c r="R1597" i="19" a="1"/>
  <c r="R271" i="19" a="1"/>
  <c r="R2144" i="19" a="1"/>
  <c r="R1512" i="19" a="1"/>
  <c r="R1884" i="19" a="1"/>
  <c r="R1368" i="19" a="1"/>
  <c r="R202" i="19" a="1"/>
  <c r="R143" i="19" a="1"/>
  <c r="R794" i="19" a="1"/>
  <c r="R497" i="19" a="1"/>
  <c r="R1544" i="19" a="1"/>
  <c r="N1582" i="19" a="1"/>
  <c r="R1860" i="19" a="1"/>
  <c r="R1833" i="19" a="1"/>
  <c r="N53" i="19" a="1"/>
  <c r="R1080" i="19" a="1"/>
  <c r="R784" i="19" a="1"/>
  <c r="N504" i="19" a="1"/>
  <c r="R2349" i="19" a="1"/>
  <c r="R977" i="19" a="1"/>
  <c r="R780" i="19" a="1"/>
  <c r="R795" i="19" a="1"/>
  <c r="R1643" i="19" a="1"/>
  <c r="N648" i="19" a="1"/>
  <c r="R1532" i="19" a="1"/>
  <c r="R622" i="19" a="1"/>
  <c r="N1677" i="19" a="1"/>
  <c r="R953" i="19" a="1"/>
  <c r="R1654" i="19" a="1"/>
  <c r="R1708" i="19" a="1"/>
  <c r="R2132" i="19" a="1"/>
  <c r="R817" i="19" a="1"/>
  <c r="R289" i="19" a="1"/>
  <c r="R141" i="19" a="1"/>
  <c r="R1661" i="19" a="1"/>
  <c r="R885" i="19" a="1"/>
  <c r="R2099" i="19" a="1"/>
  <c r="R221" i="19" a="1"/>
  <c r="R703" i="19" a="1"/>
  <c r="R378" i="19" a="1"/>
  <c r="R2317" i="19" a="1"/>
  <c r="R1916" i="19" a="1"/>
  <c r="R1947" i="19" a="1"/>
  <c r="R649" i="19" a="1"/>
  <c r="R1935" i="19" a="1"/>
  <c r="R1250" i="19" a="1"/>
  <c r="R922" i="19" a="1"/>
  <c r="R1925" i="19" a="1"/>
  <c r="R789" i="19" a="1"/>
  <c r="R806" i="19" a="1"/>
  <c r="R255" i="19" a="1"/>
  <c r="R1009" i="19" a="1"/>
  <c r="R652" i="19" a="1"/>
  <c r="R608" i="19" a="1"/>
  <c r="R1917" i="19" a="1"/>
  <c r="N428" i="19" a="1"/>
  <c r="R1269" i="19" a="1"/>
  <c r="R335" i="19" a="1"/>
  <c r="R1045" i="19" a="1"/>
  <c r="R1023" i="19" a="1"/>
  <c r="R873" i="19" a="1"/>
  <c r="R2230" i="19" a="1"/>
  <c r="R2007" i="19" a="1"/>
  <c r="R1677" i="19" a="1"/>
  <c r="R662" i="19" a="1"/>
  <c r="R1503" i="19" a="1"/>
  <c r="R557" i="19" a="1"/>
  <c r="R1397" i="19" a="1"/>
  <c r="R2286" i="19" a="1"/>
  <c r="R1940" i="19" a="1"/>
  <c r="R1842" i="19" a="1"/>
  <c r="N1050" i="19" a="1"/>
  <c r="R1041" i="19" a="1"/>
  <c r="R1221" i="19" a="1"/>
  <c r="N2110" i="19" a="1"/>
  <c r="R2260" i="19" a="1"/>
  <c r="N1926" i="19" a="1"/>
  <c r="R1355" i="19" a="1"/>
  <c r="N465" i="19" a="1"/>
  <c r="R1534" i="19" a="1"/>
  <c r="R813" i="19" a="1"/>
  <c r="R1344" i="19" a="1"/>
  <c r="R2102" i="19" a="1"/>
  <c r="R305" i="19" a="1"/>
  <c r="R716" i="19" a="1"/>
  <c r="R1207" i="19" a="1"/>
  <c r="N268" i="19" a="1"/>
  <c r="R2301" i="19" a="1"/>
  <c r="R988" i="19" a="1"/>
  <c r="R166" i="19" a="1"/>
  <c r="R1695" i="19" a="1"/>
  <c r="R689" i="19" a="1"/>
  <c r="R1402" i="19" a="1"/>
  <c r="R1777" i="19" a="1"/>
  <c r="R1282" i="19" a="1"/>
  <c r="N374" i="19" a="1"/>
  <c r="R2244" i="19" a="1"/>
  <c r="R1788" i="19" a="1"/>
  <c r="R2190" i="19" a="1"/>
  <c r="R100" i="19" a="1"/>
  <c r="N1100" i="19" a="1"/>
  <c r="R862" i="19" a="1"/>
  <c r="N496" i="19" a="1"/>
  <c r="R1918" i="19" a="1"/>
  <c r="R822" i="19" a="1"/>
  <c r="R1044" i="19" a="1"/>
  <c r="R1204" i="19" a="1"/>
  <c r="R1837" i="19" a="1"/>
  <c r="N2332" i="19" a="1"/>
  <c r="R989" i="19" a="1"/>
  <c r="R183" i="19" a="1"/>
  <c r="R1979" i="19" a="1"/>
  <c r="N1190" i="19" a="1"/>
  <c r="N1575" i="19" a="1"/>
  <c r="N486" i="19" a="1"/>
  <c r="N925" i="19" a="1"/>
  <c r="N24" i="19" a="1"/>
  <c r="N1771" i="19" a="1"/>
  <c r="N2376" i="19" a="1"/>
  <c r="R941" i="19" a="1"/>
  <c r="R629" i="19" a="1"/>
  <c r="N364" i="19" a="1"/>
  <c r="N1356" i="19" a="1"/>
  <c r="N514" i="19" a="1"/>
  <c r="R625" i="19" a="1"/>
  <c r="N1874" i="19" a="1"/>
  <c r="R657" i="19" a="1"/>
  <c r="N1268" i="19" a="1"/>
  <c r="R113" i="19" a="1"/>
  <c r="R1455" i="19" a="1"/>
  <c r="N2169" i="19" a="1"/>
  <c r="R1459" i="19" a="1"/>
  <c r="N1656" i="19" a="1"/>
  <c r="R1783" i="19" a="1"/>
  <c r="R2056" i="19" a="1"/>
  <c r="R1803" i="19" a="1"/>
  <c r="R682" i="19" a="1"/>
  <c r="R1606" i="19" a="1"/>
  <c r="R1719" i="19" a="1"/>
  <c r="R270" i="19" a="1"/>
  <c r="R739" i="19" a="1"/>
  <c r="R1032" i="19" a="1"/>
  <c r="R2220" i="19" a="1"/>
  <c r="R1685" i="19" a="1"/>
  <c r="R2223" i="19" a="1"/>
  <c r="R1037" i="19" a="1"/>
  <c r="R2172" i="19" a="1"/>
  <c r="R1650" i="19" a="1"/>
  <c r="N542" i="19" a="1"/>
  <c r="R1220" i="19" a="1"/>
  <c r="R64" i="19" a="1"/>
  <c r="R1903" i="19" a="1"/>
  <c r="R1007" i="19" a="1"/>
  <c r="R1948" i="19" a="1"/>
  <c r="N733" i="19" a="1"/>
  <c r="R2269" i="19" a="1"/>
  <c r="R1385" i="19" a="1"/>
  <c r="R1850" i="19" a="1"/>
  <c r="R1897" i="19" a="1"/>
  <c r="N1105" i="19" a="1"/>
  <c r="N1895" i="19" a="1"/>
  <c r="N1768" i="19" a="1"/>
  <c r="N1702" i="19" a="1"/>
  <c r="N2241" i="19" a="1"/>
  <c r="R94" i="19" a="1"/>
  <c r="R315" i="19" a="1"/>
  <c r="N1290" i="19" a="1"/>
  <c r="R875" i="19" a="1"/>
  <c r="R1599" i="19" a="1"/>
  <c r="R1549" i="19" a="1"/>
  <c r="R1821" i="19" a="1"/>
  <c r="R2272" i="19" a="1"/>
  <c r="R881" i="19" a="1"/>
  <c r="N1929" i="19" a="1"/>
  <c r="R619" i="19" a="1"/>
  <c r="R1363" i="19" a="1"/>
  <c r="R507" i="19" a="1"/>
  <c r="R647" i="19" a="1"/>
  <c r="R295" i="19" a="1"/>
  <c r="R1043" i="19" a="1"/>
  <c r="R1641" i="19" a="1"/>
  <c r="R870" i="19" a="1"/>
  <c r="R1452" i="19" a="1"/>
  <c r="R578" i="19" a="1"/>
  <c r="N1443" i="19" a="1"/>
  <c r="N1692" i="19" a="1"/>
  <c r="N261" i="19" a="1"/>
  <c r="N2295" i="19" a="1"/>
  <c r="R678" i="19" a="1"/>
  <c r="R1216" i="19" a="1"/>
  <c r="R950" i="19" a="1"/>
  <c r="R1655" i="19" a="1"/>
  <c r="R1499" i="19" a="1"/>
  <c r="R2023" i="19" a="1"/>
  <c r="R240" i="19" a="1"/>
  <c r="R2335" i="19" a="1"/>
  <c r="R1587" i="19" a="1"/>
  <c r="R798" i="19" a="1"/>
  <c r="N888" i="19" a="1"/>
  <c r="R2204" i="19" a="1"/>
  <c r="R560" i="19" a="1"/>
  <c r="R914" i="19" a="1"/>
  <c r="R2084" i="19" a="1"/>
  <c r="R2119" i="19" a="1"/>
  <c r="R273" i="19" a="1"/>
  <c r="R1154" i="19" a="1"/>
  <c r="R23" i="19" a="1"/>
  <c r="R513" i="19" a="1"/>
  <c r="R2231" i="19" a="1"/>
  <c r="R281" i="19" a="1"/>
  <c r="R12" i="19" a="1"/>
  <c r="R1418" i="19" a="1"/>
  <c r="R1864" i="19" a="1"/>
  <c r="R1162" i="19" a="1"/>
  <c r="R719" i="19" a="1"/>
  <c r="R1602" i="19" a="1"/>
  <c r="R2035" i="19" a="1"/>
  <c r="R2079" i="19" a="1"/>
  <c r="R576" i="19" a="1"/>
  <c r="R2164" i="19" a="1"/>
  <c r="R265" i="19" a="1"/>
  <c r="R1664" i="19" a="1"/>
  <c r="R2309" i="19" a="1"/>
  <c r="R293" i="19" a="1"/>
  <c r="R596" i="19" a="1"/>
  <c r="R1117" i="19" a="1"/>
  <c r="R1187" i="19" a="1"/>
  <c r="R103" i="19" a="1"/>
  <c r="R367" i="19" a="1"/>
  <c r="N2336" i="19" a="1"/>
  <c r="N1139" i="19" a="1"/>
  <c r="N1163" i="19" a="1"/>
  <c r="N829" i="19" a="1"/>
  <c r="N1162" i="19" a="1"/>
  <c r="R172" i="19" a="1"/>
  <c r="R1899" i="19" a="1"/>
  <c r="R435" i="19" a="1"/>
  <c r="R404" i="19" a="1"/>
  <c r="L38" i="16" a="1"/>
  <c r="N2103" i="19" a="1"/>
  <c r="N985" i="19" a="1"/>
  <c r="N1558" i="19" a="1"/>
  <c r="N599" i="19" a="1"/>
  <c r="N2090" i="19" a="1"/>
  <c r="N1232" i="19" a="1"/>
  <c r="N691" i="19" a="1"/>
  <c r="N561" i="19" a="1"/>
  <c r="N253" i="19" a="1"/>
  <c r="R1192" i="19" a="1"/>
  <c r="N607" i="19" a="1"/>
  <c r="R197" i="19" a="1"/>
  <c r="R362" i="19" a="1"/>
  <c r="R1584" i="19" a="1"/>
  <c r="N91" i="19" a="1"/>
  <c r="R1230" i="19" a="1"/>
  <c r="N131" i="19" a="1"/>
  <c r="R2095" i="19" a="1"/>
  <c r="N1977" i="19" a="1"/>
  <c r="N1480" i="19" a="1"/>
  <c r="R1347" i="19" a="1"/>
  <c r="R294" i="19" a="1"/>
  <c r="R1609" i="19" a="1"/>
  <c r="N938" i="19" a="1"/>
  <c r="N1237" i="19" a="1"/>
  <c r="N836" i="19" a="1"/>
  <c r="R2254" i="19" a="1"/>
  <c r="R2355" i="19" a="1"/>
  <c r="N1136" i="19" a="1"/>
  <c r="R2141" i="19" a="1"/>
  <c r="R1095" i="19" a="1"/>
  <c r="R1407" i="19" a="1"/>
  <c r="N330" i="19" a="1"/>
  <c r="R28" i="19" a="1"/>
  <c r="R2273" i="19" a="1"/>
  <c r="R2116" i="19" a="1"/>
  <c r="R2014" i="19" a="1"/>
  <c r="R534" i="19" a="1"/>
  <c r="R73" i="19" a="1"/>
  <c r="R1086" i="19" a="1"/>
  <c r="R478" i="19" a="1"/>
  <c r="R793" i="19" a="1"/>
  <c r="R964" i="19" a="1"/>
  <c r="R767" i="19" a="1"/>
  <c r="N476" i="19" a="1"/>
  <c r="R1320" i="19" a="1"/>
  <c r="R178" i="19" a="1"/>
  <c r="N254" i="19" a="1"/>
  <c r="R1813" i="19" a="1"/>
  <c r="R205" i="19" a="1"/>
  <c r="N99" i="19" a="1"/>
  <c r="R1082" i="19" a="1"/>
  <c r="R2292" i="19" a="1"/>
  <c r="R1956" i="19" a="1"/>
  <c r="R2258" i="19" a="1"/>
  <c r="R876" i="19" a="1"/>
  <c r="R1461" i="19" a="1"/>
  <c r="R808" i="19" a="1"/>
  <c r="R2174" i="19" a="1"/>
  <c r="N378" i="19" a="1"/>
  <c r="R2331" i="19" a="1"/>
  <c r="R1348" i="19" a="1"/>
  <c r="R1310" i="19" a="1"/>
  <c r="R1158" i="19" a="1"/>
  <c r="R2008" i="19" a="1"/>
  <c r="R2075" i="19" a="1"/>
  <c r="R415" i="19" a="1"/>
  <c r="R831" i="19" a="1"/>
  <c r="R1481" i="19" a="1"/>
  <c r="R272" i="19" a="1"/>
  <c r="R573" i="19" a="1"/>
  <c r="R936" i="19" a="1"/>
  <c r="R2238" i="19" a="1"/>
  <c r="R409" i="19" a="1"/>
  <c r="N2340" i="19" a="1"/>
  <c r="R1102" i="19" a="1"/>
  <c r="L4" i="16" a="1"/>
  <c r="N1599" i="19" a="1"/>
  <c r="N1199" i="19" a="1"/>
  <c r="N383" i="19" a="1"/>
  <c r="N825" i="19" a="1"/>
  <c r="N1223" i="19" a="1"/>
  <c r="N1046" i="19" a="1"/>
  <c r="N159" i="19" a="1"/>
  <c r="R2002" i="19" a="1"/>
  <c r="R782" i="19" a="1"/>
  <c r="N95" i="19" a="1"/>
  <c r="R758" i="19" a="1"/>
  <c r="R1078" i="19" a="1"/>
  <c r="R1039" i="19" a="1"/>
  <c r="N872" i="19" a="1"/>
  <c r="N489" i="19" a="1"/>
  <c r="R2234" i="19" a="1"/>
  <c r="N189" i="19" a="1"/>
  <c r="N39" i="19" a="1"/>
  <c r="R1020" i="19" a="1"/>
  <c r="R287" i="19" a="1"/>
  <c r="N306" i="19" a="1"/>
  <c r="N23" i="19" a="1"/>
  <c r="R1150" i="19" a="1"/>
  <c r="R645" i="19" a="1"/>
  <c r="R853" i="19" a="1"/>
  <c r="R480" i="19" a="1"/>
  <c r="R53" i="19" a="1"/>
  <c r="R2315" i="19" a="1"/>
  <c r="R1257" i="19" a="1"/>
  <c r="R1076" i="19" a="1"/>
  <c r="N600" i="19" a="1"/>
  <c r="R2109" i="19" a="1"/>
  <c r="R1365" i="19" a="1"/>
  <c r="R1361" i="19" a="1"/>
  <c r="R2097" i="19" a="1"/>
  <c r="R1795" i="19" a="1"/>
  <c r="R1629" i="19" a="1"/>
  <c r="R943" i="19" a="1"/>
  <c r="R1321" i="19" a="1"/>
  <c r="R1111" i="19" a="1"/>
  <c r="R182" i="19" a="1"/>
  <c r="R291" i="19" a="1"/>
  <c r="R275" i="19" a="1"/>
  <c r="R1004" i="19" a="1"/>
  <c r="R2196" i="19" a="1"/>
  <c r="R2372" i="19" a="1"/>
  <c r="R983" i="19" a="1"/>
  <c r="R484" i="19" a="1"/>
  <c r="R2320" i="19" a="1"/>
  <c r="N2063" i="19" a="1"/>
  <c r="N763" i="19" a="1"/>
  <c r="N2244" i="19" a="1"/>
  <c r="N760" i="19" a="1"/>
  <c r="R1322" i="19" a="1"/>
  <c r="N1404" i="19" a="1"/>
  <c r="R849" i="19" a="1"/>
  <c r="N582" i="19" a="1"/>
  <c r="R2277" i="19" a="1"/>
  <c r="R928" i="19" a="1"/>
  <c r="R262" i="19" a="1"/>
  <c r="R354" i="19" a="1"/>
  <c r="R898" i="19" a="1"/>
  <c r="R635" i="19" a="1"/>
  <c r="R771" i="19" a="1"/>
  <c r="R1733" i="19" a="1"/>
  <c r="R1071" i="19" a="1"/>
  <c r="R2114" i="19" a="1"/>
  <c r="R462" i="19" a="1"/>
  <c r="R1773" i="19" a="1"/>
  <c r="R1224" i="19" a="1"/>
  <c r="R85" i="19" a="1"/>
  <c r="N278" i="19" a="1"/>
  <c r="R603" i="19" a="1"/>
  <c r="R959" i="19" a="1"/>
  <c r="R969" i="19" a="1"/>
  <c r="R1518" i="19" a="1"/>
  <c r="R551" i="19" a="1"/>
  <c r="N1277" i="19" a="1"/>
  <c r="R1794" i="19" a="1"/>
  <c r="R146" i="19" a="1"/>
  <c r="R884" i="19" a="1"/>
  <c r="R318" i="19" a="1"/>
  <c r="N1854" i="19" a="1"/>
  <c r="R40" i="19" a="1"/>
  <c r="R1881" i="19" a="1"/>
  <c r="R2142" i="19" a="1"/>
  <c r="R825" i="19" a="1"/>
  <c r="R1668" i="19" a="1"/>
  <c r="N707" i="19" a="1"/>
  <c r="R968" i="19" a="1"/>
  <c r="R1882" i="19" a="1"/>
  <c r="R2365" i="19" a="1"/>
  <c r="R1049" i="19" a="1"/>
  <c r="N1963" i="19" a="1"/>
  <c r="N2196" i="19" a="1"/>
  <c r="R1586" i="19" a="1"/>
  <c r="R80" i="19" a="1"/>
  <c r="R129" i="19" a="1"/>
  <c r="R2278" i="19" a="1"/>
  <c r="R2184" i="19" a="1"/>
  <c r="R1132" i="19" a="1"/>
  <c r="R2182" i="19" a="1"/>
  <c r="R319" i="19" a="1"/>
  <c r="R1593" i="19" a="1"/>
  <c r="R2153" i="19" a="1"/>
  <c r="R864" i="19" a="1"/>
  <c r="R877" i="19" a="1"/>
  <c r="R522" i="19" a="1"/>
  <c r="R311" i="19" a="1"/>
  <c r="R2134" i="19" a="1"/>
  <c r="R1106" i="19" a="1"/>
  <c r="R579" i="19" a="1"/>
  <c r="R1574" i="19" a="1"/>
  <c r="R230" i="19" a="1"/>
  <c r="R1054" i="19" a="1"/>
  <c r="N674" i="19" a="1"/>
  <c r="N680" i="19" a="1"/>
  <c r="N247" i="19" a="1"/>
  <c r="N933" i="19" a="1"/>
  <c r="R535" i="19" a="1"/>
  <c r="N1549" i="19" a="1"/>
  <c r="R1298" i="19" a="1"/>
  <c r="R93" i="19" a="1"/>
  <c r="R193" i="19" a="1"/>
  <c r="R379" i="19" a="1"/>
  <c r="R2306" i="19" a="1"/>
  <c r="R655" i="19" a="1"/>
  <c r="R1966" i="19" a="1"/>
  <c r="R1840" i="19" a="1"/>
  <c r="N1258" i="19" a="1"/>
  <c r="R932" i="19" a="1"/>
  <c r="R711" i="19" a="1"/>
  <c r="R609" i="19" a="1"/>
  <c r="R1765" i="19" a="1"/>
  <c r="R621" i="19" a="1"/>
  <c r="N412" i="19" a="1"/>
  <c r="N1063" i="19" a="1"/>
  <c r="N1463" i="19" a="1"/>
  <c r="N2040" i="19" a="1"/>
  <c r="N203" i="19" a="1"/>
  <c r="N1661" i="19" a="1"/>
  <c r="N1400" i="19" a="1"/>
  <c r="R1217" i="19" a="1"/>
  <c r="R897" i="19" a="1"/>
  <c r="N2154" i="19" a="1"/>
  <c r="R75" i="19" a="1"/>
  <c r="R176" i="19" a="1"/>
  <c r="R1893" i="19" a="1"/>
  <c r="N917" i="19" a="1"/>
  <c r="N535" i="19" a="1"/>
  <c r="R2295" i="19" a="1"/>
  <c r="R1196" i="19" a="1"/>
  <c r="R366" i="19" a="1"/>
  <c r="R1182" i="19" a="1"/>
  <c r="R632" i="19" a="1"/>
  <c r="R589" i="19" a="1"/>
  <c r="R1378" i="19" a="1"/>
  <c r="N806" i="19" a="1"/>
  <c r="R1173" i="19" a="1"/>
  <c r="R1354" i="19" a="1"/>
  <c r="R1775" i="19" a="1"/>
  <c r="R1466" i="19" a="1"/>
  <c r="R675" i="19" a="1"/>
  <c r="R2235" i="19" a="1"/>
  <c r="N89" i="19" a="1"/>
  <c r="R1122" i="19" a="1"/>
  <c r="R1838" i="19" a="1"/>
  <c r="R761" i="19" a="1"/>
  <c r="N2102" i="19" a="1"/>
  <c r="N832" i="19" a="1"/>
  <c r="R60" i="19" a="1"/>
  <c r="N1464" i="19" a="1"/>
  <c r="R186" i="19" a="1"/>
  <c r="N2355" i="19" a="1"/>
  <c r="N867" i="19" a="1"/>
  <c r="R1674" i="19" a="1"/>
  <c r="R2138" i="19" a="1"/>
  <c r="R2321" i="19" a="1"/>
  <c r="R1374" i="19" a="1"/>
  <c r="R1171" i="19" a="1"/>
  <c r="R1861" i="19" a="1"/>
  <c r="R797" i="19" a="1"/>
  <c r="R2211" i="19" a="1"/>
  <c r="R300" i="19" a="1"/>
  <c r="R61" i="19" a="1"/>
  <c r="N1829" i="19" a="1"/>
  <c r="N171" i="19" a="1"/>
  <c r="R1808" i="19" a="1"/>
  <c r="R1383" i="19" a="1"/>
  <c r="R550" i="19" a="1"/>
  <c r="R602" i="19" a="1"/>
  <c r="R9" i="19" a="1"/>
  <c r="R374" i="19" a="1"/>
  <c r="R1883" i="19" a="1"/>
  <c r="R921" i="19" a="1"/>
  <c r="R820" i="19" a="1"/>
  <c r="R690" i="19" a="1"/>
  <c r="R1352" i="19" a="1"/>
  <c r="R856" i="19" a="1"/>
  <c r="N706" i="19" a="1"/>
  <c r="R2059" i="19" a="1"/>
  <c r="N540" i="19" a="1"/>
  <c r="R1476" i="19" a="1"/>
  <c r="N177" i="19" a="1"/>
  <c r="R2048" i="19" a="1"/>
  <c r="R2062" i="19" a="1"/>
  <c r="R1333" i="19" a="1"/>
  <c r="R1746" i="19" a="1"/>
  <c r="R1199" i="19" a="1"/>
  <c r="R491" i="19" a="1"/>
  <c r="R893" i="19" a="1"/>
  <c r="R1572" i="19" a="1"/>
  <c r="R1077" i="19" a="1"/>
  <c r="R2049" i="19" a="1"/>
  <c r="R194" i="19" a="1"/>
  <c r="R32" i="19" a="1"/>
  <c r="R2189" i="19" a="1"/>
  <c r="R2045" i="19" a="1"/>
  <c r="R2012" i="19" a="1"/>
  <c r="N78" i="19" a="1"/>
  <c r="R760" i="19" a="1"/>
  <c r="R2297" i="19" a="1"/>
  <c r="R303" i="19" a="1"/>
  <c r="R1371" i="19" a="1"/>
  <c r="R1560" i="19" a="1"/>
  <c r="N500" i="19" a="1"/>
  <c r="R2112" i="19" a="1"/>
  <c r="R356" i="19" a="1"/>
  <c r="R1922" i="19" a="1"/>
  <c r="R395" i="19" a="1"/>
  <c r="P3" i="19" l="1"/>
  <c r="R395" i="19"/>
  <c r="R1922" i="19"/>
  <c r="R356" i="19"/>
  <c r="R2112" i="19"/>
  <c r="N500" i="19"/>
  <c r="R1560" i="19"/>
  <c r="R1371" i="19"/>
  <c r="R303" i="19"/>
  <c r="R2297" i="19"/>
  <c r="R760" i="19"/>
  <c r="N78" i="19"/>
  <c r="R2012" i="19"/>
  <c r="R2045" i="19"/>
  <c r="R2189" i="19"/>
  <c r="R32" i="19"/>
  <c r="R194" i="19"/>
  <c r="R2049" i="19"/>
  <c r="R1077" i="19"/>
  <c r="R1572" i="19"/>
  <c r="R893" i="19"/>
  <c r="R491" i="19"/>
  <c r="R1199" i="19"/>
  <c r="R1746" i="19"/>
  <c r="R1333" i="19"/>
  <c r="R2062" i="19"/>
  <c r="R2048" i="19"/>
  <c r="N177" i="19"/>
  <c r="R1476" i="19"/>
  <c r="N540" i="19"/>
  <c r="R2059" i="19"/>
  <c r="N706" i="19"/>
  <c r="R856" i="19"/>
  <c r="R1352" i="19"/>
  <c r="R690" i="19"/>
  <c r="R820" i="19"/>
  <c r="R921" i="19"/>
  <c r="R1883" i="19"/>
  <c r="R374" i="19"/>
  <c r="R9" i="19"/>
  <c r="R602" i="19"/>
  <c r="R550" i="19"/>
  <c r="R1383" i="19"/>
  <c r="R1808" i="19"/>
  <c r="N171" i="19"/>
  <c r="N1829" i="19"/>
  <c r="R61" i="19"/>
  <c r="R300" i="19"/>
  <c r="R2211" i="19"/>
  <c r="R797" i="19"/>
  <c r="R1861" i="19"/>
  <c r="R1171" i="19"/>
  <c r="R1374" i="19"/>
  <c r="R2321" i="19"/>
  <c r="R2138" i="19"/>
  <c r="R1674" i="19"/>
  <c r="N867" i="19"/>
  <c r="N2355" i="19"/>
  <c r="R186" i="19"/>
  <c r="N1464" i="19"/>
  <c r="R60" i="19"/>
  <c r="N832" i="19"/>
  <c r="N2102" i="19"/>
  <c r="R761" i="19"/>
  <c r="R1838" i="19"/>
  <c r="R1122" i="19"/>
  <c r="N89" i="19"/>
  <c r="R2235" i="19"/>
  <c r="R675" i="19"/>
  <c r="R1466" i="19"/>
  <c r="R1775" i="19"/>
  <c r="R1354" i="19"/>
  <c r="R1173" i="19"/>
  <c r="N806" i="19"/>
  <c r="R1378" i="19"/>
  <c r="R589" i="19"/>
  <c r="R632" i="19"/>
  <c r="R1182" i="19"/>
  <c r="R366" i="19"/>
  <c r="R1196" i="19"/>
  <c r="R2295" i="19"/>
  <c r="N535" i="19"/>
  <c r="N917" i="19"/>
  <c r="R1893" i="19"/>
  <c r="R176" i="19"/>
  <c r="R75" i="19"/>
  <c r="N2154" i="19"/>
  <c r="R897" i="19"/>
  <c r="R1217" i="19"/>
  <c r="N1400" i="19"/>
  <c r="N1661" i="19"/>
  <c r="N203" i="19"/>
  <c r="N2040" i="19"/>
  <c r="N1463" i="19"/>
  <c r="N1063" i="19"/>
  <c r="N412" i="19"/>
  <c r="R621" i="19"/>
  <c r="R1765" i="19"/>
  <c r="R609" i="19"/>
  <c r="R711" i="19"/>
  <c r="R932" i="19"/>
  <c r="N1258" i="19"/>
  <c r="R1840" i="19"/>
  <c r="R1966" i="19"/>
  <c r="R655" i="19"/>
  <c r="R2306" i="19"/>
  <c r="R379" i="19"/>
  <c r="R193" i="19"/>
  <c r="R93" i="19"/>
  <c r="R1298" i="19"/>
  <c r="N1549" i="19"/>
  <c r="R535" i="19"/>
  <c r="N933" i="19"/>
  <c r="N247" i="19"/>
  <c r="N680" i="19"/>
  <c r="N674" i="19"/>
  <c r="R1054" i="19"/>
  <c r="R230" i="19"/>
  <c r="R1574" i="19"/>
  <c r="R579" i="19"/>
  <c r="R1106" i="19"/>
  <c r="R2134" i="19"/>
  <c r="R311" i="19"/>
  <c r="R522" i="19"/>
  <c r="R877" i="19"/>
  <c r="R864" i="19"/>
  <c r="R2153" i="19"/>
  <c r="R1593" i="19"/>
  <c r="R319" i="19"/>
  <c r="R2182" i="19"/>
  <c r="R1132" i="19"/>
  <c r="R2184" i="19"/>
  <c r="R2278" i="19"/>
  <c r="R129" i="19"/>
  <c r="R80" i="19"/>
  <c r="R1586" i="19"/>
  <c r="N2196" i="19"/>
  <c r="N1963" i="19"/>
  <c r="R1049" i="19"/>
  <c r="R2365" i="19"/>
  <c r="R1882" i="19"/>
  <c r="R968" i="19"/>
  <c r="N707" i="19"/>
  <c r="R1668" i="19"/>
  <c r="R825" i="19"/>
  <c r="R2142" i="19"/>
  <c r="R1881" i="19"/>
  <c r="R40" i="19"/>
  <c r="N1854" i="19"/>
  <c r="R318" i="19"/>
  <c r="R884" i="19"/>
  <c r="R146" i="19"/>
  <c r="R1794" i="19"/>
  <c r="N1277" i="19"/>
  <c r="R551" i="19"/>
  <c r="R1518" i="19"/>
  <c r="R969" i="19"/>
  <c r="R959" i="19"/>
  <c r="R603" i="19"/>
  <c r="N278" i="19"/>
  <c r="R85" i="19"/>
  <c r="R1224" i="19"/>
  <c r="R1773" i="19"/>
  <c r="R462" i="19"/>
  <c r="R2114" i="19"/>
  <c r="R1071" i="19"/>
  <c r="R1733" i="19"/>
  <c r="R771" i="19"/>
  <c r="R635" i="19"/>
  <c r="R898" i="19"/>
  <c r="R354" i="19"/>
  <c r="R262" i="19"/>
  <c r="R928" i="19"/>
  <c r="R2277" i="19"/>
  <c r="N582" i="19"/>
  <c r="R849" i="19"/>
  <c r="N1404" i="19"/>
  <c r="R1322" i="19"/>
  <c r="N760" i="19"/>
  <c r="N2244" i="19"/>
  <c r="N763" i="19"/>
  <c r="N2063" i="19"/>
  <c r="R2320" i="19"/>
  <c r="R484" i="19"/>
  <c r="R983" i="19"/>
  <c r="R2372" i="19"/>
  <c r="R2196" i="19"/>
  <c r="R1004" i="19"/>
  <c r="R275" i="19"/>
  <c r="R291" i="19"/>
  <c r="R182" i="19"/>
  <c r="R1111" i="19"/>
  <c r="R1321" i="19"/>
  <c r="R943" i="19"/>
  <c r="R1629" i="19"/>
  <c r="R1795" i="19"/>
  <c r="R2097" i="19"/>
  <c r="R1361" i="19"/>
  <c r="R1365" i="19"/>
  <c r="R2109" i="19"/>
  <c r="N600" i="19"/>
  <c r="R1076" i="19"/>
  <c r="R1257" i="19"/>
  <c r="R2315" i="19"/>
  <c r="R53" i="19"/>
  <c r="R480" i="19"/>
  <c r="R853" i="19"/>
  <c r="R645" i="19"/>
  <c r="R1150" i="19"/>
  <c r="N23" i="19"/>
  <c r="N306" i="19"/>
  <c r="R287" i="19"/>
  <c r="R1020" i="19"/>
  <c r="N39" i="19"/>
  <c r="N189" i="19"/>
  <c r="R2234" i="19"/>
  <c r="N489" i="19"/>
  <c r="N872" i="19"/>
  <c r="R1039" i="19"/>
  <c r="R1078" i="19"/>
  <c r="R758" i="19"/>
  <c r="N95" i="19"/>
  <c r="R782" i="19"/>
  <c r="R2002" i="19"/>
  <c r="N159" i="19"/>
  <c r="N1046" i="19"/>
  <c r="N1223" i="19"/>
  <c r="N825" i="19"/>
  <c r="N383" i="19"/>
  <c r="N1199" i="19"/>
  <c r="N1599" i="19"/>
  <c r="L4" i="16"/>
  <c r="R1102" i="19"/>
  <c r="N2340" i="19"/>
  <c r="R409" i="19"/>
  <c r="R2238" i="19"/>
  <c r="R936" i="19"/>
  <c r="R573" i="19"/>
  <c r="R272" i="19"/>
  <c r="R1481" i="19"/>
  <c r="R831" i="19"/>
  <c r="R415" i="19"/>
  <c r="R2075" i="19"/>
  <c r="R2008" i="19"/>
  <c r="R1158" i="19"/>
  <c r="R1310" i="19"/>
  <c r="R1348" i="19"/>
  <c r="R2331" i="19"/>
  <c r="N378" i="19"/>
  <c r="R2174" i="19"/>
  <c r="R808" i="19"/>
  <c r="R1461" i="19"/>
  <c r="R876" i="19"/>
  <c r="R2258" i="19"/>
  <c r="R1956" i="19"/>
  <c r="R2292" i="19"/>
  <c r="R1082" i="19"/>
  <c r="N99" i="19"/>
  <c r="R205" i="19"/>
  <c r="R1813" i="19"/>
  <c r="N254" i="19"/>
  <c r="R178" i="19"/>
  <c r="R1320" i="19"/>
  <c r="N476" i="19"/>
  <c r="R767" i="19"/>
  <c r="R964" i="19"/>
  <c r="R793" i="19"/>
  <c r="R478" i="19"/>
  <c r="R1086" i="19"/>
  <c r="R73" i="19"/>
  <c r="R534" i="19"/>
  <c r="R2014" i="19"/>
  <c r="R2116" i="19"/>
  <c r="R2273" i="19"/>
  <c r="R28" i="19"/>
  <c r="N330" i="19"/>
  <c r="R1407" i="19"/>
  <c r="R1095" i="19"/>
  <c r="R2141" i="19"/>
  <c r="N1136" i="19"/>
  <c r="R2355" i="19"/>
  <c r="R2254" i="19"/>
  <c r="N836" i="19"/>
  <c r="N1237" i="19"/>
  <c r="N938" i="19"/>
  <c r="R1609" i="19"/>
  <c r="R294" i="19"/>
  <c r="R1347" i="19"/>
  <c r="N1480" i="19"/>
  <c r="N1977" i="19"/>
  <c r="R2095" i="19"/>
  <c r="N131" i="19"/>
  <c r="R1230" i="19"/>
  <c r="N91" i="19"/>
  <c r="R1584" i="19"/>
  <c r="R362" i="19"/>
  <c r="R197" i="19"/>
  <c r="N607" i="19"/>
  <c r="R1192" i="19"/>
  <c r="N253" i="19"/>
  <c r="N561" i="19"/>
  <c r="N691" i="19"/>
  <c r="N1232" i="19"/>
  <c r="N2090" i="19"/>
  <c r="N599" i="19"/>
  <c r="N1558" i="19"/>
  <c r="N985" i="19"/>
  <c r="N2103" i="19"/>
  <c r="L38" i="16"/>
  <c r="R404" i="19"/>
  <c r="R435" i="19"/>
  <c r="R1899" i="19"/>
  <c r="R172" i="19"/>
  <c r="N1162" i="19"/>
  <c r="N829" i="19"/>
  <c r="N1163" i="19"/>
  <c r="N1139" i="19"/>
  <c r="N2336" i="19"/>
  <c r="R367" i="19"/>
  <c r="R103" i="19"/>
  <c r="R1187" i="19"/>
  <c r="R1117" i="19"/>
  <c r="R596" i="19"/>
  <c r="R293" i="19"/>
  <c r="R2309" i="19"/>
  <c r="R1664" i="19"/>
  <c r="R265" i="19"/>
  <c r="R2164" i="19"/>
  <c r="R576" i="19"/>
  <c r="R2079" i="19"/>
  <c r="R2035" i="19"/>
  <c r="R1602" i="19"/>
  <c r="R719" i="19"/>
  <c r="R1162" i="19"/>
  <c r="R1864" i="19"/>
  <c r="R1418" i="19"/>
  <c r="R12" i="19"/>
  <c r="R281" i="19"/>
  <c r="R2231" i="19"/>
  <c r="R513" i="19"/>
  <c r="R23" i="19"/>
  <c r="R1154" i="19"/>
  <c r="R273" i="19"/>
  <c r="R2119" i="19"/>
  <c r="R2084" i="19"/>
  <c r="R914" i="19"/>
  <c r="R560" i="19"/>
  <c r="R2204" i="19"/>
  <c r="N888" i="19"/>
  <c r="R798" i="19"/>
  <c r="R1587" i="19"/>
  <c r="R2335" i="19"/>
  <c r="R240" i="19"/>
  <c r="R2023" i="19"/>
  <c r="R1499" i="19"/>
  <c r="R1655" i="19"/>
  <c r="R950" i="19"/>
  <c r="R1216" i="19"/>
  <c r="R678" i="19"/>
  <c r="N2295" i="19"/>
  <c r="N261" i="19"/>
  <c r="N1692" i="19"/>
  <c r="N1443" i="19"/>
  <c r="R578" i="19"/>
  <c r="R1452" i="19"/>
  <c r="R870" i="19"/>
  <c r="R1641" i="19"/>
  <c r="R1043" i="19"/>
  <c r="R295" i="19"/>
  <c r="R647" i="19"/>
  <c r="R507" i="19"/>
  <c r="R1363" i="19"/>
  <c r="R619" i="19"/>
  <c r="N1929" i="19"/>
  <c r="R881" i="19"/>
  <c r="R2272" i="19"/>
  <c r="R1821" i="19"/>
  <c r="R1549" i="19"/>
  <c r="R1599" i="19"/>
  <c r="R875" i="19"/>
  <c r="N1290" i="19"/>
  <c r="R315" i="19"/>
  <c r="R94" i="19"/>
  <c r="N2241" i="19"/>
  <c r="N1702" i="19"/>
  <c r="N1768" i="19"/>
  <c r="N1895" i="19"/>
  <c r="N1105" i="19"/>
  <c r="R1897" i="19"/>
  <c r="R1850" i="19"/>
  <c r="R1385" i="19"/>
  <c r="R2269" i="19"/>
  <c r="N733" i="19"/>
  <c r="R1948" i="19"/>
  <c r="R1007" i="19"/>
  <c r="R1903" i="19"/>
  <c r="R64" i="19"/>
  <c r="R1220" i="19"/>
  <c r="N542" i="19"/>
  <c r="R1650" i="19"/>
  <c r="R2172" i="19"/>
  <c r="R1037" i="19"/>
  <c r="R2223" i="19"/>
  <c r="R1685" i="19"/>
  <c r="R2220" i="19"/>
  <c r="R1032" i="19"/>
  <c r="R739" i="19"/>
  <c r="R270" i="19"/>
  <c r="R1719" i="19"/>
  <c r="R1606" i="19"/>
  <c r="R682" i="19"/>
  <c r="R1803" i="19"/>
  <c r="R2056" i="19"/>
  <c r="R1783" i="19"/>
  <c r="N1656" i="19"/>
  <c r="R1459" i="19"/>
  <c r="N2169" i="19"/>
  <c r="R1455" i="19"/>
  <c r="R113" i="19"/>
  <c r="N1268" i="19"/>
  <c r="R657" i="19"/>
  <c r="N1874" i="19"/>
  <c r="R625" i="19"/>
  <c r="N514" i="19"/>
  <c r="N1356" i="19"/>
  <c r="N364" i="19"/>
  <c r="R629" i="19"/>
  <c r="R941" i="19"/>
  <c r="N2376" i="19"/>
  <c r="N1771" i="19"/>
  <c r="N24" i="19"/>
  <c r="N925" i="19"/>
  <c r="N486" i="19"/>
  <c r="N1575" i="19"/>
  <c r="N1190" i="19"/>
  <c r="R1979" i="19"/>
  <c r="R183" i="19"/>
  <c r="R989" i="19"/>
  <c r="N2332" i="19"/>
  <c r="R1837" i="19"/>
  <c r="R1204" i="19"/>
  <c r="R1044" i="19"/>
  <c r="R822" i="19"/>
  <c r="R1918" i="19"/>
  <c r="N496" i="19"/>
  <c r="R862" i="19"/>
  <c r="N1100" i="19"/>
  <c r="R100" i="19"/>
  <c r="R2190" i="19"/>
  <c r="R1788" i="19"/>
  <c r="R2244" i="19"/>
  <c r="N374" i="19"/>
  <c r="R1282" i="19"/>
  <c r="R1777" i="19"/>
  <c r="R1402" i="19"/>
  <c r="R689" i="19"/>
  <c r="R1695" i="19"/>
  <c r="R166" i="19"/>
  <c r="R988" i="19"/>
  <c r="R2301" i="19"/>
  <c r="N268" i="19"/>
  <c r="R1207" i="19"/>
  <c r="R716" i="19"/>
  <c r="R305" i="19"/>
  <c r="R2102" i="19"/>
  <c r="R1344" i="19"/>
  <c r="R813" i="19"/>
  <c r="R1534" i="19"/>
  <c r="N465" i="19"/>
  <c r="R1355" i="19"/>
  <c r="N1926" i="19"/>
  <c r="R2260" i="19"/>
  <c r="N2110" i="19"/>
  <c r="R1221" i="19"/>
  <c r="R1041" i="19"/>
  <c r="N1050" i="19"/>
  <c r="R1842" i="19"/>
  <c r="R1940" i="19"/>
  <c r="R2286" i="19"/>
  <c r="R1397" i="19"/>
  <c r="R557" i="19"/>
  <c r="R1503" i="19"/>
  <c r="R662" i="19"/>
  <c r="R1677" i="19"/>
  <c r="R2007" i="19"/>
  <c r="R2230" i="19"/>
  <c r="R873" i="19"/>
  <c r="R1023" i="19"/>
  <c r="R1045" i="19"/>
  <c r="R335" i="19"/>
  <c r="R1269" i="19"/>
  <c r="N428" i="19"/>
  <c r="R1917" i="19"/>
  <c r="R608" i="19"/>
  <c r="R652" i="19"/>
  <c r="R1009" i="19"/>
  <c r="R255" i="19"/>
  <c r="R806" i="19"/>
  <c r="R789" i="19"/>
  <c r="R1925" i="19"/>
  <c r="R922" i="19"/>
  <c r="R1250" i="19"/>
  <c r="R1935" i="19"/>
  <c r="R649" i="19"/>
  <c r="R1947" i="19"/>
  <c r="R1916" i="19"/>
  <c r="R2317" i="19"/>
  <c r="R378" i="19"/>
  <c r="R703" i="19"/>
  <c r="R221" i="19"/>
  <c r="R2099" i="19"/>
  <c r="R885" i="19"/>
  <c r="R1661" i="19"/>
  <c r="R141" i="19"/>
  <c r="R289" i="19"/>
  <c r="R817" i="19"/>
  <c r="R2132" i="19"/>
  <c r="R1708" i="19"/>
  <c r="R1654" i="19"/>
  <c r="R953" i="19"/>
  <c r="N1677" i="19"/>
  <c r="R622" i="19"/>
  <c r="R1532" i="19"/>
  <c r="N648" i="19"/>
  <c r="R1643" i="19"/>
  <c r="R795" i="19"/>
  <c r="R780" i="19"/>
  <c r="R977" i="19"/>
  <c r="R2349" i="19"/>
  <c r="N504" i="19"/>
  <c r="R784" i="19"/>
  <c r="R1080" i="19"/>
  <c r="N53" i="19"/>
  <c r="R1833" i="19"/>
  <c r="R1860" i="19"/>
  <c r="N1582" i="19"/>
  <c r="R1544" i="19"/>
  <c r="R497" i="19"/>
  <c r="R794" i="19"/>
  <c r="R143" i="19"/>
  <c r="R202" i="19"/>
  <c r="R1368" i="19"/>
  <c r="R1884" i="19"/>
  <c r="R1512" i="19"/>
  <c r="R2144" i="19"/>
  <c r="R271" i="19"/>
  <c r="R1597" i="19"/>
  <c r="N1352" i="19"/>
  <c r="R1754" i="19"/>
  <c r="R1553" i="19"/>
  <c r="R2131" i="19"/>
  <c r="N313" i="19"/>
  <c r="R1304" i="19"/>
  <c r="R1362" i="19"/>
  <c r="N1271" i="19"/>
  <c r="R2206" i="19"/>
  <c r="N688" i="19"/>
  <c r="R985" i="19"/>
  <c r="R1014" i="19"/>
  <c r="R1412" i="19"/>
  <c r="N893" i="19"/>
  <c r="N963" i="19"/>
  <c r="R138" i="19"/>
  <c r="N126" i="19"/>
  <c r="R1672" i="19"/>
  <c r="N576" i="19"/>
  <c r="R1953" i="19"/>
  <c r="N1239" i="19"/>
  <c r="R377" i="19"/>
  <c r="R572" i="19"/>
  <c r="N745" i="19"/>
  <c r="N2296" i="19"/>
  <c r="N710" i="19"/>
  <c r="N2006" i="19"/>
  <c r="N1842" i="19"/>
  <c r="N1534" i="19"/>
  <c r="N815" i="19"/>
  <c r="N1635" i="19"/>
  <c r="N1602" i="19"/>
  <c r="N2338" i="19"/>
  <c r="K29" i="16"/>
  <c r="N958" i="19"/>
  <c r="R1423" i="19"/>
  <c r="R132" i="19"/>
  <c r="R1384" i="19"/>
  <c r="R735" i="19"/>
  <c r="R1697" i="19"/>
  <c r="R1725" i="19"/>
  <c r="R2177" i="19"/>
  <c r="N384" i="19"/>
  <c r="N769" i="19"/>
  <c r="N1245" i="19"/>
  <c r="R725" i="19"/>
  <c r="N57" i="19"/>
  <c r="R390" i="19"/>
  <c r="N1340" i="19"/>
  <c r="R882" i="19"/>
  <c r="R1311" i="19"/>
  <c r="R1446" i="19"/>
  <c r="R339" i="19"/>
  <c r="R2105" i="19"/>
  <c r="R408" i="19"/>
  <c r="R1625" i="19"/>
  <c r="R2311" i="19"/>
  <c r="N697" i="19"/>
  <c r="R705" i="19"/>
  <c r="R1329" i="19"/>
  <c r="R376" i="19"/>
  <c r="N82" i="19"/>
  <c r="N681" i="19"/>
  <c r="N339" i="19"/>
  <c r="N1853" i="19"/>
  <c r="N1181" i="19"/>
  <c r="N941" i="19"/>
  <c r="N2037" i="19"/>
  <c r="R2212" i="19"/>
  <c r="R323" i="19"/>
  <c r="R1246" i="19"/>
  <c r="R1937" i="19"/>
  <c r="R1862" i="19"/>
  <c r="N48" i="19"/>
  <c r="R1853" i="19"/>
  <c r="R1604" i="19"/>
  <c r="R841" i="19"/>
  <c r="R2250" i="19"/>
  <c r="R2264" i="19"/>
  <c r="R2103" i="19"/>
  <c r="R698" i="19"/>
  <c r="R691" i="19"/>
  <c r="R591" i="19"/>
  <c r="R617" i="19"/>
  <c r="N1467" i="19"/>
  <c r="N156" i="19"/>
  <c r="N1134" i="19"/>
  <c r="N2112" i="19"/>
  <c r="R1999" i="19"/>
  <c r="N1185" i="19"/>
  <c r="R1942" i="19"/>
  <c r="R1213" i="19"/>
  <c r="R2068" i="19"/>
  <c r="R218" i="19"/>
  <c r="N824" i="19"/>
  <c r="R1241" i="19"/>
  <c r="R880" i="19"/>
  <c r="R1139" i="19"/>
  <c r="R173" i="19"/>
  <c r="N1851" i="19"/>
  <c r="N1910" i="19"/>
  <c r="R1287" i="19"/>
  <c r="R1487" i="19"/>
  <c r="R1289" i="19"/>
  <c r="R1167" i="19"/>
  <c r="R1266" i="19"/>
  <c r="N554" i="19"/>
  <c r="N2082" i="19"/>
  <c r="N2220" i="19"/>
  <c r="R1334" i="19"/>
  <c r="R1249" i="19"/>
  <c r="R1767" i="19"/>
  <c r="R800" i="19"/>
  <c r="R1105" i="19"/>
  <c r="R2163" i="19"/>
  <c r="R14" i="19"/>
  <c r="R1463" i="19"/>
  <c r="R863" i="19"/>
  <c r="R2037" i="19"/>
  <c r="R1591" i="19"/>
  <c r="R903" i="19"/>
  <c r="R2284" i="19"/>
  <c r="R1975" i="19"/>
  <c r="N491" i="19"/>
  <c r="R2094" i="19"/>
  <c r="R2098" i="19"/>
  <c r="R2186" i="19"/>
  <c r="N336" i="19"/>
  <c r="N521" i="19"/>
  <c r="R1048" i="19"/>
  <c r="R179" i="19"/>
  <c r="R181" i="19"/>
  <c r="R1313" i="19"/>
  <c r="R84" i="19"/>
  <c r="R701" i="19"/>
  <c r="N947" i="19"/>
  <c r="R279" i="19"/>
  <c r="N1754" i="19"/>
  <c r="R746" i="19"/>
  <c r="N1732" i="19"/>
  <c r="N433" i="19"/>
  <c r="R1064" i="19"/>
  <c r="N300" i="19"/>
  <c r="R1579" i="19"/>
  <c r="R1244" i="19"/>
  <c r="R1628" i="19"/>
  <c r="R456" i="19"/>
  <c r="N138" i="19"/>
  <c r="N1890" i="19"/>
  <c r="N1841" i="19"/>
  <c r="N1208" i="19"/>
  <c r="L29" i="16"/>
  <c r="R1839" i="19"/>
  <c r="R1526" i="19"/>
  <c r="R1445" i="19"/>
  <c r="R1992" i="19"/>
  <c r="R1040" i="19"/>
  <c r="N559" i="19"/>
  <c r="R187" i="19"/>
  <c r="N2074" i="19"/>
  <c r="R42" i="19"/>
  <c r="R567" i="19"/>
  <c r="R2371" i="19"/>
  <c r="R2086" i="19"/>
  <c r="R965" i="19"/>
  <c r="N987" i="19"/>
  <c r="R1785" i="19"/>
  <c r="R1315" i="19"/>
  <c r="N1580" i="19"/>
  <c r="R847" i="19"/>
  <c r="R486" i="19"/>
  <c r="N328" i="19"/>
  <c r="N2347" i="19"/>
  <c r="R1539" i="19"/>
  <c r="R77" i="19"/>
  <c r="N2359" i="19"/>
  <c r="N1944" i="19"/>
  <c r="R2225" i="19"/>
  <c r="R1752" i="19"/>
  <c r="N1727" i="19"/>
  <c r="R337" i="19"/>
  <c r="N105" i="19"/>
  <c r="R241" i="19"/>
  <c r="R341" i="19"/>
  <c r="N1137" i="19"/>
  <c r="N2250" i="19"/>
  <c r="N1598" i="19"/>
  <c r="N757" i="19"/>
  <c r="N1519" i="19"/>
  <c r="N2362" i="19"/>
  <c r="N1556" i="19"/>
  <c r="N862" i="19"/>
  <c r="N1276" i="19"/>
  <c r="L8" i="16"/>
  <c r="R1971" i="19"/>
  <c r="N427" i="19"/>
  <c r="R1710" i="19"/>
  <c r="R1131" i="19"/>
  <c r="R837" i="19"/>
  <c r="R1835" i="19"/>
  <c r="R1457" i="19"/>
  <c r="R2078" i="19"/>
  <c r="R203" i="19"/>
  <c r="R1141" i="19"/>
  <c r="R840" i="19"/>
  <c r="R1696" i="19"/>
  <c r="R665" i="19"/>
  <c r="N216" i="19"/>
  <c r="R2324" i="19"/>
  <c r="R242" i="19"/>
  <c r="R45" i="19"/>
  <c r="R2093" i="19"/>
  <c r="R911" i="19"/>
  <c r="R2213" i="19"/>
  <c r="R779" i="19"/>
  <c r="R258" i="19"/>
  <c r="R1521" i="19"/>
  <c r="R1510" i="19"/>
  <c r="R1159" i="19"/>
  <c r="N1604" i="19"/>
  <c r="R2089" i="19"/>
  <c r="R2188" i="19"/>
  <c r="R1301" i="19"/>
  <c r="R2076" i="19"/>
  <c r="R1800" i="19"/>
  <c r="R1424" i="19"/>
  <c r="R1472" i="19"/>
  <c r="R1209" i="19"/>
  <c r="R1931" i="19"/>
  <c r="R2256" i="19"/>
  <c r="R1427" i="19"/>
  <c r="R1255" i="19"/>
  <c r="R2377" i="19"/>
  <c r="R2333" i="19"/>
  <c r="N2285" i="19"/>
  <c r="R1686" i="19"/>
  <c r="R824" i="19"/>
  <c r="R1617" i="19"/>
  <c r="R1944" i="19"/>
  <c r="R612" i="19"/>
  <c r="R2327" i="19"/>
  <c r="N1680" i="19"/>
  <c r="R954" i="19"/>
  <c r="R1267" i="19"/>
  <c r="R385" i="19"/>
  <c r="N803" i="19"/>
  <c r="R514" i="19"/>
  <c r="R68" i="19"/>
  <c r="R1429" i="19"/>
  <c r="N1219" i="19"/>
  <c r="R1859" i="19"/>
  <c r="R411" i="19"/>
  <c r="R4" i="19"/>
  <c r="R394" i="19"/>
  <c r="R401" i="19"/>
  <c r="R2237" i="19"/>
  <c r="N1472" i="19"/>
  <c r="R448" i="19"/>
  <c r="N801" i="19"/>
  <c r="R1648" i="19"/>
  <c r="N854" i="19"/>
  <c r="R1805" i="19"/>
  <c r="N312" i="19"/>
  <c r="N1225" i="19"/>
  <c r="R1867" i="19"/>
  <c r="R1392" i="19"/>
  <c r="R956" i="19"/>
  <c r="N211" i="19"/>
  <c r="R857" i="19"/>
  <c r="N418" i="19"/>
  <c r="R1578" i="19"/>
  <c r="N1059" i="19"/>
  <c r="N1839" i="19"/>
  <c r="N1758" i="19"/>
  <c r="N2293" i="19"/>
  <c r="N1022" i="19"/>
  <c r="N1669" i="19"/>
  <c r="N249" i="19"/>
  <c r="N1749" i="19"/>
  <c r="N1069" i="19"/>
  <c r="N344" i="19"/>
  <c r="N636" i="19"/>
  <c r="K10" i="16"/>
  <c r="R1633" i="19"/>
  <c r="R460" i="19"/>
  <c r="R1684" i="19"/>
  <c r="N737" i="19"/>
  <c r="R267" i="19"/>
  <c r="R935" i="19"/>
  <c r="N673" i="19"/>
  <c r="N185" i="19"/>
  <c r="K32" i="16"/>
  <c r="N2162" i="19"/>
  <c r="R1855" i="19"/>
  <c r="R1739" i="19"/>
  <c r="R1762" i="19"/>
  <c r="R384" i="19"/>
  <c r="R2308" i="19"/>
  <c r="R562" i="19"/>
  <c r="R2261" i="19"/>
  <c r="R641" i="19"/>
  <c r="R791" i="19"/>
  <c r="N816" i="19"/>
  <c r="R1294" i="19"/>
  <c r="R1830" i="19"/>
  <c r="R1247" i="19"/>
  <c r="N454" i="19"/>
  <c r="R2025" i="19"/>
  <c r="R76" i="19"/>
  <c r="N2065" i="19"/>
  <c r="R1296" i="19"/>
  <c r="R1851" i="19"/>
  <c r="R1405" i="19"/>
  <c r="R297" i="19"/>
  <c r="R2149" i="19"/>
  <c r="R1495" i="19"/>
  <c r="R1698" i="19"/>
  <c r="R1644" i="19"/>
  <c r="R1595" i="19"/>
  <c r="R2192" i="19"/>
  <c r="N908" i="19"/>
  <c r="N109" i="19"/>
  <c r="R1219" i="19"/>
  <c r="R1985" i="19"/>
  <c r="N1714" i="19"/>
  <c r="N563" i="19"/>
  <c r="R646" i="19"/>
  <c r="R1012" i="19"/>
  <c r="R1090" i="19"/>
  <c r="N2068" i="19"/>
  <c r="N957" i="19"/>
  <c r="R679" i="19"/>
  <c r="R1094" i="19"/>
  <c r="R1261" i="19"/>
  <c r="R1372" i="19"/>
  <c r="N1049" i="19"/>
  <c r="R1782" i="19"/>
  <c r="R929" i="19"/>
  <c r="R196" i="19"/>
  <c r="R1732" i="19"/>
  <c r="R631" i="19"/>
  <c r="R582" i="19"/>
  <c r="N747" i="19"/>
  <c r="R859" i="19"/>
  <c r="R1525" i="19"/>
  <c r="R1536" i="19"/>
  <c r="R984" i="19"/>
  <c r="R1744" i="19"/>
  <c r="N407" i="19"/>
  <c r="N195" i="19"/>
  <c r="R1874" i="19"/>
  <c r="N1429" i="19"/>
  <c r="N773" i="19"/>
  <c r="N1500" i="19"/>
  <c r="R359" i="19"/>
  <c r="R1868" i="19"/>
  <c r="R1326" i="19"/>
  <c r="R191" i="19"/>
  <c r="R1878" i="19"/>
  <c r="R1421" i="19"/>
  <c r="R669" i="19"/>
  <c r="R577" i="19"/>
  <c r="R1675" i="19"/>
  <c r="N401" i="19"/>
  <c r="R1974" i="19"/>
  <c r="R1951" i="19"/>
  <c r="R1254" i="19"/>
  <c r="R1381" i="19"/>
  <c r="R937" i="19"/>
  <c r="R1511" i="19"/>
  <c r="R2357" i="19"/>
  <c r="N2302" i="19"/>
  <c r="R2175" i="19"/>
  <c r="R651" i="19"/>
  <c r="R1889" i="19"/>
  <c r="R1148" i="19"/>
  <c r="R2240" i="19"/>
  <c r="R399" i="19"/>
  <c r="N2298" i="19"/>
  <c r="R1373" i="19"/>
  <c r="R1743" i="19"/>
  <c r="R308" i="19"/>
  <c r="R2267" i="19"/>
  <c r="R327" i="19"/>
  <c r="R1019" i="19"/>
  <c r="R253" i="19"/>
  <c r="R695" i="19"/>
  <c r="R1183" i="19"/>
  <c r="R2169" i="19"/>
  <c r="R1028" i="19"/>
  <c r="R738" i="19"/>
  <c r="N725" i="19"/>
  <c r="N1737" i="19"/>
  <c r="N1383" i="19"/>
  <c r="N915" i="19"/>
  <c r="R905" i="19"/>
  <c r="N435" i="19"/>
  <c r="N1894" i="19"/>
  <c r="N1528" i="19"/>
  <c r="N1132" i="19"/>
  <c r="N736" i="19"/>
  <c r="N528" i="19"/>
  <c r="R2226" i="19"/>
  <c r="N116" i="19"/>
  <c r="R2120" i="19"/>
  <c r="R912" i="19"/>
  <c r="R1789" i="19"/>
  <c r="R1941" i="19"/>
  <c r="R1690" i="19"/>
  <c r="N441" i="19"/>
  <c r="R812" i="19"/>
  <c r="R137" i="19"/>
  <c r="R2143" i="19"/>
  <c r="R1608" i="19"/>
  <c r="R643" i="19"/>
  <c r="R1822" i="19"/>
  <c r="R902" i="19"/>
  <c r="R1068" i="19"/>
  <c r="R2020" i="19"/>
  <c r="R105" i="19"/>
  <c r="N437" i="19"/>
  <c r="R1379" i="19"/>
  <c r="R1447" i="19"/>
  <c r="N1627" i="19"/>
  <c r="R2305" i="19"/>
  <c r="R1950" i="19"/>
  <c r="R1665" i="19"/>
  <c r="R1936" i="19"/>
  <c r="R108" i="19"/>
  <c r="R1662" i="19"/>
  <c r="R2369" i="19"/>
  <c r="R2287" i="19"/>
  <c r="R906" i="19"/>
  <c r="N1571" i="19"/>
  <c r="R1272" i="19"/>
  <c r="R421" i="19"/>
  <c r="R1264" i="19"/>
  <c r="R1611" i="19"/>
  <c r="R516" i="19"/>
  <c r="R403" i="19"/>
  <c r="N67" i="19"/>
  <c r="R1736" i="19"/>
  <c r="R1306" i="19"/>
  <c r="R276" i="19"/>
  <c r="R286" i="19"/>
  <c r="R1934" i="19"/>
  <c r="R2332" i="19"/>
  <c r="R1002" i="19"/>
  <c r="R226" i="19"/>
  <c r="R1263" i="19"/>
  <c r="N949" i="19"/>
  <c r="R2033" i="19"/>
  <c r="R2126" i="19"/>
  <c r="R1886" i="19"/>
  <c r="R1758" i="19"/>
  <c r="R2352" i="19"/>
  <c r="R1679" i="19"/>
  <c r="R1981" i="19"/>
  <c r="R322" i="19"/>
  <c r="R1559" i="19"/>
  <c r="R139" i="19"/>
  <c r="R1780" i="19"/>
  <c r="R2353" i="19"/>
  <c r="R1107" i="19"/>
  <c r="R1288" i="19"/>
  <c r="R1477" i="19"/>
  <c r="R889" i="19"/>
  <c r="R1225" i="19"/>
  <c r="N13" i="19"/>
  <c r="R1340" i="19"/>
  <c r="R1771" i="19"/>
  <c r="R1046" i="19"/>
  <c r="R1582" i="19"/>
  <c r="R1332" i="19"/>
  <c r="R910" i="19"/>
  <c r="R1809" i="19"/>
  <c r="R135" i="19"/>
  <c r="R490" i="19"/>
  <c r="R536" i="19"/>
  <c r="R740" i="19"/>
  <c r="R127" i="19"/>
  <c r="R1119" i="19"/>
  <c r="R1072" i="19"/>
  <c r="R39" i="19"/>
  <c r="R1541" i="19"/>
  <c r="R1576" i="19"/>
  <c r="R1168" i="19"/>
  <c r="R1113" i="19"/>
  <c r="R245" i="19"/>
  <c r="R347" i="19"/>
  <c r="R692" i="19"/>
  <c r="R1144" i="19"/>
  <c r="R955" i="19"/>
  <c r="R66" i="19"/>
  <c r="R1084" i="19"/>
  <c r="R1174" i="19"/>
  <c r="R1100" i="19"/>
  <c r="R2330" i="19"/>
  <c r="R1016" i="19"/>
  <c r="R2107" i="19"/>
  <c r="R1312" i="19"/>
  <c r="R106" i="19"/>
  <c r="N689" i="19"/>
  <c r="R658" i="19"/>
  <c r="R1703" i="19"/>
  <c r="R268" i="19"/>
  <c r="N262" i="19"/>
  <c r="R1081" i="19"/>
  <c r="R1961" i="19"/>
  <c r="R796" i="19"/>
  <c r="R1123" i="19"/>
  <c r="R1293" i="19"/>
  <c r="R1325" i="19"/>
  <c r="R858" i="19"/>
  <c r="R1454" i="19"/>
  <c r="R1713" i="19"/>
  <c r="R290" i="19"/>
  <c r="N1214" i="19"/>
  <c r="R302" i="19"/>
  <c r="N2334" i="19"/>
  <c r="R2304" i="19"/>
  <c r="N1584" i="19"/>
  <c r="R324" i="19"/>
  <c r="R312" i="19"/>
  <c r="N2076" i="19"/>
  <c r="R702" i="19"/>
  <c r="R775" i="19"/>
  <c r="R55" i="19"/>
  <c r="N1420" i="19"/>
  <c r="R952" i="19"/>
  <c r="N240" i="19"/>
  <c r="N332" i="19"/>
  <c r="N41" i="19"/>
  <c r="N1642" i="19"/>
  <c r="R1136" i="19"/>
  <c r="N2352" i="19"/>
  <c r="N2144" i="19"/>
  <c r="N546" i="19"/>
  <c r="N414" i="19"/>
  <c r="N184" i="19"/>
  <c r="N1285" i="19"/>
  <c r="N1958" i="19"/>
  <c r="N285" i="19"/>
  <c r="K9" i="16"/>
  <c r="R827" i="19"/>
  <c r="N1071" i="19"/>
  <c r="R1305" i="19"/>
  <c r="R2168" i="19"/>
  <c r="R1265" i="19"/>
  <c r="R2009" i="19"/>
  <c r="R978" i="19"/>
  <c r="R1517" i="19"/>
  <c r="R890" i="19"/>
  <c r="R924" i="19"/>
  <c r="R571" i="19"/>
  <c r="R1479" i="19"/>
  <c r="R1682" i="19"/>
  <c r="R333" i="19"/>
  <c r="R1468" i="19"/>
  <c r="R3" i="19"/>
  <c r="R1614" i="19"/>
  <c r="R63" i="19"/>
  <c r="R1563" i="19"/>
  <c r="R1409" i="19"/>
  <c r="N1288" i="19"/>
  <c r="R19" i="19"/>
  <c r="R1260" i="19"/>
  <c r="R1768" i="19"/>
  <c r="R140" i="19"/>
  <c r="R805" i="19"/>
  <c r="N1628" i="19"/>
  <c r="N591" i="19"/>
  <c r="N1782" i="19"/>
  <c r="R1286" i="19"/>
  <c r="R751" i="19"/>
  <c r="R2069" i="19"/>
  <c r="R208" i="19"/>
  <c r="R212" i="19"/>
  <c r="R328" i="19"/>
  <c r="N574" i="19"/>
  <c r="R473" i="19"/>
  <c r="R2154" i="19"/>
  <c r="R1177" i="19"/>
  <c r="R2151" i="19"/>
  <c r="N37" i="19"/>
  <c r="R732" i="19"/>
  <c r="R1978" i="19"/>
  <c r="R530" i="19"/>
  <c r="N1044" i="19"/>
  <c r="R450" i="19"/>
  <c r="R2104" i="19"/>
  <c r="R613" i="19"/>
  <c r="R2050" i="19"/>
  <c r="N550" i="19"/>
  <c r="R774" i="19"/>
  <c r="R220" i="19"/>
  <c r="R2285" i="19"/>
  <c r="R1610" i="19"/>
  <c r="R156" i="19"/>
  <c r="R1806" i="19"/>
  <c r="R2348" i="19"/>
  <c r="R2005" i="19"/>
  <c r="N1605" i="19"/>
  <c r="R2360" i="19"/>
  <c r="R1810" i="19"/>
  <c r="R2123" i="19"/>
  <c r="R2051" i="19"/>
  <c r="R973" i="19"/>
  <c r="R1982" i="19"/>
  <c r="N102" i="19"/>
  <c r="R633" i="19"/>
  <c r="R1632" i="19"/>
  <c r="R209" i="19"/>
  <c r="R360" i="19"/>
  <c r="R772" i="19"/>
  <c r="N1216" i="19"/>
  <c r="R1570" i="19"/>
  <c r="R1091" i="19"/>
  <c r="R1515" i="19"/>
  <c r="R204" i="19"/>
  <c r="N1250" i="19"/>
  <c r="R1567" i="19"/>
  <c r="R90" i="19"/>
  <c r="R152" i="19"/>
  <c r="R1815" i="19"/>
  <c r="R607" i="19"/>
  <c r="N2166" i="19"/>
  <c r="R1116" i="19"/>
  <c r="R17" i="19"/>
  <c r="R1891" i="19"/>
  <c r="R211" i="19"/>
  <c r="N1490" i="19"/>
  <c r="R2011" i="19"/>
  <c r="R36" i="19"/>
  <c r="N1238" i="19"/>
  <c r="R1197" i="19"/>
  <c r="R1612" i="19"/>
  <c r="N2060" i="19"/>
  <c r="R1015" i="19"/>
  <c r="R263" i="19"/>
  <c r="N2042" i="19"/>
  <c r="N351" i="19"/>
  <c r="R1299" i="19"/>
  <c r="R114" i="19"/>
  <c r="N1530" i="19"/>
  <c r="R459" i="19"/>
  <c r="R357" i="19"/>
  <c r="N774" i="19"/>
  <c r="N1357" i="19"/>
  <c r="R1278" i="19"/>
  <c r="R1508" i="19"/>
  <c r="N890" i="19"/>
  <c r="R92" i="19"/>
  <c r="N1015" i="19"/>
  <c r="N1001" i="19"/>
  <c r="N319" i="19"/>
  <c r="N995" i="19"/>
  <c r="N1012" i="19"/>
  <c r="N1922" i="19"/>
  <c r="N1028" i="19"/>
  <c r="N2047" i="19"/>
  <c r="N1418" i="19"/>
  <c r="N1526" i="19"/>
  <c r="N1891" i="19"/>
  <c r="N2171" i="19"/>
  <c r="N2173" i="19"/>
  <c r="N1507" i="19"/>
  <c r="N1062" i="19"/>
  <c r="N2363" i="19"/>
  <c r="N961" i="19"/>
  <c r="L30" i="32"/>
  <c r="R175" i="19"/>
  <c r="R2350" i="19"/>
  <c r="R1920" i="19"/>
  <c r="R720" i="19"/>
  <c r="R70" i="19"/>
  <c r="R1237" i="19"/>
  <c r="R1323" i="19"/>
  <c r="R1722" i="19"/>
  <c r="R555" i="19"/>
  <c r="R52" i="19"/>
  <c r="R2356" i="19"/>
  <c r="R923" i="19"/>
  <c r="R1764" i="19"/>
  <c r="R778" i="19"/>
  <c r="R2052" i="19"/>
  <c r="R180" i="19"/>
  <c r="R1630" i="19"/>
  <c r="R123" i="19"/>
  <c r="R446" i="19"/>
  <c r="R616" i="19"/>
  <c r="R2207" i="19"/>
  <c r="R1295" i="19"/>
  <c r="R413" i="19"/>
  <c r="R1622" i="19"/>
  <c r="R1970" i="19"/>
  <c r="R1820" i="19"/>
  <c r="R2136" i="19"/>
  <c r="R150" i="19"/>
  <c r="N1286" i="19"/>
  <c r="R1589" i="19"/>
  <c r="R2270" i="19"/>
  <c r="R1262" i="19"/>
  <c r="R2130" i="19"/>
  <c r="R1430" i="19"/>
  <c r="R887" i="19"/>
  <c r="R1545" i="19"/>
  <c r="N77" i="19"/>
  <c r="R1030" i="19"/>
  <c r="R1364" i="19"/>
  <c r="R1480" i="19"/>
  <c r="R2245" i="19"/>
  <c r="N1548" i="19"/>
  <c r="R48" i="19"/>
  <c r="R1067" i="19"/>
  <c r="R2038" i="19"/>
  <c r="N1421" i="19"/>
  <c r="R627" i="19"/>
  <c r="R1382" i="19"/>
  <c r="R1624" i="19"/>
  <c r="R1759" i="19"/>
  <c r="N1284" i="19"/>
  <c r="R879" i="19"/>
  <c r="R585" i="19"/>
  <c r="R1530" i="19"/>
  <c r="R915" i="19"/>
  <c r="R2242" i="19"/>
  <c r="R2077" i="19"/>
  <c r="R869" i="19"/>
  <c r="R2246" i="19"/>
  <c r="N1812" i="19"/>
  <c r="R1550" i="19"/>
  <c r="R1010" i="19"/>
  <c r="R2288" i="19"/>
  <c r="R1954" i="19"/>
  <c r="R768" i="19"/>
  <c r="R860" i="19"/>
  <c r="N1140" i="19"/>
  <c r="R2339" i="19"/>
  <c r="R1666" i="19"/>
  <c r="R2137" i="19"/>
  <c r="R747" i="19"/>
  <c r="R2021" i="19"/>
  <c r="N1949" i="19"/>
  <c r="R1391" i="19"/>
  <c r="R386" i="19"/>
  <c r="R1919" i="19"/>
  <c r="R1907" i="19"/>
  <c r="N830" i="19"/>
  <c r="R47" i="19"/>
  <c r="R2303" i="19"/>
  <c r="R1239" i="19"/>
  <c r="R98" i="19"/>
  <c r="R2183" i="19"/>
  <c r="N1252" i="19"/>
  <c r="R1057" i="19"/>
  <c r="R1465" i="19"/>
  <c r="R1876" i="19"/>
  <c r="R72" i="19"/>
  <c r="N1091" i="19"/>
  <c r="R133" i="19"/>
  <c r="R235" i="19"/>
  <c r="N452" i="19"/>
  <c r="R1866" i="19"/>
  <c r="R1832" i="19"/>
  <c r="N687" i="19"/>
  <c r="R1849" i="19"/>
  <c r="R961" i="19"/>
  <c r="N833" i="19"/>
  <c r="N140" i="19"/>
  <c r="R264" i="19"/>
  <c r="R2170" i="19"/>
  <c r="N191" i="19"/>
  <c r="R389" i="19"/>
  <c r="R2236" i="19"/>
  <c r="N722" i="19"/>
  <c r="N1741" i="19"/>
  <c r="R781" i="19"/>
  <c r="N222" i="19"/>
  <c r="N2288" i="19"/>
  <c r="N36" i="19"/>
  <c r="N1765" i="19"/>
  <c r="N562" i="19"/>
  <c r="N735" i="19"/>
  <c r="N244" i="19"/>
  <c r="N432" i="19"/>
  <c r="N1176" i="19"/>
  <c r="N1870" i="19"/>
  <c r="N1322" i="19"/>
  <c r="N786" i="19"/>
  <c r="N1858" i="19"/>
  <c r="N2365" i="19"/>
  <c r="N1945" i="19"/>
  <c r="N1760" i="19"/>
  <c r="N1723" i="19"/>
  <c r="N2206" i="19"/>
  <c r="N2147" i="19"/>
  <c r="N1033" i="19"/>
  <c r="M24" i="32"/>
  <c r="N397" i="19"/>
  <c r="R1865" i="19"/>
  <c r="R2147" i="19"/>
  <c r="R1997" i="19"/>
  <c r="R628" i="19"/>
  <c r="R1879" i="19"/>
  <c r="R614" i="19"/>
  <c r="R2115" i="19"/>
  <c r="R610" i="19"/>
  <c r="N2322" i="19"/>
  <c r="R1308" i="19"/>
  <c r="R1129" i="19"/>
  <c r="R1924" i="19"/>
  <c r="N1253" i="19"/>
  <c r="R1191" i="19"/>
  <c r="R1963" i="19"/>
  <c r="R278" i="19"/>
  <c r="R1353" i="19"/>
  <c r="R1482" i="19"/>
  <c r="R402" i="19"/>
  <c r="R1718" i="19"/>
  <c r="R2216" i="19"/>
  <c r="N705" i="19"/>
  <c r="R2263" i="19"/>
  <c r="R1807" i="19"/>
  <c r="R2218" i="19"/>
  <c r="R653" i="19"/>
  <c r="R488" i="19"/>
  <c r="R636" i="19"/>
  <c r="R1184" i="19"/>
  <c r="R606" i="19"/>
  <c r="R1894" i="19"/>
  <c r="N1788" i="19"/>
  <c r="R580" i="19"/>
  <c r="R1509" i="19"/>
  <c r="R1285" i="19"/>
  <c r="R1335" i="19"/>
  <c r="R1581" i="19"/>
  <c r="R120" i="19"/>
  <c r="R1845" i="19"/>
  <c r="R1706" i="19"/>
  <c r="R2043" i="19"/>
  <c r="R1877" i="19"/>
  <c r="R519" i="19"/>
  <c r="R2299" i="19"/>
  <c r="R1558" i="19"/>
  <c r="R1987" i="19"/>
  <c r="R8" i="19"/>
  <c r="R639" i="19"/>
  <c r="R1443" i="19"/>
  <c r="R1564" i="19"/>
  <c r="R933" i="19"/>
  <c r="R836" i="19"/>
  <c r="R1180" i="19"/>
  <c r="R556" i="19"/>
  <c r="R2088" i="19"/>
  <c r="R429" i="19"/>
  <c r="N2311" i="19"/>
  <c r="R996" i="19"/>
  <c r="R1236" i="19"/>
  <c r="R2187" i="19"/>
  <c r="R1939" i="19"/>
  <c r="N400" i="19"/>
  <c r="R1994" i="19"/>
  <c r="R1193" i="19"/>
  <c r="R1906" i="19"/>
  <c r="R1281" i="19"/>
  <c r="R1284" i="19"/>
  <c r="N2231" i="19"/>
  <c r="R1253" i="19"/>
  <c r="R1441" i="19"/>
  <c r="R553" i="19"/>
  <c r="R1496" i="19"/>
  <c r="R410" i="19"/>
  <c r="N1194" i="19"/>
  <c r="R476" i="19"/>
  <c r="R1967" i="19"/>
  <c r="R1846" i="19"/>
  <c r="N17" i="19"/>
  <c r="N1054" i="19"/>
  <c r="R1038" i="19"/>
  <c r="N972" i="19"/>
  <c r="N2036" i="19"/>
  <c r="R249" i="19"/>
  <c r="R525" i="19"/>
  <c r="N1149" i="19"/>
  <c r="R2215" i="19"/>
  <c r="R154" i="19"/>
  <c r="R2302" i="19"/>
  <c r="N547" i="19"/>
  <c r="R787" i="19"/>
  <c r="R185" i="19"/>
  <c r="N1231" i="19"/>
  <c r="R700" i="19"/>
  <c r="R1164" i="19"/>
  <c r="N155" i="19"/>
  <c r="R710" i="19"/>
  <c r="R1003" i="19"/>
  <c r="N662" i="19"/>
  <c r="R524" i="19"/>
  <c r="N169" i="19"/>
  <c r="R454" i="19"/>
  <c r="R282" i="19"/>
  <c r="N1081" i="19"/>
  <c r="N1955" i="19"/>
  <c r="N1025" i="19"/>
  <c r="N1182" i="19"/>
  <c r="N2157" i="19"/>
  <c r="N1117" i="19"/>
  <c r="N1461" i="19"/>
  <c r="N26" i="19"/>
  <c r="N2243" i="19"/>
  <c r="N849" i="19"/>
  <c r="N2088" i="19"/>
  <c r="N1457" i="19"/>
  <c r="N2246" i="19"/>
  <c r="N764" i="19"/>
  <c r="M29" i="32"/>
  <c r="L8" i="32"/>
  <c r="R321" i="19"/>
  <c r="R500" i="19"/>
  <c r="R2044" i="19"/>
  <c r="R1605" i="19"/>
  <c r="R1271" i="19"/>
  <c r="R2053" i="19"/>
  <c r="R2129" i="19"/>
  <c r="R568" i="19"/>
  <c r="R1590" i="19"/>
  <c r="R2265" i="19"/>
  <c r="R261" i="19"/>
  <c r="R2180" i="19"/>
  <c r="R119" i="19"/>
  <c r="R1812" i="19"/>
  <c r="R1613" i="19"/>
  <c r="R1505" i="19"/>
  <c r="R2054" i="19"/>
  <c r="R818" i="19"/>
  <c r="R1856" i="19"/>
  <c r="R946" i="19"/>
  <c r="R58" i="19"/>
  <c r="R1790" i="19"/>
  <c r="R57" i="19"/>
  <c r="R1029" i="19"/>
  <c r="R1124" i="19"/>
  <c r="R683" i="19"/>
  <c r="R1976" i="19"/>
  <c r="R872" i="19"/>
  <c r="R1343" i="19"/>
  <c r="R1018" i="19"/>
  <c r="R736" i="19"/>
  <c r="R997" i="19"/>
  <c r="R526" i="19"/>
  <c r="R189" i="19"/>
  <c r="R543" i="19"/>
  <c r="R2113" i="19"/>
  <c r="R7" i="19"/>
  <c r="R224" i="19"/>
  <c r="R807" i="19"/>
  <c r="R2024" i="19"/>
  <c r="R743" i="19"/>
  <c r="R217" i="19"/>
  <c r="R604" i="19"/>
  <c r="R487" i="19"/>
  <c r="R574" i="19"/>
  <c r="R2074" i="19"/>
  <c r="R1571" i="19"/>
  <c r="R670" i="19"/>
  <c r="R1568" i="19"/>
  <c r="R1415" i="19"/>
  <c r="R469" i="19"/>
  <c r="R489" i="19"/>
  <c r="R1651" i="19"/>
  <c r="R2266" i="19"/>
  <c r="N557" i="19"/>
  <c r="R1749" i="19"/>
  <c r="R447" i="19"/>
  <c r="R1779" i="19"/>
  <c r="R673" i="19"/>
  <c r="R811" i="19"/>
  <c r="R726" i="19"/>
  <c r="R1933" i="19"/>
  <c r="R1993" i="19"/>
  <c r="R1153" i="19"/>
  <c r="N1645" i="19"/>
  <c r="R2279" i="19"/>
  <c r="R1292" i="19"/>
  <c r="R1256" i="19"/>
  <c r="R1035" i="19"/>
  <c r="R1551" i="19"/>
  <c r="R214" i="19"/>
  <c r="R2252" i="19"/>
  <c r="R1693" i="19"/>
  <c r="R990" i="19"/>
  <c r="R285" i="19"/>
  <c r="R2241" i="19"/>
  <c r="R375" i="19"/>
  <c r="R2085" i="19"/>
  <c r="R1290" i="19"/>
  <c r="R2310" i="19"/>
  <c r="R2276" i="19"/>
  <c r="R1349" i="19"/>
  <c r="R2274" i="19"/>
  <c r="R834" i="19"/>
  <c r="R1469" i="19"/>
  <c r="R1699" i="19"/>
  <c r="R1062" i="19"/>
  <c r="R750" i="19"/>
  <c r="N59" i="19"/>
  <c r="R958" i="19"/>
  <c r="R2061" i="19"/>
  <c r="R971" i="19"/>
  <c r="R753" i="19"/>
  <c r="R2030" i="19"/>
  <c r="N1098" i="19"/>
  <c r="R925" i="19"/>
  <c r="R552" i="19"/>
  <c r="R1089" i="19"/>
  <c r="R136" i="19"/>
  <c r="R1358" i="19"/>
  <c r="N1638" i="19"/>
  <c r="R2251" i="19"/>
  <c r="R29" i="19"/>
  <c r="R783" i="19"/>
  <c r="R786" i="19"/>
  <c r="R681" i="19"/>
  <c r="N1555" i="19"/>
  <c r="R2159" i="19"/>
  <c r="R1902" i="19"/>
  <c r="R1291" i="19"/>
  <c r="N2059" i="19"/>
  <c r="N668" i="19"/>
  <c r="R1420" i="19"/>
  <c r="N1748" i="19"/>
  <c r="N1083" i="19"/>
  <c r="R432" i="19"/>
  <c r="R1562" i="19"/>
  <c r="N665" i="19"/>
  <c r="R949" i="19"/>
  <c r="N567" i="19"/>
  <c r="R1202" i="19"/>
  <c r="N1504" i="19"/>
  <c r="R1566" i="19"/>
  <c r="R611" i="19"/>
  <c r="R1635" i="19"/>
  <c r="R1811" i="19"/>
  <c r="R1070" i="19"/>
  <c r="N846" i="19"/>
  <c r="R1215" i="19"/>
  <c r="R866" i="19"/>
  <c r="N1336" i="19"/>
  <c r="R1701" i="19"/>
  <c r="N812" i="19"/>
  <c r="R160" i="19"/>
  <c r="R819" i="19"/>
  <c r="R153" i="19"/>
  <c r="N580" i="19"/>
  <c r="N1382" i="19"/>
  <c r="N2138" i="19"/>
  <c r="N2214" i="19"/>
  <c r="N1309" i="19"/>
  <c r="N2146" i="19"/>
  <c r="N621" i="19"/>
  <c r="N1363" i="19"/>
  <c r="N1138" i="19"/>
  <c r="N1118" i="19"/>
  <c r="N1999" i="19"/>
  <c r="N919" i="19"/>
  <c r="N918" i="19"/>
  <c r="L12" i="32"/>
  <c r="R2171" i="19"/>
  <c r="R234" i="19"/>
  <c r="N104" i="19"/>
  <c r="N305" i="19"/>
  <c r="R742" i="19"/>
  <c r="R2337" i="19"/>
  <c r="R307" i="19"/>
  <c r="R788" i="19"/>
  <c r="N51" i="19"/>
  <c r="N2186" i="19"/>
  <c r="R2117" i="19"/>
  <c r="R1959" i="19"/>
  <c r="N170" i="19"/>
  <c r="N572" i="19"/>
  <c r="R1489" i="19"/>
  <c r="N474" i="19"/>
  <c r="R861" i="19"/>
  <c r="R2111" i="19"/>
  <c r="R2152" i="19"/>
  <c r="R563" i="19"/>
  <c r="N645" i="19"/>
  <c r="R790" i="19"/>
  <c r="R2015" i="19"/>
  <c r="R501" i="19"/>
  <c r="R715" i="19"/>
  <c r="N1701" i="19"/>
  <c r="N76" i="19"/>
  <c r="R493" i="19"/>
  <c r="R437" i="19"/>
  <c r="R365" i="19"/>
  <c r="R236" i="19"/>
  <c r="N208" i="19"/>
  <c r="N2195" i="19"/>
  <c r="R148" i="19"/>
  <c r="N966" i="19"/>
  <c r="N1559" i="19"/>
  <c r="N901" i="19"/>
  <c r="N1427" i="19"/>
  <c r="N616" i="19"/>
  <c r="N971" i="19"/>
  <c r="N865" i="19"/>
  <c r="N1512" i="19"/>
  <c r="N837" i="19"/>
  <c r="N761" i="19"/>
  <c r="N1651" i="19"/>
  <c r="N1038" i="19"/>
  <c r="N1395" i="19"/>
  <c r="N46" i="19"/>
  <c r="N571" i="19"/>
  <c r="N405" i="19"/>
  <c r="N2292" i="19"/>
  <c r="N1866" i="19"/>
  <c r="N2085" i="19"/>
  <c r="N1579" i="19"/>
  <c r="N2046" i="19"/>
  <c r="N101" i="19"/>
  <c r="N1591" i="19"/>
  <c r="N1114" i="19"/>
  <c r="N1355" i="19"/>
  <c r="N488" i="19"/>
  <c r="N352" i="19"/>
  <c r="N2327" i="19"/>
  <c r="N1306" i="19"/>
  <c r="N2351" i="19"/>
  <c r="L9" i="32"/>
  <c r="R802" i="19"/>
  <c r="R1792" i="19"/>
  <c r="R895" i="19"/>
  <c r="R713" i="19"/>
  <c r="R1026" i="19"/>
  <c r="R345" i="19"/>
  <c r="R2208" i="19"/>
  <c r="R422" i="19"/>
  <c r="R1490" i="19"/>
  <c r="R2064" i="19"/>
  <c r="R2366" i="19"/>
  <c r="R1823" i="19"/>
  <c r="R569" i="19"/>
  <c r="R1900" i="19"/>
  <c r="R1949" i="19"/>
  <c r="N371" i="19"/>
  <c r="R419" i="19"/>
  <c r="R309" i="19"/>
  <c r="R615" i="19"/>
  <c r="R1011" i="19"/>
  <c r="R2376" i="19"/>
  <c r="R1930" i="19"/>
  <c r="R1493" i="19"/>
  <c r="R1425" i="19"/>
  <c r="R1776" i="19"/>
  <c r="R815" i="19"/>
  <c r="R2197" i="19"/>
  <c r="R517" i="19"/>
  <c r="R1414" i="19"/>
  <c r="R1274" i="19"/>
  <c r="N513" i="19"/>
  <c r="R765" i="19"/>
  <c r="N1266" i="19"/>
  <c r="R1087" i="19"/>
  <c r="R41" i="19"/>
  <c r="R888" i="19"/>
  <c r="R2199" i="19"/>
  <c r="R1251" i="19"/>
  <c r="R1778" i="19"/>
  <c r="N1101" i="19"/>
  <c r="R2031" i="19"/>
  <c r="R78" i="19"/>
  <c r="R463" i="19"/>
  <c r="R588" i="19"/>
  <c r="R342" i="19"/>
  <c r="R306" i="19"/>
  <c r="R1707" i="19"/>
  <c r="R677" i="19"/>
  <c r="R1240" i="19"/>
  <c r="R868" i="19"/>
  <c r="R499" i="19"/>
  <c r="R533" i="19"/>
  <c r="R2042" i="19"/>
  <c r="N2057" i="19"/>
  <c r="R2289" i="19"/>
  <c r="R1711" i="19"/>
  <c r="R2314" i="19"/>
  <c r="R417" i="19"/>
  <c r="R1726" i="19"/>
  <c r="R920" i="19"/>
  <c r="R766" i="19"/>
  <c r="R1554" i="19"/>
  <c r="R1676" i="19"/>
  <c r="R909" i="19"/>
  <c r="R1796" i="19"/>
  <c r="R2351" i="19"/>
  <c r="R2257" i="19"/>
  <c r="R1556" i="19"/>
  <c r="R1657" i="19"/>
  <c r="R1416" i="19"/>
  <c r="R412" i="19"/>
  <c r="N902" i="19"/>
  <c r="R1439" i="19"/>
  <c r="R1980" i="19"/>
  <c r="R1583" i="19"/>
  <c r="R1114" i="19"/>
  <c r="R1419" i="19"/>
  <c r="R1652" i="19"/>
  <c r="R913" i="19"/>
  <c r="R1667" i="19"/>
  <c r="R1017" i="19"/>
  <c r="R1367" i="19"/>
  <c r="R2283" i="19"/>
  <c r="N415" i="19"/>
  <c r="R1598" i="19"/>
  <c r="R1858" i="19"/>
  <c r="R1176" i="19"/>
  <c r="R381" i="19"/>
  <c r="R666" i="19"/>
  <c r="R1692" i="19"/>
  <c r="R388" i="19"/>
  <c r="R1831" i="19"/>
  <c r="N202" i="19"/>
  <c r="R754" i="19"/>
  <c r="R545" i="19"/>
  <c r="R1989" i="19"/>
  <c r="R1275" i="19"/>
  <c r="R215" i="19"/>
  <c r="R1955" i="19"/>
  <c r="R1398" i="19"/>
  <c r="N1035" i="19"/>
  <c r="R2083" i="19"/>
  <c r="R1723" i="19"/>
  <c r="R2323" i="19"/>
  <c r="R2195" i="19"/>
  <c r="R2344" i="19"/>
  <c r="R1875" i="19"/>
  <c r="N1084" i="19"/>
  <c r="R704" i="19"/>
  <c r="R1042" i="19"/>
  <c r="R1156" i="19"/>
  <c r="R1716" i="19"/>
  <c r="R1958" i="19"/>
  <c r="R2091" i="19"/>
  <c r="R927" i="19"/>
  <c r="N1948" i="19"/>
  <c r="R1774" i="19"/>
  <c r="R1393" i="19"/>
  <c r="R1728" i="19"/>
  <c r="R2124" i="19"/>
  <c r="R962" i="19"/>
  <c r="R352" i="19"/>
  <c r="N660" i="19"/>
  <c r="N146" i="19"/>
  <c r="N2096" i="19"/>
  <c r="R1715" i="19"/>
  <c r="R2028" i="19"/>
  <c r="N1014" i="19"/>
  <c r="N2260" i="19"/>
  <c r="R1557" i="19"/>
  <c r="R1208" i="19"/>
  <c r="R2290" i="19"/>
  <c r="R310" i="19"/>
  <c r="N923" i="19"/>
  <c r="N2268" i="19"/>
  <c r="R1498" i="19"/>
  <c r="R1394" i="19"/>
  <c r="N969" i="19"/>
  <c r="N420" i="19"/>
  <c r="R445" i="19"/>
  <c r="N120" i="19"/>
  <c r="R1377" i="19"/>
  <c r="R1757" i="19"/>
  <c r="R2019" i="19"/>
  <c r="R776" i="19"/>
  <c r="N2308" i="19"/>
  <c r="R867" i="19"/>
  <c r="R1268" i="19"/>
  <c r="R1055" i="19"/>
  <c r="R527" i="19"/>
  <c r="N229" i="19"/>
  <c r="N545" i="19"/>
  <c r="R2370" i="19"/>
  <c r="R250" i="19"/>
  <c r="R482" i="19"/>
  <c r="R15" i="19"/>
  <c r="N1451" i="19"/>
  <c r="N1589" i="19"/>
  <c r="R483" i="19"/>
  <c r="N628" i="19"/>
  <c r="N290" i="19"/>
  <c r="N750" i="19"/>
  <c r="N141" i="19"/>
  <c r="N15" i="19"/>
  <c r="N250" i="19"/>
  <c r="N215" i="19"/>
  <c r="N167" i="19"/>
  <c r="N225" i="19"/>
  <c r="N1092" i="19"/>
  <c r="N2135" i="19"/>
  <c r="N1401" i="19"/>
  <c r="N1008" i="19"/>
  <c r="N446" i="19"/>
  <c r="N813" i="19"/>
  <c r="N878" i="19"/>
  <c r="N2255" i="19"/>
  <c r="N2204" i="19"/>
  <c r="N618" i="19"/>
  <c r="N1795" i="19"/>
  <c r="N2297" i="19"/>
  <c r="N430" i="19"/>
  <c r="N1699" i="19"/>
  <c r="N1302" i="19"/>
  <c r="N1618" i="19"/>
  <c r="N776" i="19"/>
  <c r="N746" i="19"/>
  <c r="N934" i="19"/>
  <c r="N1624" i="19"/>
  <c r="N4" i="19"/>
  <c r="L31" i="16"/>
  <c r="N2275" i="19"/>
  <c r="R1137" i="19"/>
  <c r="R494" i="19"/>
  <c r="R2070" i="19"/>
  <c r="R1060" i="19"/>
  <c r="R207" i="19"/>
  <c r="R1025" i="19"/>
  <c r="N1186" i="19"/>
  <c r="N1040" i="19"/>
  <c r="R1639" i="19"/>
  <c r="R1492" i="19"/>
  <c r="R1921" i="19"/>
  <c r="N497" i="19"/>
  <c r="N1428" i="19"/>
  <c r="R414" i="19"/>
  <c r="R2342" i="19"/>
  <c r="R296" i="19"/>
  <c r="R86" i="19"/>
  <c r="N1444" i="19"/>
  <c r="N1425" i="19"/>
  <c r="R745" i="19"/>
  <c r="R919" i="19"/>
  <c r="N617" i="19"/>
  <c r="N579" i="19"/>
  <c r="R1873" i="19"/>
  <c r="N178" i="19"/>
  <c r="R1772" i="19"/>
  <c r="R708" i="19"/>
  <c r="R1484" i="19"/>
  <c r="N672" i="19"/>
  <c r="N1551" i="19"/>
  <c r="R2343" i="19"/>
  <c r="R2345" i="19"/>
  <c r="R718" i="19"/>
  <c r="R343" i="19"/>
  <c r="N634" i="19"/>
  <c r="N2182" i="19"/>
  <c r="R2161" i="19"/>
  <c r="R1096" i="19"/>
  <c r="R2375" i="19"/>
  <c r="N1131" i="19"/>
  <c r="N945" i="19"/>
  <c r="N1076" i="19"/>
  <c r="R116" i="19"/>
  <c r="N783" i="19"/>
  <c r="N252" i="19"/>
  <c r="N506" i="19"/>
  <c r="N615" i="19"/>
  <c r="N1052" i="19"/>
  <c r="N2003" i="19"/>
  <c r="N866" i="19"/>
  <c r="N641" i="19"/>
  <c r="N72" i="19"/>
  <c r="N929" i="19"/>
  <c r="N267" i="19"/>
  <c r="N2094" i="19"/>
  <c r="N73" i="19"/>
  <c r="N181" i="19"/>
  <c r="N1536" i="19"/>
  <c r="N1323" i="19"/>
  <c r="N518" i="19"/>
  <c r="N1020" i="19"/>
  <c r="N795" i="19"/>
  <c r="N1932" i="19"/>
  <c r="N1371" i="19"/>
  <c r="N879" i="19"/>
  <c r="N1807" i="19"/>
  <c r="N1622" i="19"/>
  <c r="N2232" i="19"/>
  <c r="N1414" i="19"/>
  <c r="N1860" i="19"/>
  <c r="N1133" i="19"/>
  <c r="N2118" i="19"/>
  <c r="K33" i="16"/>
  <c r="M35" i="32"/>
  <c r="R257" i="19"/>
  <c r="R1555" i="19"/>
  <c r="R2156" i="19"/>
  <c r="R1596" i="19"/>
  <c r="R523" i="19"/>
  <c r="R667" i="19"/>
  <c r="R814" i="19"/>
  <c r="R2165" i="19"/>
  <c r="R1636" i="19"/>
  <c r="R2341" i="19"/>
  <c r="N333" i="19"/>
  <c r="R1871" i="19"/>
  <c r="R122" i="19"/>
  <c r="R1277" i="19"/>
  <c r="R2125" i="19"/>
  <c r="N152" i="19"/>
  <c r="R1212" i="19"/>
  <c r="R254" i="19"/>
  <c r="R363" i="19"/>
  <c r="R433" i="19"/>
  <c r="R1258" i="19"/>
  <c r="R492" i="19"/>
  <c r="R981" i="19"/>
  <c r="R400" i="19"/>
  <c r="R1370" i="19"/>
  <c r="R43" i="19"/>
  <c r="R1008" i="19"/>
  <c r="R850" i="19"/>
  <c r="R1140" i="19"/>
  <c r="R508" i="19"/>
  <c r="N1523" i="19"/>
  <c r="R838" i="19"/>
  <c r="R46" i="19"/>
  <c r="R475" i="19"/>
  <c r="R659" i="19"/>
  <c r="R1621" i="19"/>
  <c r="R803" i="19"/>
  <c r="R721" i="19"/>
  <c r="R259" i="19"/>
  <c r="N964" i="19"/>
  <c r="R1829" i="19"/>
  <c r="R1763" i="19"/>
  <c r="R828" i="19"/>
  <c r="R2232" i="19"/>
  <c r="R1998" i="19"/>
  <c r="R510" i="19"/>
  <c r="R479" i="19"/>
  <c r="R565" i="19"/>
  <c r="R1890" i="19"/>
  <c r="R1519" i="19"/>
  <c r="R1973" i="19"/>
  <c r="R2047" i="19"/>
  <c r="R1273" i="19"/>
  <c r="N732" i="19"/>
  <c r="R2096" i="19"/>
  <c r="R1491" i="19"/>
  <c r="R373" i="19"/>
  <c r="R1670" i="19"/>
  <c r="R1911" i="19"/>
  <c r="N411" i="19"/>
  <c r="R2217" i="19"/>
  <c r="R650" i="19"/>
  <c r="R6" i="19"/>
  <c r="R1242" i="19"/>
  <c r="N347" i="19"/>
  <c r="R31" i="19"/>
  <c r="R355" i="19"/>
  <c r="R477" i="19"/>
  <c r="R1170" i="19"/>
  <c r="R979" i="19"/>
  <c r="R26" i="19"/>
  <c r="N241" i="19"/>
  <c r="R338" i="19"/>
  <c r="R174" i="19"/>
  <c r="R2139" i="19"/>
  <c r="R810" i="19"/>
  <c r="R505" i="19"/>
  <c r="N25" i="19"/>
  <c r="R2293" i="19"/>
  <c r="R391" i="19"/>
  <c r="R1112" i="19"/>
  <c r="R1681" i="19"/>
  <c r="R638" i="19"/>
  <c r="N1770" i="19"/>
  <c r="R1756" i="19"/>
  <c r="R1887" i="19"/>
  <c r="R1983" i="19"/>
  <c r="R2194" i="19"/>
  <c r="R531" i="19"/>
  <c r="R397" i="19"/>
  <c r="R1927" i="19"/>
  <c r="R1235" i="19"/>
  <c r="N724" i="19"/>
  <c r="R2018" i="19"/>
  <c r="R1533" i="19"/>
  <c r="R1181" i="19"/>
  <c r="R942" i="19"/>
  <c r="R1369" i="19"/>
  <c r="R970" i="19"/>
  <c r="R842" i="19"/>
  <c r="N97" i="19"/>
  <c r="R1798" i="19"/>
  <c r="R168" i="19"/>
  <c r="R1210" i="19"/>
  <c r="R1770" i="19"/>
  <c r="R1031" i="19"/>
  <c r="R1637" i="19"/>
  <c r="N874" i="19"/>
  <c r="R219" i="19"/>
  <c r="R2291" i="19"/>
  <c r="R1799" i="19"/>
  <c r="R434" i="19"/>
  <c r="R1063" i="19"/>
  <c r="R694" i="19"/>
  <c r="R2006" i="19"/>
  <c r="N118" i="19"/>
  <c r="R980" i="19"/>
  <c r="R967" i="19"/>
  <c r="R2249" i="19"/>
  <c r="R934" i="19"/>
  <c r="R1438" i="19"/>
  <c r="R1915" i="19"/>
  <c r="N21" i="19"/>
  <c r="N375" i="19"/>
  <c r="R1052" i="19"/>
  <c r="R722" i="19"/>
  <c r="R561" i="19"/>
  <c r="N1892" i="19"/>
  <c r="N1394" i="19"/>
  <c r="R1870" i="19"/>
  <c r="R1712" i="19"/>
  <c r="R2100" i="19"/>
  <c r="R1585" i="19"/>
  <c r="N875" i="19"/>
  <c r="N1547" i="19"/>
  <c r="R846" i="19"/>
  <c r="R238" i="19"/>
  <c r="N942" i="19"/>
  <c r="N1413" i="19"/>
  <c r="R10" i="19"/>
  <c r="N2178" i="19"/>
  <c r="R485" i="19"/>
  <c r="R1166" i="19"/>
  <c r="R2158" i="19"/>
  <c r="N932" i="19"/>
  <c r="N1667" i="19"/>
  <c r="R1404" i="19"/>
  <c r="R1619" i="19"/>
  <c r="R594" i="19"/>
  <c r="R87" i="19"/>
  <c r="N94" i="19"/>
  <c r="N2371" i="19"/>
  <c r="R472" i="19"/>
  <c r="R1753" i="19"/>
  <c r="R1324" i="19"/>
  <c r="N111" i="19"/>
  <c r="N881" i="19"/>
  <c r="N2203" i="19"/>
  <c r="R1872" i="19"/>
  <c r="N977" i="19"/>
  <c r="N1964" i="19"/>
  <c r="N451" i="19"/>
  <c r="N928" i="19"/>
  <c r="N840" i="19"/>
  <c r="N1707" i="19"/>
  <c r="N655" i="19"/>
  <c r="N994" i="19"/>
  <c r="N2079" i="19"/>
  <c r="N1836" i="19"/>
  <c r="N2113" i="19"/>
  <c r="N960" i="19"/>
  <c r="N458" i="19"/>
  <c r="N730" i="19"/>
  <c r="N507" i="19"/>
  <c r="N2283" i="19"/>
  <c r="N807" i="19"/>
  <c r="N2276" i="19"/>
  <c r="N1481" i="19"/>
  <c r="N462" i="19"/>
  <c r="N1585" i="19"/>
  <c r="N755" i="19"/>
  <c r="N1952" i="19"/>
  <c r="N1811" i="19"/>
  <c r="N1331" i="19"/>
  <c r="N1791" i="19"/>
  <c r="N623" i="19"/>
  <c r="N978" i="19"/>
  <c r="N1454" i="19"/>
  <c r="K8" i="16"/>
  <c r="M28" i="32"/>
  <c r="R546" i="19"/>
  <c r="R940" i="19"/>
  <c r="R1135" i="19"/>
  <c r="R1538" i="19"/>
  <c r="R538" i="19"/>
  <c r="N1581" i="19"/>
  <c r="N575" i="19"/>
  <c r="R1013" i="19"/>
  <c r="R1683" i="19"/>
  <c r="R583" i="19"/>
  <c r="R350" i="19"/>
  <c r="N631" i="19"/>
  <c r="R1147" i="19"/>
  <c r="R529" i="19"/>
  <c r="R1297" i="19"/>
  <c r="R2055" i="19"/>
  <c r="R709" i="19"/>
  <c r="N765" i="19"/>
  <c r="R37" i="19"/>
  <c r="R2026" i="19"/>
  <c r="R1986" i="19"/>
  <c r="R1189" i="19"/>
  <c r="N143" i="19"/>
  <c r="R918" i="19"/>
  <c r="R170" i="19"/>
  <c r="R1784" i="19"/>
  <c r="R1709" i="19"/>
  <c r="R1401" i="19"/>
  <c r="R2316" i="19"/>
  <c r="N42" i="19"/>
  <c r="R2046" i="19"/>
  <c r="R2227" i="19"/>
  <c r="R587" i="19"/>
  <c r="R2122" i="19"/>
  <c r="R623" i="19"/>
  <c r="N657" i="19"/>
  <c r="R2017" i="19"/>
  <c r="R2271" i="19"/>
  <c r="R883" i="19"/>
  <c r="R1328" i="19"/>
  <c r="R423" i="19"/>
  <c r="N1621" i="19"/>
  <c r="R2364" i="19"/>
  <c r="R1714" i="19"/>
  <c r="R595" i="19"/>
  <c r="R2202" i="19"/>
  <c r="R1787" i="19"/>
  <c r="R157" i="19"/>
  <c r="R809" i="19"/>
  <c r="R1034" i="19"/>
  <c r="N459" i="19"/>
  <c r="R1203" i="19"/>
  <c r="R109" i="19"/>
  <c r="R1741" i="19"/>
  <c r="R1036" i="19"/>
  <c r="R1627" i="19"/>
  <c r="R2110" i="19"/>
  <c r="R558" i="19"/>
  <c r="N543" i="19"/>
  <c r="R1097" i="19"/>
  <c r="R1327" i="19"/>
  <c r="R724" i="19"/>
  <c r="R917" i="19"/>
  <c r="R407" i="19"/>
  <c r="R371" i="19"/>
  <c r="N107" i="19"/>
  <c r="R1211" i="19"/>
  <c r="R2193" i="19"/>
  <c r="R734" i="19"/>
  <c r="R442" i="19"/>
  <c r="R149" i="19"/>
  <c r="R201" i="19"/>
  <c r="R987" i="19"/>
  <c r="N894" i="19"/>
  <c r="R167" i="19"/>
  <c r="R1996" i="19"/>
  <c r="R2374" i="19"/>
  <c r="R112" i="19"/>
  <c r="R222" i="19"/>
  <c r="R1231" i="19"/>
  <c r="N2198" i="19"/>
  <c r="N10" i="19"/>
  <c r="R1638" i="19"/>
  <c r="R899" i="19"/>
  <c r="R512" i="19"/>
  <c r="N590" i="19"/>
  <c r="N1706" i="19"/>
  <c r="R757" i="19"/>
  <c r="R2004" i="19"/>
  <c r="R1965" i="19"/>
  <c r="R1350" i="19"/>
  <c r="N531" i="19"/>
  <c r="R111" i="19"/>
  <c r="R1607" i="19"/>
  <c r="R521" i="19"/>
  <c r="N269" i="19"/>
  <c r="N2024" i="19"/>
  <c r="N640" i="19"/>
  <c r="N651" i="19"/>
  <c r="R424" i="19"/>
  <c r="R314" i="19"/>
  <c r="R2334" i="19"/>
  <c r="N678" i="19"/>
  <c r="N1228" i="19"/>
  <c r="R1760" i="19"/>
  <c r="R1828" i="19"/>
  <c r="R277" i="19"/>
  <c r="N124" i="19"/>
  <c r="N188" i="19"/>
  <c r="N835" i="19"/>
  <c r="R648" i="19"/>
  <c r="R1238" i="19"/>
  <c r="R2092" i="19"/>
  <c r="N614" i="19"/>
  <c r="N1616" i="19"/>
  <c r="N1554" i="19"/>
  <c r="R1932" i="19"/>
  <c r="N230" i="19"/>
  <c r="N1879" i="19"/>
  <c r="N2320" i="19"/>
  <c r="N1021" i="19"/>
  <c r="N1438" i="19"/>
  <c r="N1925" i="19"/>
  <c r="N236" i="19"/>
  <c r="N1292" i="19"/>
  <c r="N150" i="19"/>
  <c r="N2265" i="19"/>
  <c r="N346" i="19"/>
  <c r="N2346" i="19"/>
  <c r="N857" i="19"/>
  <c r="N2315" i="19"/>
  <c r="N762" i="19"/>
  <c r="N1568" i="19"/>
  <c r="N235" i="19"/>
  <c r="N1679" i="19"/>
  <c r="N2020" i="19"/>
  <c r="N1655" i="19"/>
  <c r="N1693" i="19"/>
  <c r="N903" i="19"/>
  <c r="N2168" i="19"/>
  <c r="N926" i="19"/>
  <c r="N1508" i="19"/>
  <c r="N2053" i="19"/>
  <c r="N767" i="19"/>
  <c r="N2194" i="19"/>
  <c r="N1805" i="19"/>
  <c r="L27" i="32"/>
  <c r="L6" i="32"/>
  <c r="R1786" i="19"/>
  <c r="R117" i="19"/>
  <c r="R1528" i="19"/>
  <c r="R1380" i="19"/>
  <c r="R2368" i="19"/>
  <c r="R233" i="19"/>
  <c r="R626" i="19"/>
  <c r="R1366" i="19"/>
  <c r="R25" i="19"/>
  <c r="R844" i="19"/>
  <c r="R1185" i="19"/>
  <c r="R1895" i="19"/>
  <c r="R2010" i="19"/>
  <c r="R2313" i="19"/>
  <c r="R1663" i="19"/>
  <c r="N541" i="19"/>
  <c r="R95" i="19"/>
  <c r="R1486" i="19"/>
  <c r="R1977" i="19"/>
  <c r="R729" i="19"/>
  <c r="R1142" i="19"/>
  <c r="R892" i="19"/>
  <c r="R2255" i="19"/>
  <c r="R1300" i="19"/>
  <c r="R2082" i="19"/>
  <c r="R2210" i="19"/>
  <c r="R1021" i="19"/>
  <c r="R1073" i="19"/>
  <c r="R1649" i="19"/>
  <c r="R49" i="19"/>
  <c r="R2067" i="19"/>
  <c r="R24" i="19"/>
  <c r="N515" i="19"/>
  <c r="R1206" i="19"/>
  <c r="R1634" i="19"/>
  <c r="R134" i="19"/>
  <c r="R151" i="19"/>
  <c r="R2058" i="19"/>
  <c r="R1844" i="19"/>
  <c r="R1218" i="19"/>
  <c r="N1002" i="19"/>
  <c r="R440" i="19"/>
  <c r="R1319" i="19"/>
  <c r="R799" i="19"/>
  <c r="R1863" i="19"/>
  <c r="R1464" i="19"/>
  <c r="R1403" i="19"/>
  <c r="R1388" i="19"/>
  <c r="R620" i="19"/>
  <c r="R975" i="19"/>
  <c r="N2222" i="19"/>
  <c r="R1316" i="19"/>
  <c r="R227" i="19"/>
  <c r="R1818" i="19"/>
  <c r="R1969" i="19"/>
  <c r="R351" i="19"/>
  <c r="R518" i="19"/>
  <c r="R465" i="19"/>
  <c r="R901" i="19"/>
  <c r="N2028" i="19"/>
  <c r="R2040" i="19"/>
  <c r="R986" i="19"/>
  <c r="R1434" i="19"/>
  <c r="R104" i="19"/>
  <c r="R1905" i="19"/>
  <c r="R1814" i="19"/>
  <c r="N277" i="19"/>
  <c r="R504" i="19"/>
  <c r="R2179" i="19"/>
  <c r="R2148" i="19"/>
  <c r="R1702" i="19"/>
  <c r="R1201" i="19"/>
  <c r="R999" i="19"/>
  <c r="R1399" i="19"/>
  <c r="R2359" i="19"/>
  <c r="R425" i="19"/>
  <c r="R1121" i="19"/>
  <c r="N1359" i="19"/>
  <c r="R1222" i="19"/>
  <c r="R313" i="19"/>
  <c r="R1623" i="19"/>
  <c r="R1913" i="19"/>
  <c r="R2036" i="19"/>
  <c r="R908" i="19"/>
  <c r="R274" i="19"/>
  <c r="R2247" i="19"/>
  <c r="N666" i="19"/>
  <c r="R916" i="19"/>
  <c r="R1133" i="19"/>
  <c r="R1704" i="19"/>
  <c r="R1745" i="19"/>
  <c r="R1426" i="19"/>
  <c r="R2140" i="19"/>
  <c r="R2259" i="19"/>
  <c r="N699" i="19"/>
  <c r="N2121" i="19"/>
  <c r="R1451" i="19"/>
  <c r="R1747" i="19"/>
  <c r="R164" i="19"/>
  <c r="R1449" i="19"/>
  <c r="R2300" i="19"/>
  <c r="R777" i="19"/>
  <c r="R1331" i="19"/>
  <c r="R266" i="19"/>
  <c r="R1669" i="19"/>
  <c r="R845" i="19"/>
  <c r="R598" i="19"/>
  <c r="R1751" i="19"/>
  <c r="N602" i="19"/>
  <c r="N2159" i="19"/>
  <c r="R2294" i="19"/>
  <c r="R2239" i="19"/>
  <c r="R2127" i="19"/>
  <c r="R216" i="19"/>
  <c r="R1673" i="19"/>
  <c r="R372" i="19"/>
  <c r="R2203" i="19"/>
  <c r="R1456" i="19"/>
  <c r="R2027" i="19"/>
  <c r="R1302" i="19"/>
  <c r="N753" i="19"/>
  <c r="N2344" i="19"/>
  <c r="R325" i="19"/>
  <c r="R1342" i="19"/>
  <c r="R2275" i="19"/>
  <c r="R2150" i="19"/>
  <c r="R939" i="19"/>
  <c r="R353" i="19"/>
  <c r="R1546" i="19"/>
  <c r="R20" i="19"/>
  <c r="R159" i="19"/>
  <c r="N778" i="19"/>
  <c r="R559" i="19"/>
  <c r="R1389" i="19"/>
  <c r="R520" i="19"/>
  <c r="R393" i="19"/>
  <c r="R1653" i="19"/>
  <c r="R1198" i="19"/>
  <c r="R1542" i="19"/>
  <c r="R727" i="19"/>
  <c r="R1952" i="19"/>
  <c r="R1318" i="19"/>
  <c r="N1150" i="19"/>
  <c r="N1643" i="19"/>
  <c r="R982" i="19"/>
  <c r="R190" i="19"/>
  <c r="R13" i="19"/>
  <c r="R2090" i="19"/>
  <c r="R1892" i="19"/>
  <c r="R292" i="19"/>
  <c r="R528" i="19"/>
  <c r="R699" i="19"/>
  <c r="R1190" i="19"/>
  <c r="N1301" i="19"/>
  <c r="N1762" i="19"/>
  <c r="N466" i="19"/>
  <c r="R128" i="19"/>
  <c r="R398" i="19"/>
  <c r="R1588" i="19"/>
  <c r="R1514" i="19"/>
  <c r="N251" i="19"/>
  <c r="N1614" i="19"/>
  <c r="N910" i="19"/>
  <c r="R644" i="19"/>
  <c r="R1824" i="19"/>
  <c r="R387" i="19"/>
  <c r="R107" i="19"/>
  <c r="R605" i="19"/>
  <c r="R1396" i="19"/>
  <c r="N293" i="19"/>
  <c r="N74" i="19"/>
  <c r="N1000" i="19"/>
  <c r="R54" i="19"/>
  <c r="R1926" i="19"/>
  <c r="R687" i="19"/>
  <c r="N897" i="19"/>
  <c r="N548" i="19"/>
  <c r="N527" i="19"/>
  <c r="R199" i="19"/>
  <c r="N1034" i="19"/>
  <c r="N359" i="19"/>
  <c r="R1473" i="19"/>
  <c r="R1276" i="19"/>
  <c r="R502" i="19"/>
  <c r="R1626" i="19"/>
  <c r="R993" i="19"/>
  <c r="N2116" i="19"/>
  <c r="N822" i="19"/>
  <c r="R1047" i="19"/>
  <c r="R1223" i="19"/>
  <c r="R1243" i="19"/>
  <c r="R1502" i="19"/>
  <c r="R1910" i="19"/>
  <c r="R121" i="19"/>
  <c r="N47" i="19"/>
  <c r="N1307" i="19"/>
  <c r="N700" i="19"/>
  <c r="N1688" i="19"/>
  <c r="R1069" i="19"/>
  <c r="R1056" i="19"/>
  <c r="R1338" i="19"/>
  <c r="R1450" i="19"/>
  <c r="R1731" i="19"/>
  <c r="N112" i="19"/>
  <c r="N199" i="19"/>
  <c r="N643" i="19"/>
  <c r="R124" i="19"/>
  <c r="R27" i="19"/>
  <c r="N1871" i="19"/>
  <c r="N1973" i="19"/>
  <c r="N1778" i="19"/>
  <c r="R50" i="19"/>
  <c r="N270" i="19"/>
  <c r="N715" i="19"/>
  <c r="R370" i="19"/>
  <c r="N844" i="19"/>
  <c r="N2280" i="19"/>
  <c r="R1248" i="19"/>
  <c r="N1654" i="19"/>
  <c r="N1810" i="19"/>
  <c r="N1474" i="19"/>
  <c r="N983" i="19"/>
  <c r="N1068" i="19"/>
  <c r="N1733" i="19"/>
  <c r="N1402" i="19"/>
  <c r="N685" i="19"/>
  <c r="N952" i="19"/>
  <c r="N448" i="19"/>
  <c r="N403" i="19"/>
  <c r="N868" i="19"/>
  <c r="N920" i="19"/>
  <c r="N2199" i="19"/>
  <c r="N1859" i="19"/>
  <c r="N853" i="19"/>
  <c r="N1088" i="19"/>
  <c r="N16" i="19"/>
  <c r="N2073" i="19"/>
  <c r="N289" i="19"/>
  <c r="N1804" i="19"/>
  <c r="N473" i="19"/>
  <c r="N555" i="19"/>
  <c r="N1826" i="19"/>
  <c r="N886" i="19"/>
  <c r="N1379" i="19"/>
  <c r="N2177" i="19"/>
  <c r="N913" i="19"/>
  <c r="N1466" i="19"/>
  <c r="N991" i="19"/>
  <c r="N1641" i="19"/>
  <c r="N2078" i="19"/>
  <c r="N2130" i="19"/>
  <c r="N1885" i="19"/>
  <c r="L5" i="16"/>
  <c r="K16" i="16"/>
  <c r="L30" i="16"/>
  <c r="R1594" i="19"/>
  <c r="R547" i="19"/>
  <c r="R874" i="19"/>
  <c r="R2214" i="19"/>
  <c r="R878" i="19"/>
  <c r="R1854" i="19"/>
  <c r="R251" i="19"/>
  <c r="R976" i="19"/>
  <c r="N851" i="19"/>
  <c r="R2072" i="19"/>
  <c r="R749" i="19"/>
  <c r="R1569" i="19"/>
  <c r="R51" i="19"/>
  <c r="R566" i="19"/>
  <c r="R1169" i="19"/>
  <c r="R1620" i="19"/>
  <c r="R5" i="19"/>
  <c r="N517" i="19"/>
  <c r="R1603" i="19"/>
  <c r="R865" i="19"/>
  <c r="R891" i="19"/>
  <c r="R1991" i="19"/>
  <c r="R2157" i="19"/>
  <c r="R1163" i="19"/>
  <c r="N228" i="19"/>
  <c r="R246" i="19"/>
  <c r="R396" i="19"/>
  <c r="R1130" i="19"/>
  <c r="R1227" i="19"/>
  <c r="R904" i="19"/>
  <c r="R30" i="19"/>
  <c r="R1885" i="19"/>
  <c r="R634" i="19"/>
  <c r="R1548" i="19"/>
  <c r="R1658" i="19"/>
  <c r="N1074" i="19"/>
  <c r="R1946" i="19"/>
  <c r="R2063" i="19"/>
  <c r="R144" i="19"/>
  <c r="R330" i="19"/>
  <c r="R1143" i="19"/>
  <c r="R1938" i="19"/>
  <c r="R1791" i="19"/>
  <c r="R804" i="19"/>
  <c r="N87" i="19"/>
  <c r="R1440" i="19"/>
  <c r="R1471" i="19"/>
  <c r="R1006" i="19"/>
  <c r="R706" i="19"/>
  <c r="R763" i="19"/>
  <c r="R584" i="19"/>
  <c r="R331" i="19"/>
  <c r="N284" i="19"/>
  <c r="R1827" i="19"/>
  <c r="R2362" i="19"/>
  <c r="R1592" i="19"/>
  <c r="R184" i="19"/>
  <c r="R2312" i="19"/>
  <c r="R1120" i="19"/>
  <c r="R67" i="19"/>
  <c r="R1172" i="19"/>
  <c r="R843" i="19"/>
  <c r="R1552" i="19"/>
  <c r="R1435" i="19"/>
  <c r="R570" i="19"/>
  <c r="R468" i="19"/>
  <c r="N43" i="19"/>
  <c r="R340" i="19"/>
  <c r="R642" i="19"/>
  <c r="R443" i="19"/>
  <c r="R2262" i="19"/>
  <c r="R1346" i="19"/>
  <c r="R35" i="19"/>
  <c r="R1687" i="19"/>
  <c r="R2219" i="19"/>
  <c r="R130" i="19"/>
  <c r="R430" i="19"/>
  <c r="R1647" i="19"/>
  <c r="N532" i="19"/>
  <c r="R126" i="19"/>
  <c r="R2155" i="19"/>
  <c r="R2221" i="19"/>
  <c r="R769" i="19"/>
  <c r="R142" i="19"/>
  <c r="R1453" i="19"/>
  <c r="R1880" i="19"/>
  <c r="R1540" i="19"/>
  <c r="R1474" i="19"/>
  <c r="N1460" i="19"/>
  <c r="N2098" i="19"/>
  <c r="R2029" i="19"/>
  <c r="R284" i="19"/>
  <c r="R1229" i="19"/>
  <c r="R1356" i="19"/>
  <c r="R206" i="19"/>
  <c r="R38" i="19"/>
  <c r="R280" i="19"/>
  <c r="R59" i="19"/>
  <c r="R1155" i="19"/>
  <c r="R1646" i="19"/>
  <c r="N793" i="19"/>
  <c r="N1448" i="19"/>
  <c r="R1729" i="19"/>
  <c r="R1194" i="19"/>
  <c r="R334" i="19"/>
  <c r="R1138" i="19"/>
  <c r="R118" i="19"/>
  <c r="R1761" i="19"/>
  <c r="R1928" i="19"/>
  <c r="R1547" i="19"/>
  <c r="R466" i="19"/>
  <c r="N175" i="19"/>
  <c r="N1573" i="19"/>
  <c r="N671" i="19"/>
  <c r="R228" i="19"/>
  <c r="R498" i="19"/>
  <c r="R2000" i="19"/>
  <c r="R436" i="19"/>
  <c r="N317" i="19"/>
  <c r="N464" i="19"/>
  <c r="N1426" i="19"/>
  <c r="R11" i="19"/>
  <c r="R1943" i="19"/>
  <c r="R855" i="19"/>
  <c r="R1836" i="19"/>
  <c r="R1691" i="19"/>
  <c r="R542" i="19"/>
  <c r="N145" i="19"/>
  <c r="N2278" i="19"/>
  <c r="N1882" i="19"/>
  <c r="R2243" i="19"/>
  <c r="R1797" i="19"/>
  <c r="R1470" i="19"/>
  <c r="N759" i="19"/>
  <c r="N5" i="19"/>
  <c r="N1023" i="19"/>
  <c r="R756" i="19"/>
  <c r="N850" i="19"/>
  <c r="N981" i="19"/>
  <c r="R158" i="19"/>
  <c r="R1615" i="19"/>
  <c r="R252" i="19"/>
  <c r="R938" i="19"/>
  <c r="R188" i="19"/>
  <c r="N29" i="19"/>
  <c r="N1026" i="19"/>
  <c r="R1134" i="19"/>
  <c r="R618" i="19"/>
  <c r="R364" i="19"/>
  <c r="R654" i="19"/>
  <c r="R676" i="19"/>
  <c r="R1968" i="19"/>
  <c r="N168" i="19"/>
  <c r="N404" i="19"/>
  <c r="N88" i="19"/>
  <c r="N2064" i="19"/>
  <c r="R1522" i="19"/>
  <c r="R707" i="19"/>
  <c r="R1406" i="19"/>
  <c r="R1826" i="19"/>
  <c r="R731" i="19"/>
  <c r="N144" i="19"/>
  <c r="N1917" i="19"/>
  <c r="N869" i="19"/>
  <c r="R1075" i="19"/>
  <c r="R1909" i="19"/>
  <c r="N954" i="19"/>
  <c r="N895" i="19"/>
  <c r="N2330" i="19"/>
  <c r="R1680" i="19"/>
  <c r="N1719" i="19"/>
  <c r="N944" i="19"/>
  <c r="N398" i="19"/>
  <c r="N408" i="19"/>
  <c r="N1246" i="19"/>
  <c r="R1074" i="19"/>
  <c r="N558" i="19"/>
  <c r="N741" i="19"/>
  <c r="N413" i="19"/>
  <c r="N340" i="19"/>
  <c r="N161" i="19"/>
  <c r="N1884" i="19"/>
  <c r="N445" i="19"/>
  <c r="N1647" i="19"/>
  <c r="N2069" i="19"/>
  <c r="N153" i="19"/>
  <c r="N1282" i="19"/>
  <c r="N2119" i="19"/>
  <c r="N1475" i="19"/>
  <c r="N257" i="19"/>
  <c r="N979" i="19"/>
  <c r="N789" i="19"/>
  <c r="N231" i="19"/>
  <c r="N650" i="19"/>
  <c r="N1086" i="19"/>
  <c r="N659" i="19"/>
  <c r="N1611" i="19"/>
  <c r="N260" i="19"/>
  <c r="N1042" i="19"/>
  <c r="N847" i="19"/>
  <c r="N1755" i="19"/>
  <c r="N1424" i="19"/>
  <c r="N1769" i="19"/>
  <c r="N1057" i="19"/>
  <c r="N1954" i="19"/>
  <c r="N1135" i="19"/>
  <c r="N2247" i="19"/>
  <c r="N1502" i="19"/>
  <c r="N573" i="19"/>
  <c r="N1102" i="19"/>
  <c r="L22" i="32"/>
  <c r="L4" i="32"/>
  <c r="L29" i="32"/>
  <c r="R2066" i="19"/>
  <c r="R1022" i="19"/>
  <c r="R1357" i="19"/>
  <c r="R301" i="19"/>
  <c r="R1110" i="19"/>
  <c r="R630" i="19"/>
  <c r="R1428" i="19"/>
  <c r="R1205" i="19"/>
  <c r="N1725" i="19"/>
  <c r="R2224" i="19"/>
  <c r="R1960" i="19"/>
  <c r="R1494" i="19"/>
  <c r="R1735" i="19"/>
  <c r="R1337" i="19"/>
  <c r="R56" i="19"/>
  <c r="R288" i="19"/>
  <c r="R1537" i="19"/>
  <c r="N2287" i="19"/>
  <c r="R1575" i="19"/>
  <c r="R2001" i="19"/>
  <c r="R1642" i="19"/>
  <c r="R1705" i="19"/>
  <c r="R1504" i="19"/>
  <c r="R1400" i="19"/>
  <c r="N31" i="19"/>
  <c r="R1717" i="19"/>
  <c r="R2325" i="19"/>
  <c r="R1527" i="19"/>
  <c r="R102" i="19"/>
  <c r="R1303" i="19"/>
  <c r="R1618" i="19"/>
  <c r="R229" i="19"/>
  <c r="R2003" i="19"/>
  <c r="R1819" i="19"/>
  <c r="R101" i="19"/>
  <c r="N1544" i="19"/>
  <c r="R2016" i="19"/>
  <c r="R1053" i="19"/>
  <c r="R1834" i="19"/>
  <c r="R2108" i="19"/>
  <c r="R1531" i="19"/>
  <c r="R1601" i="19"/>
  <c r="R944" i="19"/>
  <c r="R243" i="19"/>
  <c r="N399" i="19"/>
  <c r="R974" i="19"/>
  <c r="R1896" i="19"/>
  <c r="R1395" i="19"/>
  <c r="R1413" i="19"/>
  <c r="R770" i="19"/>
  <c r="R830" i="19"/>
  <c r="R1964" i="19"/>
  <c r="N814" i="19"/>
  <c r="R1433" i="19"/>
  <c r="R1360" i="19"/>
  <c r="R269" i="19"/>
  <c r="R1700" i="19"/>
  <c r="R966" i="19"/>
  <c r="R1734" i="19"/>
  <c r="R2318" i="19"/>
  <c r="R368" i="19"/>
  <c r="R1444" i="19"/>
  <c r="R1781" i="19"/>
  <c r="R125" i="19"/>
  <c r="R907" i="19"/>
  <c r="R1817" i="19"/>
  <c r="N409" i="19"/>
  <c r="R2328" i="19"/>
  <c r="R33" i="19"/>
  <c r="R2361" i="19"/>
  <c r="R464" i="19"/>
  <c r="R1145" i="19"/>
  <c r="R2081" i="19"/>
  <c r="R2354" i="19"/>
  <c r="R2205" i="19"/>
  <c r="R1500" i="19"/>
  <c r="R684" i="19"/>
  <c r="R1157" i="19"/>
  <c r="N609" i="19"/>
  <c r="R96" i="19"/>
  <c r="R2160" i="19"/>
  <c r="R210" i="19"/>
  <c r="R169" i="19"/>
  <c r="R696" i="19"/>
  <c r="R418" i="19"/>
  <c r="R590" i="19"/>
  <c r="R599" i="19"/>
  <c r="R428" i="19"/>
  <c r="N731" i="19"/>
  <c r="N581" i="19"/>
  <c r="R438" i="19"/>
  <c r="R1033" i="19"/>
  <c r="R74" i="19"/>
  <c r="R2106" i="19"/>
  <c r="R2167" i="19"/>
  <c r="R2367" i="19"/>
  <c r="R1462" i="19"/>
  <c r="R1058" i="19"/>
  <c r="R832" i="19"/>
  <c r="R597" i="19"/>
  <c r="N69" i="19"/>
  <c r="N1439" i="19"/>
  <c r="R467" i="19"/>
  <c r="R2073" i="19"/>
  <c r="R2121" i="19"/>
  <c r="R1387" i="19"/>
  <c r="R1825" i="19"/>
  <c r="R2280" i="19"/>
  <c r="R1160" i="19"/>
  <c r="R1801" i="19"/>
  <c r="R2229" i="19"/>
  <c r="N130" i="19"/>
  <c r="N1630" i="19"/>
  <c r="N2335" i="19"/>
  <c r="R1195" i="19"/>
  <c r="R223" i="19"/>
  <c r="R624" i="19"/>
  <c r="R2373" i="19"/>
  <c r="N627" i="19"/>
  <c r="N2008" i="19"/>
  <c r="N1053" i="19"/>
  <c r="R474" i="19"/>
  <c r="R672" i="19"/>
  <c r="R380" i="19"/>
  <c r="R1065" i="19"/>
  <c r="R1214" i="19"/>
  <c r="R237" i="19"/>
  <c r="N922" i="19"/>
  <c r="N907" i="19"/>
  <c r="N2017" i="19"/>
  <c r="R886" i="19"/>
  <c r="R1748" i="19"/>
  <c r="R1125" i="19"/>
  <c r="N1300" i="19"/>
  <c r="N80" i="19"/>
  <c r="N1921" i="19"/>
  <c r="R1341" i="19"/>
  <c r="N594" i="19"/>
  <c r="N598" i="19"/>
  <c r="R714" i="19"/>
  <c r="R1475" i="19"/>
  <c r="R439" i="19"/>
  <c r="R195" i="19"/>
  <c r="R22" i="19"/>
  <c r="N661" i="19"/>
  <c r="N2286" i="19"/>
  <c r="R89" i="19"/>
  <c r="R2298" i="19"/>
  <c r="R1990" i="19"/>
  <c r="R1631" i="19"/>
  <c r="R549" i="19"/>
  <c r="R2209" i="19"/>
  <c r="N1179" i="19"/>
  <c r="N196" i="19"/>
  <c r="N536" i="19"/>
  <c r="N1056" i="19"/>
  <c r="R1066" i="19"/>
  <c r="R2200" i="19"/>
  <c r="R1092" i="19"/>
  <c r="R420" i="19"/>
  <c r="R540" i="19"/>
  <c r="N19" i="19"/>
  <c r="N224" i="19"/>
  <c r="N898" i="19"/>
  <c r="R2013" i="19"/>
  <c r="R926" i="19"/>
  <c r="N386" i="19"/>
  <c r="N50" i="19"/>
  <c r="N2048" i="19"/>
  <c r="N361" i="19"/>
  <c r="N366" i="19"/>
  <c r="N1734" i="19"/>
  <c r="N748" i="19"/>
  <c r="N986" i="19"/>
  <c r="N2235" i="19"/>
  <c r="R1411" i="19"/>
  <c r="N1281" i="19"/>
  <c r="N1962" i="19"/>
  <c r="N1103" i="19"/>
  <c r="N1090" i="19"/>
  <c r="N431" i="19"/>
  <c r="N1299" i="19"/>
  <c r="N827" i="19"/>
  <c r="N187" i="19"/>
  <c r="N2370" i="19"/>
  <c r="N318" i="19"/>
  <c r="N1901" i="19"/>
  <c r="N980" i="19"/>
  <c r="N1983" i="19"/>
  <c r="N227" i="19"/>
  <c r="N1525" i="19"/>
  <c r="N1152" i="19"/>
  <c r="N622" i="19"/>
  <c r="N494" i="19"/>
  <c r="N1385" i="19"/>
  <c r="N329" i="19"/>
  <c r="N1822" i="19"/>
  <c r="N395" i="19"/>
  <c r="N2129" i="19"/>
  <c r="N1148" i="19"/>
  <c r="N1187" i="19"/>
  <c r="N2339" i="19"/>
  <c r="N1930" i="19"/>
  <c r="N1201" i="19"/>
  <c r="N2257" i="19"/>
  <c r="N2266" i="19"/>
  <c r="N1247" i="19"/>
  <c r="N1886" i="19"/>
  <c r="N1067" i="19"/>
  <c r="N2228" i="19"/>
  <c r="L36" i="16"/>
  <c r="K13" i="16"/>
  <c r="L41" i="32"/>
  <c r="R147" i="19"/>
  <c r="R392" i="19"/>
  <c r="N522" i="19"/>
  <c r="R2198" i="19"/>
  <c r="R1750" i="19"/>
  <c r="R2201" i="19"/>
  <c r="R1804" i="19"/>
  <c r="R2253" i="19"/>
  <c r="R1848" i="19"/>
  <c r="R2233" i="19"/>
  <c r="R1565" i="19"/>
  <c r="R1573" i="19"/>
  <c r="R1529" i="19"/>
  <c r="R1816" i="19"/>
  <c r="R1422" i="19"/>
  <c r="N1440" i="19"/>
  <c r="R213" i="19"/>
  <c r="R1945" i="19"/>
  <c r="R1279" i="19"/>
  <c r="R792" i="19"/>
  <c r="N176" i="19"/>
  <c r="R995" i="19"/>
  <c r="R1766" i="19"/>
  <c r="R833" i="19"/>
  <c r="N60" i="19"/>
  <c r="R1233" i="19"/>
  <c r="R192" i="19"/>
  <c r="R1390" i="19"/>
  <c r="R1079" i="19"/>
  <c r="R2178" i="19"/>
  <c r="R2181" i="19"/>
  <c r="N320" i="19"/>
  <c r="R2282" i="19"/>
  <c r="R2173" i="19"/>
  <c r="R326" i="19"/>
  <c r="R1688" i="19"/>
  <c r="R960" i="19"/>
  <c r="R18" i="19"/>
  <c r="R2022" i="19"/>
  <c r="R730" i="19"/>
  <c r="R225" i="19"/>
  <c r="R948" i="19"/>
  <c r="R697" i="19"/>
  <c r="R1755" i="19"/>
  <c r="R1059" i="19"/>
  <c r="R1050" i="19"/>
  <c r="R1694" i="19"/>
  <c r="R1088" i="19"/>
  <c r="R449" i="19"/>
  <c r="R1671" i="19"/>
  <c r="N1779" i="19"/>
  <c r="R2358" i="19"/>
  <c r="R361" i="19"/>
  <c r="R1103" i="19"/>
  <c r="R1126" i="19"/>
  <c r="R851" i="19"/>
  <c r="R764" i="19"/>
  <c r="R1577" i="19"/>
  <c r="R1108" i="19"/>
  <c r="N1869" i="19"/>
  <c r="R947" i="19"/>
  <c r="R541" i="19"/>
  <c r="R601" i="19"/>
  <c r="R162" i="19"/>
  <c r="R44" i="19"/>
  <c r="R69" i="19"/>
  <c r="N924" i="19"/>
  <c r="R2128" i="19"/>
  <c r="R1345" i="19"/>
  <c r="R406" i="19"/>
  <c r="R1485" i="19"/>
  <c r="R2176" i="19"/>
  <c r="R593" i="19"/>
  <c r="R1460" i="19"/>
  <c r="R344" i="19"/>
  <c r="R1721" i="19"/>
  <c r="R1724" i="19"/>
  <c r="N2167" i="19"/>
  <c r="R283" i="19"/>
  <c r="R1904" i="19"/>
  <c r="R2162" i="19"/>
  <c r="R320" i="19"/>
  <c r="R1720" i="19"/>
  <c r="R97" i="19"/>
  <c r="R1841" i="19"/>
  <c r="R1442" i="19"/>
  <c r="N1130" i="19"/>
  <c r="R1727" i="19"/>
  <c r="R71" i="19"/>
  <c r="R2307" i="19"/>
  <c r="R2039" i="19"/>
  <c r="R1852" i="19"/>
  <c r="R458" i="19"/>
  <c r="R1280" i="19"/>
  <c r="N549" i="19"/>
  <c r="R1740" i="19"/>
  <c r="R1843" i="19"/>
  <c r="R693" i="19"/>
  <c r="R1869" i="19"/>
  <c r="R2185" i="19"/>
  <c r="R1228" i="19"/>
  <c r="R332" i="19"/>
  <c r="R1005" i="19"/>
  <c r="R717" i="19"/>
  <c r="R1186" i="19"/>
  <c r="R931" i="19"/>
  <c r="R1283" i="19"/>
  <c r="R248" i="19"/>
  <c r="N565" i="19"/>
  <c r="R1513" i="19"/>
  <c r="R79" i="19"/>
  <c r="R1600" i="19"/>
  <c r="R748" i="19"/>
  <c r="R1847" i="19"/>
  <c r="R1857" i="19"/>
  <c r="R686" i="19"/>
  <c r="R1200" i="19"/>
  <c r="R2296" i="19"/>
  <c r="R592" i="19"/>
  <c r="R82" i="19"/>
  <c r="N483" i="19"/>
  <c r="R1972" i="19"/>
  <c r="R1386" i="19"/>
  <c r="R823" i="19"/>
  <c r="R2135" i="19"/>
  <c r="R2322" i="19"/>
  <c r="R2146" i="19"/>
  <c r="R383" i="19"/>
  <c r="R2118" i="19"/>
  <c r="R752" i="19"/>
  <c r="N1996" i="19"/>
  <c r="N605" i="19"/>
  <c r="R1957" i="19"/>
  <c r="R945" i="19"/>
  <c r="R1448" i="19"/>
  <c r="R656" i="19"/>
  <c r="R1161" i="19"/>
  <c r="R1317" i="19"/>
  <c r="R444" i="19"/>
  <c r="R34" i="19"/>
  <c r="R1888" i="19"/>
  <c r="R470" i="19"/>
  <c r="N387" i="19"/>
  <c r="N1072" i="19"/>
  <c r="R1252" i="19"/>
  <c r="R515" i="19"/>
  <c r="R155" i="19"/>
  <c r="R316" i="19"/>
  <c r="R2248" i="19"/>
  <c r="R2363" i="19"/>
  <c r="R81" i="19"/>
  <c r="R461" i="19"/>
  <c r="R994" i="19"/>
  <c r="N946" i="19"/>
  <c r="N204" i="19"/>
  <c r="N1578" i="19"/>
  <c r="R1912" i="19"/>
  <c r="R664" i="19"/>
  <c r="R1659" i="19"/>
  <c r="R685" i="19"/>
  <c r="N123" i="19"/>
  <c r="N373" i="19"/>
  <c r="N1497" i="19"/>
  <c r="R1083" i="19"/>
  <c r="R1376" i="19"/>
  <c r="R2346" i="19"/>
  <c r="R661" i="19"/>
  <c r="R785" i="19"/>
  <c r="R1506" i="19"/>
  <c r="N585" i="19"/>
  <c r="N304" i="19"/>
  <c r="R896" i="19"/>
  <c r="R1984" i="19"/>
  <c r="R1507" i="19"/>
  <c r="R1432" i="19"/>
  <c r="N456" i="19"/>
  <c r="N734" i="19"/>
  <c r="N1213" i="19"/>
  <c r="R829" i="19"/>
  <c r="N976" i="19"/>
  <c r="N440" i="19"/>
  <c r="R1232" i="19"/>
  <c r="R1165" i="19"/>
  <c r="R369" i="19"/>
  <c r="R452" i="19"/>
  <c r="R1417" i="19"/>
  <c r="N1422" i="19"/>
  <c r="N690" i="19"/>
  <c r="R1656" i="19"/>
  <c r="R773" i="19"/>
  <c r="R852" i="19"/>
  <c r="R1359" i="19"/>
  <c r="R346" i="19"/>
  <c r="R1309" i="19"/>
  <c r="N90" i="19"/>
  <c r="N863" i="19"/>
  <c r="N1241" i="19"/>
  <c r="N1003" i="19"/>
  <c r="R1127" i="19"/>
  <c r="R1099" i="19"/>
  <c r="R427" i="19"/>
  <c r="R260" i="19"/>
  <c r="R239" i="19"/>
  <c r="N243" i="19"/>
  <c r="N968" i="19"/>
  <c r="N2035" i="19"/>
  <c r="R1027" i="19"/>
  <c r="R728" i="19"/>
  <c r="N1700" i="19"/>
  <c r="N121" i="19"/>
  <c r="N1600" i="19"/>
  <c r="N103" i="19"/>
  <c r="N1230" i="19"/>
  <c r="N1912" i="19"/>
  <c r="N792" i="19"/>
  <c r="N1728" i="19"/>
  <c r="N1731" i="19"/>
  <c r="N182" i="19"/>
  <c r="N785" i="19"/>
  <c r="N1790" i="19"/>
  <c r="N201" i="19"/>
  <c r="N752" i="19"/>
  <c r="N1254" i="19"/>
  <c r="N1297" i="19"/>
  <c r="N2139" i="19"/>
  <c r="N1280" i="19"/>
  <c r="N1861" i="19"/>
  <c r="N1442" i="19"/>
  <c r="N1368" i="19"/>
  <c r="N368" i="19"/>
  <c r="N1327" i="19"/>
  <c r="N826" i="19"/>
  <c r="N1729" i="19"/>
  <c r="N948" i="19"/>
  <c r="N1048" i="19"/>
  <c r="N1343" i="19"/>
  <c r="N1722" i="19"/>
  <c r="N1484" i="19"/>
  <c r="N1652" i="19"/>
  <c r="N302" i="19"/>
  <c r="N708" i="19"/>
  <c r="N1483" i="19"/>
  <c r="N2259" i="19"/>
  <c r="N2117" i="19"/>
  <c r="N2224" i="19"/>
  <c r="N839" i="19"/>
  <c r="N1745" i="19"/>
  <c r="N200" i="19"/>
  <c r="N1296" i="19"/>
  <c r="N2050" i="19"/>
  <c r="N1146" i="19"/>
  <c r="N2331" i="19"/>
  <c r="M6" i="32"/>
  <c r="L9" i="16"/>
  <c r="K28" i="16"/>
  <c r="N524" i="19"/>
  <c r="N256" i="19"/>
  <c r="N2018" i="19"/>
  <c r="N1195" i="19"/>
  <c r="R816" i="19"/>
  <c r="R348" i="19"/>
  <c r="R2060" i="19"/>
  <c r="R165" i="19"/>
  <c r="N1847" i="19"/>
  <c r="N1234" i="19"/>
  <c r="N2201" i="19"/>
  <c r="R2340" i="19"/>
  <c r="R21" i="19"/>
  <c r="N7" i="19"/>
  <c r="N1498" i="19"/>
  <c r="N2277" i="19"/>
  <c r="R1737" i="19"/>
  <c r="R2319" i="19"/>
  <c r="R2080" i="19"/>
  <c r="R506" i="19"/>
  <c r="R1437" i="19"/>
  <c r="R1109" i="19"/>
  <c r="R495" i="19"/>
  <c r="R231" i="19"/>
  <c r="N1060" i="19"/>
  <c r="N367" i="19"/>
  <c r="N1976" i="19"/>
  <c r="R1375" i="19"/>
  <c r="R65" i="19"/>
  <c r="R564" i="19"/>
  <c r="R2336" i="19"/>
  <c r="R358" i="19"/>
  <c r="R2191" i="19"/>
  <c r="R171" i="19"/>
  <c r="R1234" i="19"/>
  <c r="N601" i="19"/>
  <c r="N1248" i="19"/>
  <c r="N892" i="19"/>
  <c r="N20" i="19"/>
  <c r="N258" i="19"/>
  <c r="N1542" i="19"/>
  <c r="R637" i="19"/>
  <c r="R2228" i="19"/>
  <c r="R91" i="19"/>
  <c r="R1149" i="19"/>
  <c r="R1516" i="19"/>
  <c r="R145" i="19"/>
  <c r="R998" i="19"/>
  <c r="N179" i="19"/>
  <c r="N883" i="19"/>
  <c r="N245" i="19"/>
  <c r="N709" i="19"/>
  <c r="N239" i="19"/>
  <c r="N1009" i="19"/>
  <c r="R2166" i="19"/>
  <c r="R1660" i="19"/>
  <c r="N1269" i="19"/>
  <c r="N30" i="19"/>
  <c r="N2033" i="19"/>
  <c r="N900" i="19"/>
  <c r="N1411" i="19"/>
  <c r="R1908" i="19"/>
  <c r="N670" i="19"/>
  <c r="N914" i="19"/>
  <c r="N1274" i="19"/>
  <c r="R62" i="19"/>
  <c r="N223" i="19"/>
  <c r="N1452" i="19"/>
  <c r="N728" i="19"/>
  <c r="N1789" i="19"/>
  <c r="R801" i="19"/>
  <c r="N1476" i="19"/>
  <c r="N1006" i="19"/>
  <c r="N2044" i="19"/>
  <c r="N777" i="19"/>
  <c r="N2001" i="19"/>
  <c r="N698" i="19"/>
  <c r="N1957" i="19"/>
  <c r="N1036" i="19"/>
  <c r="N1298" i="19"/>
  <c r="N1577" i="19"/>
  <c r="N1198" i="19"/>
  <c r="N40" i="19"/>
  <c r="N1324" i="19"/>
  <c r="N482" i="19"/>
  <c r="N380" i="19"/>
  <c r="N1939" i="19"/>
  <c r="N1313" i="19"/>
  <c r="N219" i="19"/>
  <c r="N2072" i="19"/>
  <c r="N2279" i="19"/>
  <c r="N493" i="19"/>
  <c r="N1450" i="19"/>
  <c r="N218" i="19"/>
  <c r="N1409" i="19"/>
  <c r="N2141" i="19"/>
  <c r="N436" i="19"/>
  <c r="N861" i="19"/>
  <c r="N2083" i="19"/>
  <c r="N2282" i="19"/>
  <c r="N1367" i="19"/>
  <c r="N2170" i="19"/>
  <c r="N1109" i="19"/>
  <c r="N696" i="19"/>
  <c r="N667" i="19"/>
  <c r="N2225" i="19"/>
  <c r="N1110" i="19"/>
  <c r="N1590" i="19"/>
  <c r="N1165" i="19"/>
  <c r="N1278" i="19"/>
  <c r="N1927" i="19"/>
  <c r="N1934" i="19"/>
  <c r="N1129" i="19"/>
  <c r="N1505" i="19"/>
  <c r="N1275" i="19"/>
  <c r="N1207" i="19"/>
  <c r="N1374" i="19"/>
  <c r="N1863" i="19"/>
  <c r="N1672" i="19"/>
  <c r="N1883" i="19"/>
  <c r="N1876" i="19"/>
  <c r="N1619" i="19"/>
  <c r="N3" i="19"/>
  <c r="L21" i="16"/>
  <c r="L26" i="32"/>
  <c r="M18" i="32"/>
  <c r="L18" i="16"/>
  <c r="N1433" i="19"/>
  <c r="R1093" i="19"/>
  <c r="R821" i="19"/>
  <c r="N1265" i="19"/>
  <c r="N796" i="19"/>
  <c r="N1648" i="19"/>
  <c r="R1898" i="19"/>
  <c r="R744" i="19"/>
  <c r="R737" i="19"/>
  <c r="R2329" i="19"/>
  <c r="R1995" i="19"/>
  <c r="R826" i="19"/>
  <c r="R451" i="19"/>
  <c r="N1634" i="19"/>
  <c r="N151" i="19"/>
  <c r="N1029" i="19"/>
  <c r="N2089" i="19"/>
  <c r="R532" i="19"/>
  <c r="R2326" i="19"/>
  <c r="R2034" i="19"/>
  <c r="R441" i="19"/>
  <c r="R1645" i="19"/>
  <c r="R1152" i="19"/>
  <c r="R1001" i="19"/>
  <c r="R1061" i="19"/>
  <c r="N568" i="19"/>
  <c r="N425" i="19"/>
  <c r="N620" i="19"/>
  <c r="N534" i="19"/>
  <c r="N610" i="19"/>
  <c r="N2164" i="19"/>
  <c r="R2087" i="19"/>
  <c r="R1962" i="19"/>
  <c r="R1226" i="19"/>
  <c r="R2057" i="19"/>
  <c r="R1535" i="19"/>
  <c r="R299" i="19"/>
  <c r="R304" i="19"/>
  <c r="N18" i="19"/>
  <c r="N308" i="19"/>
  <c r="N197" i="19"/>
  <c r="N114" i="19"/>
  <c r="N1226" i="19"/>
  <c r="R1179" i="19"/>
  <c r="R1769" i="19"/>
  <c r="R198" i="19"/>
  <c r="N79" i="19"/>
  <c r="N1372" i="19"/>
  <c r="N255" i="19"/>
  <c r="N905" i="19"/>
  <c r="R481" i="19"/>
  <c r="N362" i="19"/>
  <c r="N388" i="19"/>
  <c r="N1709" i="19"/>
  <c r="N1792" i="19"/>
  <c r="R1483" i="19"/>
  <c r="N49" i="19"/>
  <c r="N62" i="19"/>
  <c r="N951" i="19"/>
  <c r="R131" i="19"/>
  <c r="R200" i="19"/>
  <c r="N11" i="19"/>
  <c r="N68" i="19"/>
  <c r="N1834" i="19"/>
  <c r="N974" i="19"/>
  <c r="N363" i="19"/>
  <c r="N275" i="19"/>
  <c r="N34" i="19"/>
  <c r="N324" i="19"/>
  <c r="N1766" i="19"/>
  <c r="N292" i="19"/>
  <c r="N1289" i="19"/>
  <c r="N438" i="19"/>
  <c r="N2317" i="19"/>
  <c r="N596" i="19"/>
  <c r="N516" i="19"/>
  <c r="N703" i="19"/>
  <c r="N965" i="19"/>
  <c r="N1881" i="19"/>
  <c r="N2326" i="19"/>
  <c r="N864" i="19"/>
  <c r="N478" i="19"/>
  <c r="N1407" i="19"/>
  <c r="N719" i="19"/>
  <c r="N1961" i="19"/>
  <c r="N163" i="19"/>
  <c r="N1104" i="19"/>
  <c r="N309" i="19"/>
  <c r="N2299" i="19"/>
  <c r="N1984" i="19"/>
  <c r="N1031" i="19"/>
  <c r="N2055" i="19"/>
  <c r="N1626" i="19"/>
  <c r="N742" i="19"/>
  <c r="N1224" i="19"/>
  <c r="N2191" i="19"/>
  <c r="N1403" i="19"/>
  <c r="N1713" i="19"/>
  <c r="N1381" i="19"/>
  <c r="N1200" i="19"/>
  <c r="N921" i="19"/>
  <c r="N1047" i="19"/>
  <c r="N1273" i="19"/>
  <c r="N1738" i="19"/>
  <c r="N1004" i="19"/>
  <c r="N134" i="19"/>
  <c r="N520" i="19"/>
  <c r="N1658" i="19"/>
  <c r="N2030" i="19"/>
  <c r="N1016" i="19"/>
  <c r="N1370" i="19"/>
  <c r="N1899" i="19"/>
  <c r="M36" i="32"/>
  <c r="K11" i="16"/>
  <c r="K22" i="16"/>
  <c r="L6" i="16"/>
  <c r="L31" i="32"/>
  <c r="R755" i="19"/>
  <c r="N646" i="19"/>
  <c r="N100" i="19"/>
  <c r="N1204" i="19"/>
  <c r="R511" i="19"/>
  <c r="R741" i="19"/>
  <c r="R600" i="19"/>
  <c r="R554" i="19"/>
  <c r="R900" i="19"/>
  <c r="R503" i="19"/>
  <c r="R712" i="19"/>
  <c r="N214" i="19"/>
  <c r="N1061" i="19"/>
  <c r="N624" i="19"/>
  <c r="R1085" i="19"/>
  <c r="R1458" i="19"/>
  <c r="R426" i="19"/>
  <c r="R1314" i="19"/>
  <c r="R2071" i="19"/>
  <c r="R2347" i="19"/>
  <c r="R1793" i="19"/>
  <c r="R317" i="19"/>
  <c r="R1901" i="19"/>
  <c r="N307" i="19"/>
  <c r="N9" i="19"/>
  <c r="N1341" i="19"/>
  <c r="N1596" i="19"/>
  <c r="N1653" i="19"/>
  <c r="N1541" i="19"/>
  <c r="R835" i="19"/>
  <c r="R2032" i="19"/>
  <c r="R1051" i="19"/>
  <c r="R1259" i="19"/>
  <c r="R1115" i="19"/>
  <c r="R256" i="19"/>
  <c r="R1410" i="19"/>
  <c r="N343" i="19"/>
  <c r="N751" i="19"/>
  <c r="N593" i="19"/>
  <c r="N544" i="19"/>
  <c r="N1434" i="19"/>
  <c r="R963" i="19"/>
  <c r="R548" i="19"/>
  <c r="R232" i="19"/>
  <c r="N820" i="19"/>
  <c r="N117" i="19"/>
  <c r="N603" i="19"/>
  <c r="N1264" i="19"/>
  <c r="R663" i="19"/>
  <c r="N1431" i="19"/>
  <c r="N856" i="19"/>
  <c r="N303" i="19"/>
  <c r="N2145" i="19"/>
  <c r="R457" i="19"/>
  <c r="N775" i="19"/>
  <c r="N629" i="19"/>
  <c r="N298" i="19"/>
  <c r="R382" i="19"/>
  <c r="R83" i="19"/>
  <c r="N484" i="19"/>
  <c r="N365" i="19"/>
  <c r="N2269" i="19"/>
  <c r="N212" i="19"/>
  <c r="N679" i="19"/>
  <c r="N1263" i="19"/>
  <c r="N423" i="19"/>
  <c r="N684" i="19"/>
  <c r="N2125" i="19"/>
  <c r="N12" i="19"/>
  <c r="N1594" i="19"/>
  <c r="N772" i="19"/>
  <c r="N1314" i="19"/>
  <c r="N2052" i="19"/>
  <c r="N770" i="19"/>
  <c r="N1739" i="19"/>
  <c r="N1780" i="19"/>
  <c r="N52" i="19"/>
  <c r="N1373" i="19"/>
  <c r="N1458" i="19"/>
  <c r="N817" i="19"/>
  <c r="N1967" i="19"/>
  <c r="N1041" i="19"/>
  <c r="N1388" i="19"/>
  <c r="N393" i="19"/>
  <c r="N1878" i="19"/>
  <c r="N669" i="19"/>
  <c r="N1720" i="19"/>
  <c r="N931" i="19"/>
  <c r="N1514" i="19"/>
  <c r="N1329" i="19"/>
  <c r="N1816" i="19"/>
  <c r="N1178" i="19"/>
  <c r="N1808" i="19"/>
  <c r="N1557" i="19"/>
  <c r="N2054" i="19"/>
  <c r="N1610" i="19"/>
  <c r="N1501" i="19"/>
  <c r="N1462" i="19"/>
  <c r="N1473" i="19"/>
  <c r="N1660" i="19"/>
  <c r="N1345" i="19"/>
  <c r="N1950" i="19"/>
  <c r="N1344" i="19"/>
  <c r="N649" i="19"/>
  <c r="N664" i="19"/>
  <c r="N1797" i="19"/>
  <c r="N2318" i="19"/>
  <c r="N533" i="19"/>
  <c r="N1710" i="19"/>
  <c r="N2043" i="19"/>
  <c r="L35" i="16"/>
  <c r="K35" i="16"/>
  <c r="L14" i="32"/>
  <c r="L15" i="32"/>
  <c r="M27" i="32"/>
  <c r="R1178" i="19"/>
  <c r="N1235" i="19"/>
  <c r="N286" i="19"/>
  <c r="N566" i="19"/>
  <c r="R110" i="19"/>
  <c r="R2101" i="19"/>
  <c r="R1431" i="19"/>
  <c r="R586" i="19"/>
  <c r="R992" i="19"/>
  <c r="N61" i="19"/>
  <c r="N916" i="19"/>
  <c r="N1560" i="19"/>
  <c r="R336" i="19"/>
  <c r="R848" i="19"/>
  <c r="N183" i="19"/>
  <c r="N989" i="19"/>
  <c r="N1593" i="19"/>
  <c r="R1678" i="19"/>
  <c r="R496" i="19"/>
  <c r="R1467" i="19"/>
  <c r="R957" i="19"/>
  <c r="R2268" i="19"/>
  <c r="R177" i="19"/>
  <c r="R537" i="19"/>
  <c r="N2245" i="19"/>
  <c r="N768" i="19"/>
  <c r="N453" i="19"/>
  <c r="R405" i="19"/>
  <c r="R453" i="19"/>
  <c r="R759" i="19"/>
  <c r="R1616" i="19"/>
  <c r="R2338" i="19"/>
  <c r="R2145" i="19"/>
  <c r="R1488" i="19"/>
  <c r="R1175" i="19"/>
  <c r="R1580" i="19"/>
  <c r="N158" i="19"/>
  <c r="N282" i="19"/>
  <c r="N142" i="19"/>
  <c r="N232" i="19"/>
  <c r="N848" i="19"/>
  <c r="N2361" i="19"/>
  <c r="R688" i="19"/>
  <c r="R1523" i="19"/>
  <c r="R1520" i="19"/>
  <c r="R1524" i="19"/>
  <c r="R1128" i="19"/>
  <c r="R660" i="19"/>
  <c r="R2065" i="19"/>
  <c r="N372" i="19"/>
  <c r="N1767" i="19"/>
  <c r="N1566" i="19"/>
  <c r="N1260" i="19"/>
  <c r="N1918" i="19"/>
  <c r="R581" i="19"/>
  <c r="R1024" i="19"/>
  <c r="R951" i="19"/>
  <c r="N716" i="19"/>
  <c r="N472" i="19"/>
  <c r="N988" i="19"/>
  <c r="N1696" i="19"/>
  <c r="R1689" i="19"/>
  <c r="N714" i="19"/>
  <c r="N338" i="19"/>
  <c r="N1510" i="19"/>
  <c r="N1065" i="19"/>
  <c r="R161" i="19"/>
  <c r="N81" i="19"/>
  <c r="N1078" i="19"/>
  <c r="N975" i="19"/>
  <c r="R2041" i="19"/>
  <c r="R298" i="19"/>
  <c r="N904" i="19"/>
  <c r="N1172" i="19"/>
  <c r="N2341" i="19"/>
  <c r="N935" i="19"/>
  <c r="N1085" i="19"/>
  <c r="N2356" i="19"/>
  <c r="N702" i="19"/>
  <c r="N1019" i="19"/>
  <c r="N1093" i="19"/>
  <c r="N556" i="19"/>
  <c r="N106" i="19"/>
  <c r="N694" i="19"/>
  <c r="N2348" i="19"/>
  <c r="N149" i="19"/>
  <c r="N1064" i="19"/>
  <c r="N296" i="19"/>
  <c r="N2172" i="19"/>
  <c r="N234" i="19"/>
  <c r="N1979" i="19"/>
  <c r="N1875" i="19"/>
  <c r="N1915" i="19"/>
  <c r="N1850" i="19"/>
  <c r="N64" i="19"/>
  <c r="N2369" i="19"/>
  <c r="N740" i="19"/>
  <c r="N113" i="19"/>
  <c r="N889" i="19"/>
  <c r="N1998" i="19"/>
  <c r="N1255" i="19"/>
  <c r="N2075" i="19"/>
  <c r="N2126" i="19"/>
  <c r="N937" i="19"/>
  <c r="N2142" i="19"/>
  <c r="N28" i="19"/>
  <c r="N2066" i="19"/>
  <c r="N1384" i="19"/>
  <c r="N1835" i="19"/>
  <c r="N1597" i="19"/>
  <c r="N1724" i="19"/>
  <c r="N1283" i="19"/>
  <c r="N1806" i="19"/>
  <c r="N1417" i="19"/>
  <c r="N2192" i="19"/>
  <c r="N2007" i="19"/>
  <c r="N842" i="19"/>
  <c r="N808" i="19"/>
  <c r="N1941" i="19"/>
  <c r="N1099" i="19"/>
  <c r="N677" i="19"/>
  <c r="N1872" i="19"/>
  <c r="N2187" i="19"/>
  <c r="M8" i="32"/>
  <c r="L23" i="16"/>
  <c r="M15" i="32"/>
  <c r="L20" i="16"/>
  <c r="L3" i="16"/>
  <c r="N1405" i="19"/>
  <c r="R575" i="19"/>
  <c r="R1098" i="19"/>
  <c r="R839" i="19"/>
  <c r="R1436" i="19"/>
  <c r="N469" i="19"/>
  <c r="N377" i="19"/>
  <c r="N314" i="19"/>
  <c r="N1684" i="19"/>
  <c r="N2316" i="19"/>
  <c r="N2205" i="19"/>
  <c r="R1330" i="19"/>
  <c r="R1408" i="19"/>
  <c r="N166" i="19"/>
  <c r="N1412" i="19"/>
  <c r="N2106" i="19"/>
  <c r="N1736" i="19"/>
  <c r="N2092" i="19"/>
  <c r="R88" i="19"/>
  <c r="N1215" i="19"/>
  <c r="N402" i="19"/>
  <c r="N233" i="19"/>
  <c r="N160" i="19"/>
  <c r="N1320" i="19"/>
  <c r="R1478" i="19"/>
  <c r="R723" i="19"/>
  <c r="N885" i="19"/>
  <c r="N552" i="19"/>
  <c r="N379" i="19"/>
  <c r="N334" i="19"/>
  <c r="N959" i="19"/>
  <c r="N1938" i="19"/>
  <c r="N505" i="19"/>
  <c r="N523" i="19"/>
  <c r="N652" i="19"/>
  <c r="N2358" i="19"/>
  <c r="N1986" i="19"/>
  <c r="N686" i="19"/>
  <c r="N1972" i="19"/>
  <c r="N2216" i="19"/>
  <c r="N852" i="19"/>
  <c r="N1743" i="19"/>
  <c r="N434" i="19"/>
  <c r="N172" i="19"/>
  <c r="N1716" i="19"/>
  <c r="N2041" i="19"/>
  <c r="N1111" i="19"/>
  <c r="N810" i="19"/>
  <c r="N727" i="19"/>
  <c r="N206" i="19"/>
  <c r="N564" i="19"/>
  <c r="N1784" i="19"/>
  <c r="N1663" i="19"/>
  <c r="N485" i="19"/>
  <c r="N1366" i="19"/>
  <c r="N1011" i="19"/>
  <c r="N32" i="19"/>
  <c r="N993" i="19"/>
  <c r="N1244" i="19"/>
  <c r="N1488" i="19"/>
  <c r="N421" i="19"/>
  <c r="N1386" i="19"/>
  <c r="N2163" i="19"/>
  <c r="N997" i="19"/>
  <c r="N1898" i="19"/>
  <c r="N248" i="19"/>
  <c r="N1326" i="19"/>
  <c r="N1623" i="19"/>
  <c r="N2372" i="19"/>
  <c r="N1358" i="19"/>
  <c r="N2148" i="19"/>
  <c r="N322" i="19"/>
  <c r="N2051" i="19"/>
  <c r="N2100" i="19"/>
  <c r="N1153" i="19"/>
  <c r="N1378" i="19"/>
  <c r="N2061" i="19"/>
  <c r="N297" i="19"/>
  <c r="N638" i="19"/>
  <c r="N1703" i="19"/>
  <c r="N1646" i="19"/>
  <c r="N1586" i="19"/>
  <c r="N1416" i="19"/>
  <c r="N226" i="19"/>
  <c r="N1620" i="19"/>
  <c r="N1075" i="19"/>
  <c r="N1786" i="19"/>
  <c r="N1517" i="19"/>
  <c r="N1227" i="19"/>
  <c r="N2109" i="19"/>
  <c r="N1928" i="19"/>
  <c r="N1774" i="19"/>
  <c r="N2188" i="19"/>
  <c r="N1783" i="19"/>
  <c r="N2342" i="19"/>
  <c r="N704" i="19"/>
  <c r="N2099" i="19"/>
  <c r="N1259" i="19"/>
  <c r="N1171" i="19"/>
  <c r="N1671" i="19"/>
  <c r="N1349" i="19"/>
  <c r="N1506" i="19"/>
  <c r="N1936" i="19"/>
  <c r="N1681" i="19"/>
  <c r="L25" i="16"/>
  <c r="L32" i="16"/>
  <c r="K12" i="16"/>
  <c r="L39" i="16"/>
  <c r="L17" i="16"/>
  <c r="K23" i="16"/>
  <c r="N1446" i="19"/>
  <c r="N1908" i="19"/>
  <c r="N2312" i="19"/>
  <c r="R1151" i="19"/>
  <c r="R1561" i="19"/>
  <c r="R930" i="19"/>
  <c r="R2133" i="19"/>
  <c r="R244" i="19"/>
  <c r="R1307" i="19"/>
  <c r="R99" i="19"/>
  <c r="R972" i="19"/>
  <c r="N642" i="19"/>
  <c r="N1396" i="19"/>
  <c r="N962" i="19"/>
  <c r="N44" i="19"/>
  <c r="N589" i="19"/>
  <c r="N1750" i="19"/>
  <c r="N1759" i="19"/>
  <c r="R539" i="19"/>
  <c r="R1742" i="19"/>
  <c r="R1802" i="19"/>
  <c r="R509" i="19"/>
  <c r="N136" i="19"/>
  <c r="N838" i="19"/>
  <c r="N1066" i="19"/>
  <c r="N287" i="19"/>
  <c r="N656" i="19"/>
  <c r="N1612" i="19"/>
  <c r="R1543" i="19"/>
  <c r="R1336" i="19"/>
  <c r="N385" i="19"/>
  <c r="N129" i="19"/>
  <c r="N56" i="19"/>
  <c r="N345" i="19"/>
  <c r="N2252" i="19"/>
  <c r="R1104" i="19"/>
  <c r="N791" i="19"/>
  <c r="N956" i="19"/>
  <c r="N758" i="19"/>
  <c r="N570" i="19"/>
  <c r="N1820" i="19"/>
  <c r="R1501" i="19"/>
  <c r="R674" i="19"/>
  <c r="N426" i="19"/>
  <c r="N71" i="19"/>
  <c r="N2215" i="19"/>
  <c r="N744" i="19"/>
  <c r="N311" i="19"/>
  <c r="N1087" i="19"/>
  <c r="N63" i="19"/>
  <c r="N125" i="19"/>
  <c r="N1113" i="19"/>
  <c r="N93" i="19"/>
  <c r="N186" i="19"/>
  <c r="N1055" i="19"/>
  <c r="N1125" i="19"/>
  <c r="N1305" i="19"/>
  <c r="N1032" i="19"/>
  <c r="N137" i="19"/>
  <c r="N369" i="19"/>
  <c r="N569" i="19"/>
  <c r="N283" i="19"/>
  <c r="N2303" i="19"/>
  <c r="N1303" i="19"/>
  <c r="N443" i="19"/>
  <c r="N66" i="19"/>
  <c r="N422" i="19"/>
  <c r="N1328" i="19"/>
  <c r="N1478" i="19"/>
  <c r="N1509" i="19"/>
  <c r="N1143" i="19"/>
  <c r="N2264" i="19"/>
  <c r="N1787" i="19"/>
  <c r="N165" i="19"/>
  <c r="N242" i="19"/>
  <c r="N468" i="19"/>
  <c r="N2022" i="19"/>
  <c r="N887" i="19"/>
  <c r="N1940" i="19"/>
  <c r="N2080" i="19"/>
  <c r="N1339" i="19"/>
  <c r="N86" i="19"/>
  <c r="N604" i="19"/>
  <c r="N2019" i="19"/>
  <c r="N586" i="19"/>
  <c r="N2114" i="19"/>
  <c r="N1613" i="19"/>
  <c r="N870" i="19"/>
  <c r="N512" i="19"/>
  <c r="N2143" i="19"/>
  <c r="N1094" i="19"/>
  <c r="N1261" i="19"/>
  <c r="N354" i="19"/>
  <c r="N133" i="19"/>
  <c r="N950" i="19"/>
  <c r="N1145" i="19"/>
  <c r="N2238" i="19"/>
  <c r="N1823" i="19"/>
  <c r="N1966" i="19"/>
  <c r="N1704" i="19"/>
  <c r="N442" i="19"/>
  <c r="N1923" i="19"/>
  <c r="N1183" i="19"/>
  <c r="N2081" i="19"/>
  <c r="N1721" i="19"/>
  <c r="N1397" i="19"/>
  <c r="N2253" i="19"/>
  <c r="N2333" i="19"/>
  <c r="N2002" i="19"/>
  <c r="N2345" i="19"/>
  <c r="N1855" i="19"/>
  <c r="N194" i="19"/>
  <c r="N877" i="19"/>
  <c r="N2349" i="19"/>
  <c r="N1436" i="19"/>
  <c r="N1243" i="19"/>
  <c r="N2237" i="19"/>
  <c r="N1690" i="19"/>
  <c r="N1695" i="19"/>
  <c r="N2093" i="19"/>
  <c r="N1753" i="19"/>
  <c r="M17" i="32"/>
  <c r="L14" i="16"/>
  <c r="K7" i="16"/>
  <c r="M23" i="32"/>
  <c r="L17" i="32"/>
  <c r="K17" i="16"/>
  <c r="R1188" i="19"/>
  <c r="R1245" i="19"/>
  <c r="R1270" i="19"/>
  <c r="R762" i="19"/>
  <c r="R247" i="19"/>
  <c r="N654" i="19"/>
  <c r="N1943" i="19"/>
  <c r="N209" i="19"/>
  <c r="N718" i="19"/>
  <c r="N1827" i="19"/>
  <c r="N1220" i="19"/>
  <c r="R680" i="19"/>
  <c r="R163" i="19"/>
  <c r="N192" i="19"/>
  <c r="N487" i="19"/>
  <c r="N271" i="19"/>
  <c r="N909" i="19"/>
  <c r="N1636" i="19"/>
  <c r="R1738" i="19"/>
  <c r="N539" i="19"/>
  <c r="N2324" i="19"/>
  <c r="N2221" i="19"/>
  <c r="N1491" i="19"/>
  <c r="N1073" i="19"/>
  <c r="R1118" i="19"/>
  <c r="R544" i="19"/>
  <c r="N1631" i="19"/>
  <c r="N96" i="19"/>
  <c r="N1527" i="19"/>
  <c r="N1935" i="19"/>
  <c r="N992" i="19"/>
  <c r="N1441" i="19"/>
  <c r="N1546" i="19"/>
  <c r="N779" i="19"/>
  <c r="N54" i="19"/>
  <c r="N294" i="19"/>
  <c r="N391" i="19"/>
  <c r="N1694" i="19"/>
  <c r="N1287" i="19"/>
  <c r="N1889" i="19"/>
  <c r="N644" i="19"/>
  <c r="N457" i="19"/>
  <c r="N713" i="19"/>
  <c r="N2014" i="19"/>
  <c r="N551" i="19"/>
  <c r="N1742" i="19"/>
  <c r="N1453" i="19"/>
  <c r="N766" i="19"/>
  <c r="N1317" i="19"/>
  <c r="N693" i="19"/>
  <c r="N1206" i="19"/>
  <c r="N1931" i="19"/>
  <c r="N2175" i="19"/>
  <c r="N463" i="19"/>
  <c r="N1380" i="19"/>
  <c r="N973" i="19"/>
  <c r="N341" i="19"/>
  <c r="N502" i="19"/>
  <c r="N1124" i="19"/>
  <c r="N1024" i="19"/>
  <c r="N2310" i="19"/>
  <c r="N394" i="19"/>
  <c r="N1415" i="19"/>
  <c r="N1893" i="19"/>
  <c r="N315" i="19"/>
  <c r="N1552" i="19"/>
  <c r="N122" i="19"/>
  <c r="N802" i="19"/>
  <c r="N1793" i="19"/>
  <c r="N1809" i="19"/>
  <c r="N22" i="19"/>
  <c r="N682" i="19"/>
  <c r="N1175" i="19"/>
  <c r="N1904" i="19"/>
  <c r="N1369" i="19"/>
  <c r="N2032" i="19"/>
  <c r="N295" i="19"/>
  <c r="N1406" i="19"/>
  <c r="N396" i="19"/>
  <c r="N1218" i="19"/>
  <c r="N2015" i="19"/>
  <c r="N2373" i="19"/>
  <c r="N2070" i="19"/>
  <c r="N658" i="19"/>
  <c r="N2262" i="19"/>
  <c r="N1291" i="19"/>
  <c r="N2354" i="19"/>
  <c r="N1840" i="19"/>
  <c r="N1574" i="19"/>
  <c r="N6" i="19"/>
  <c r="N1293" i="19"/>
  <c r="N2217" i="19"/>
  <c r="N1070" i="19"/>
  <c r="N1978" i="19"/>
  <c r="N360" i="19"/>
  <c r="N1058" i="19"/>
  <c r="N1524" i="19"/>
  <c r="N1606" i="19"/>
  <c r="N1315" i="19"/>
  <c r="N348" i="19"/>
  <c r="N2131" i="19"/>
  <c r="N1856" i="19"/>
  <c r="N2274" i="19"/>
  <c r="N1825" i="19"/>
  <c r="L13" i="16"/>
  <c r="M25" i="32"/>
  <c r="K6" i="16"/>
  <c r="K40" i="16"/>
  <c r="K26" i="16"/>
  <c r="L23" i="32"/>
  <c r="N906" i="19"/>
  <c r="N843" i="19"/>
  <c r="N2025" i="19"/>
  <c r="R1640" i="19"/>
  <c r="R329" i="19"/>
  <c r="R1923" i="19"/>
  <c r="R2281" i="19"/>
  <c r="R1929" i="19"/>
  <c r="R1339" i="19"/>
  <c r="R871" i="19"/>
  <c r="R115" i="19"/>
  <c r="R671" i="19"/>
  <c r="N788" i="19"/>
  <c r="N490" i="19"/>
  <c r="N635" i="19"/>
  <c r="N595" i="19"/>
  <c r="N274" i="19"/>
  <c r="N2307" i="19"/>
  <c r="R894" i="19"/>
  <c r="R1000" i="19"/>
  <c r="R733" i="19"/>
  <c r="R991" i="19"/>
  <c r="R640" i="19"/>
  <c r="N280" i="19"/>
  <c r="N323" i="19"/>
  <c r="N637" i="19"/>
  <c r="N1485" i="19"/>
  <c r="N876" i="19"/>
  <c r="N2211" i="19"/>
  <c r="R1730" i="19"/>
  <c r="R416" i="19"/>
  <c r="N1007" i="19"/>
  <c r="N996" i="19"/>
  <c r="N613" i="19"/>
  <c r="N237" i="19"/>
  <c r="N2227" i="19"/>
  <c r="R1146" i="19"/>
  <c r="N190" i="19"/>
  <c r="N349" i="19"/>
  <c r="N410" i="19"/>
  <c r="N633" i="19"/>
  <c r="N2319" i="19"/>
  <c r="R431" i="19"/>
  <c r="R16" i="19"/>
  <c r="N819" i="19"/>
  <c r="N92" i="19"/>
  <c r="N246" i="19"/>
  <c r="N173" i="19"/>
  <c r="N1670" i="19"/>
  <c r="N1837" i="19"/>
  <c r="N953" i="19"/>
  <c r="N1335" i="19"/>
  <c r="N419" i="19"/>
  <c r="N498" i="19"/>
  <c r="N675" i="19"/>
  <c r="N538" i="19"/>
  <c r="N2012" i="19"/>
  <c r="N939" i="19"/>
  <c r="N84" i="19"/>
  <c r="N794" i="19"/>
  <c r="N55" i="19"/>
  <c r="N406" i="19"/>
  <c r="N787" i="19"/>
  <c r="N1470" i="19"/>
  <c r="N1657" i="19"/>
  <c r="N2212" i="19"/>
  <c r="N132" i="19"/>
  <c r="N970" i="19"/>
  <c r="N2009" i="19"/>
  <c r="N912" i="19"/>
  <c r="N389" i="19"/>
  <c r="N1764" i="19"/>
  <c r="N2132" i="19"/>
  <c r="N1123" i="19"/>
  <c r="N577" i="19"/>
  <c r="N1160" i="19"/>
  <c r="N2294" i="19"/>
  <c r="N1482" i="19"/>
  <c r="N273" i="19"/>
  <c r="N597" i="19"/>
  <c r="N1697" i="19"/>
  <c r="N663" i="19"/>
  <c r="N626" i="19"/>
  <c r="N1712" i="19"/>
  <c r="N321" i="19"/>
  <c r="N1539" i="19"/>
  <c r="N1814" i="19"/>
  <c r="N1992" i="19"/>
  <c r="N115" i="19"/>
  <c r="N896" i="19"/>
  <c r="N1907" i="19"/>
  <c r="N1390" i="19"/>
  <c r="N1477" i="19"/>
  <c r="N110" i="19"/>
  <c r="N460" i="19"/>
  <c r="N148" i="19"/>
  <c r="N1158" i="19"/>
  <c r="N1563" i="19"/>
  <c r="N2290" i="19"/>
  <c r="N1800" i="19"/>
  <c r="N2368" i="19"/>
  <c r="N891" i="19"/>
  <c r="N1682" i="19"/>
  <c r="N1399" i="19"/>
  <c r="N1342" i="19"/>
  <c r="N2026" i="19"/>
  <c r="N1744" i="19"/>
  <c r="N695" i="19"/>
  <c r="N1828" i="19"/>
  <c r="N1540" i="19"/>
  <c r="N1240" i="19"/>
  <c r="N2122" i="19"/>
  <c r="N529" i="19"/>
  <c r="N1334" i="19"/>
  <c r="N1877" i="19"/>
  <c r="N1913" i="19"/>
  <c r="N1387" i="19"/>
  <c r="N492" i="19"/>
  <c r="N1217" i="19"/>
  <c r="N2150" i="19"/>
  <c r="N998" i="19"/>
  <c r="N1919" i="19"/>
  <c r="K39" i="16"/>
  <c r="L21" i="32"/>
  <c r="L38" i="32"/>
  <c r="L37" i="16"/>
  <c r="K41" i="16"/>
  <c r="K34" i="16"/>
  <c r="R668" i="19"/>
  <c r="N721" i="19"/>
  <c r="N2136" i="19"/>
  <c r="N221" i="19"/>
  <c r="N726" i="19"/>
  <c r="N1903" i="19"/>
  <c r="N1233" i="19"/>
  <c r="R1988" i="19"/>
  <c r="N1511" i="19"/>
  <c r="N481" i="19"/>
  <c r="N530" i="19"/>
  <c r="N1799" i="19"/>
  <c r="N154" i="19"/>
  <c r="N1775" i="19"/>
  <c r="N1435" i="19"/>
  <c r="R2222" i="19"/>
  <c r="R1497" i="19"/>
  <c r="N1924" i="19"/>
  <c r="N809" i="19"/>
  <c r="N859" i="19"/>
  <c r="N647" i="19"/>
  <c r="N392" i="19"/>
  <c r="N1107" i="19"/>
  <c r="R471" i="19"/>
  <c r="N316" i="19"/>
  <c r="N1592" i="19"/>
  <c r="N797" i="19"/>
  <c r="N45" i="19"/>
  <c r="N1902" i="19"/>
  <c r="N1533" i="19"/>
  <c r="N276" i="19"/>
  <c r="N1708" i="19"/>
  <c r="N2300" i="19"/>
  <c r="N1447" i="19"/>
  <c r="N583" i="19"/>
  <c r="N390" i="19"/>
  <c r="N1316" i="19"/>
  <c r="N350" i="19"/>
  <c r="N1914" i="19"/>
  <c r="N2011" i="19"/>
  <c r="N1824" i="19"/>
  <c r="N1818" i="19"/>
  <c r="N1197" i="19"/>
  <c r="N1350" i="19"/>
  <c r="N578" i="19"/>
  <c r="N447" i="19"/>
  <c r="N2029" i="19"/>
  <c r="N2375" i="19"/>
  <c r="N198" i="19"/>
  <c r="N790" i="19"/>
  <c r="N455" i="19"/>
  <c r="N1337" i="19"/>
  <c r="N1873" i="19"/>
  <c r="N1529" i="19"/>
  <c r="N798" i="19"/>
  <c r="N2071" i="19"/>
  <c r="N1988" i="19"/>
  <c r="N1880" i="19"/>
  <c r="N1994" i="19"/>
  <c r="N553" i="19"/>
  <c r="N2013" i="19"/>
  <c r="N1189" i="19"/>
  <c r="N1169" i="19"/>
  <c r="N804" i="19"/>
  <c r="N588" i="19"/>
  <c r="N1018" i="19"/>
  <c r="N1108" i="19"/>
  <c r="N1666" i="19"/>
  <c r="N1377" i="19"/>
  <c r="N1471" i="19"/>
  <c r="N871" i="19"/>
  <c r="N625" i="19"/>
  <c r="N1499" i="19"/>
  <c r="N2374" i="19"/>
  <c r="N2267" i="19"/>
  <c r="N784" i="19"/>
  <c r="N1844" i="19"/>
  <c r="N1173" i="19"/>
  <c r="N2124" i="19"/>
  <c r="N841" i="19"/>
  <c r="N1562" i="19"/>
  <c r="N1432" i="19"/>
  <c r="N2010" i="19"/>
  <c r="N1569" i="19"/>
  <c r="N2229" i="19"/>
  <c r="N1142" i="19"/>
  <c r="N1813" i="19"/>
  <c r="N2248" i="19"/>
  <c r="N1865" i="19"/>
  <c r="N1852" i="19"/>
  <c r="N2251" i="19"/>
  <c r="N1570" i="19"/>
  <c r="N1116" i="19"/>
  <c r="N1942" i="19"/>
  <c r="N1830" i="19"/>
  <c r="N1561" i="19"/>
  <c r="N1120" i="19"/>
  <c r="N2097" i="19"/>
  <c r="N1629" i="19"/>
  <c r="N1479" i="19"/>
  <c r="N1410" i="19"/>
  <c r="N1351" i="19"/>
  <c r="N1080" i="19"/>
  <c r="N712" i="19"/>
  <c r="N1257" i="19"/>
  <c r="N1445" i="19"/>
  <c r="N2091" i="19"/>
  <c r="N1550" i="19"/>
  <c r="N1794" i="19"/>
  <c r="N1459" i="19"/>
  <c r="N207" i="19"/>
  <c r="N821" i="19"/>
  <c r="N1607" i="19"/>
  <c r="N2360" i="19"/>
  <c r="N1157" i="19"/>
  <c r="N1168" i="19"/>
  <c r="N1249" i="19"/>
  <c r="L25" i="32"/>
  <c r="L22" i="16"/>
  <c r="L5" i="32"/>
  <c r="K4" i="16"/>
  <c r="L16" i="32"/>
  <c r="L26" i="16"/>
  <c r="L27" i="16"/>
  <c r="L35" i="32"/>
  <c r="L37" i="32"/>
  <c r="L11" i="32"/>
  <c r="N1746" i="19"/>
  <c r="N2226" i="19"/>
  <c r="N1608" i="19"/>
  <c r="N1650" i="19"/>
  <c r="N1430" i="19"/>
  <c r="N855" i="19"/>
  <c r="N1222" i="19"/>
  <c r="N2185" i="19"/>
  <c r="N2056" i="19"/>
  <c r="N331" i="19"/>
  <c r="N2021" i="19"/>
  <c r="N1752" i="19"/>
  <c r="N2197" i="19"/>
  <c r="N1953" i="19"/>
  <c r="N1777" i="19"/>
  <c r="N1522" i="19"/>
  <c r="N1106" i="19"/>
  <c r="N1167" i="19"/>
  <c r="N1683" i="19"/>
  <c r="N1587" i="19"/>
  <c r="N1567" i="19"/>
  <c r="N1668" i="19"/>
  <c r="N930" i="19"/>
  <c r="N272" i="19"/>
  <c r="N1817" i="19"/>
  <c r="N1005" i="19"/>
  <c r="N2084" i="19"/>
  <c r="N1897" i="19"/>
  <c r="N1531" i="19"/>
  <c r="N720" i="19"/>
  <c r="N990" i="19"/>
  <c r="N2005" i="19"/>
  <c r="N2104" i="19"/>
  <c r="N1361" i="19"/>
  <c r="N1338" i="19"/>
  <c r="N1465" i="19"/>
  <c r="M11" i="32"/>
  <c r="M4" i="32"/>
  <c r="L16" i="16"/>
  <c r="L15" i="16"/>
  <c r="K36" i="16"/>
  <c r="K31" i="16"/>
  <c r="M32" i="32"/>
  <c r="K24" i="16"/>
  <c r="L24" i="32"/>
  <c r="L41" i="16"/>
  <c r="R854" i="19"/>
  <c r="R455" i="19"/>
  <c r="N1010" i="19"/>
  <c r="N811" i="19"/>
  <c r="N2105" i="19"/>
  <c r="N147" i="19"/>
  <c r="N259" i="19"/>
  <c r="N1718" i="19"/>
  <c r="R1351" i="19"/>
  <c r="N157" i="19"/>
  <c r="N1864" i="19"/>
  <c r="N299" i="19"/>
  <c r="N326" i="19"/>
  <c r="N1785" i="19"/>
  <c r="N2156" i="19"/>
  <c r="R349" i="19"/>
  <c r="R1914" i="19"/>
  <c r="R1101" i="19"/>
  <c r="N611" i="19"/>
  <c r="N526" i="19"/>
  <c r="N503" i="19"/>
  <c r="N1803" i="19"/>
  <c r="N263" i="19"/>
  <c r="N2289" i="19"/>
  <c r="N264" i="19"/>
  <c r="N509" i="19"/>
  <c r="N417" i="19"/>
  <c r="N325" i="19"/>
  <c r="N683" i="19"/>
  <c r="N342" i="19"/>
  <c r="N180" i="19"/>
  <c r="N754" i="19"/>
  <c r="N1993" i="19"/>
  <c r="N1798" i="19"/>
  <c r="N1843" i="19"/>
  <c r="N495" i="19"/>
  <c r="N162" i="19"/>
  <c r="N301" i="19"/>
  <c r="N805" i="19"/>
  <c r="N1112" i="19"/>
  <c r="N1311" i="19"/>
  <c r="N1318" i="19"/>
  <c r="N356" i="19"/>
  <c r="N217" i="19"/>
  <c r="N382" i="19"/>
  <c r="N2176" i="19"/>
  <c r="N1127" i="19"/>
  <c r="N1332" i="19"/>
  <c r="N1456" i="19"/>
  <c r="N587" i="19"/>
  <c r="N2153" i="19"/>
  <c r="N1916" i="19"/>
  <c r="N1017" i="19"/>
  <c r="N449" i="19"/>
  <c r="N630" i="19"/>
  <c r="N2208" i="19"/>
  <c r="N756" i="19"/>
  <c r="N1030" i="19"/>
  <c r="N1576" i="19"/>
  <c r="N266" i="19"/>
  <c r="N501" i="19"/>
  <c r="N2016" i="19"/>
  <c r="N1543" i="19"/>
  <c r="N845" i="19"/>
  <c r="N1419" i="19"/>
  <c r="N1126" i="19"/>
  <c r="N499" i="19"/>
  <c r="N2152" i="19"/>
  <c r="N1202" i="19"/>
  <c r="N1096" i="19"/>
  <c r="N1687" i="19"/>
  <c r="N2045" i="19"/>
  <c r="N2210" i="19"/>
  <c r="N2313" i="19"/>
  <c r="N1408" i="19"/>
  <c r="N1045" i="19"/>
  <c r="N33" i="19"/>
  <c r="N38" i="19"/>
  <c r="N265" i="19"/>
  <c r="N337" i="19"/>
  <c r="N1689" i="19"/>
  <c r="N2077" i="19"/>
  <c r="N1933" i="19"/>
  <c r="N943" i="19"/>
  <c r="N2189" i="19"/>
  <c r="N1857" i="19"/>
  <c r="N1659" i="19"/>
  <c r="N1221" i="19"/>
  <c r="N1637" i="19"/>
  <c r="N899" i="19"/>
  <c r="N2272" i="19"/>
  <c r="N475" i="19"/>
  <c r="N2309" i="19"/>
  <c r="N1990" i="19"/>
  <c r="N984" i="19"/>
  <c r="N2133" i="19"/>
  <c r="N1849" i="19"/>
  <c r="N1970" i="19"/>
  <c r="N1354" i="19"/>
  <c r="N1365" i="19"/>
  <c r="N1815" i="19"/>
  <c r="N1751" i="19"/>
  <c r="N1639" i="19"/>
  <c r="N2234" i="19"/>
  <c r="N1310" i="19"/>
  <c r="N416" i="19"/>
  <c r="N2202" i="19"/>
  <c r="N1262" i="19"/>
  <c r="N2301" i="19"/>
  <c r="N2062" i="19"/>
  <c r="N1603" i="19"/>
  <c r="N940" i="19"/>
  <c r="N1319" i="19"/>
  <c r="N2263" i="19"/>
  <c r="N1013" i="19"/>
  <c r="N1565" i="19"/>
  <c r="N1515" i="19"/>
  <c r="N1537" i="19"/>
  <c r="K19" i="16"/>
  <c r="L28" i="32"/>
  <c r="M37" i="32"/>
  <c r="M7" i="32"/>
  <c r="K14" i="16"/>
  <c r="L39" i="32"/>
  <c r="L10" i="32"/>
  <c r="M16" i="32"/>
  <c r="L32" i="32"/>
  <c r="M40" i="32"/>
  <c r="N1347" i="19"/>
  <c r="N2281" i="19"/>
  <c r="N1159" i="19"/>
  <c r="N1212" i="19"/>
  <c r="N2120" i="19"/>
  <c r="N2039" i="19"/>
  <c r="N1796" i="19"/>
  <c r="N1982" i="19"/>
  <c r="N1503" i="19"/>
  <c r="N967" i="19"/>
  <c r="N619" i="19"/>
  <c r="N1392" i="19"/>
  <c r="N2193" i="19"/>
  <c r="N1161" i="19"/>
  <c r="N1951" i="19"/>
  <c r="N1965" i="19"/>
  <c r="N2270" i="19"/>
  <c r="N2038" i="19"/>
  <c r="N1601" i="19"/>
  <c r="N1980" i="19"/>
  <c r="N1968" i="19"/>
  <c r="N1711" i="19"/>
  <c r="N70" i="19"/>
  <c r="N2209" i="19"/>
  <c r="N560" i="19"/>
  <c r="N1119" i="19"/>
  <c r="N1686" i="19"/>
  <c r="N1089" i="19"/>
  <c r="N2219" i="19"/>
  <c r="N1747" i="19"/>
  <c r="N1348" i="19"/>
  <c r="N1776" i="19"/>
  <c r="N1496" i="19"/>
  <c r="N1270" i="19"/>
  <c r="N1772" i="19"/>
  <c r="N1802" i="19"/>
  <c r="N1609" i="19"/>
  <c r="M38" i="32"/>
  <c r="M12" i="32"/>
  <c r="L12" i="16"/>
  <c r="L10" i="16"/>
  <c r="K30" i="16"/>
  <c r="K38" i="16"/>
  <c r="K15" i="16"/>
  <c r="M20" i="32"/>
  <c r="L11" i="16"/>
  <c r="K37" i="16"/>
  <c r="N210" i="19"/>
  <c r="N450" i="19"/>
  <c r="N83" i="19"/>
  <c r="N65" i="19"/>
  <c r="N8" i="19"/>
  <c r="N1188" i="19"/>
  <c r="N1082" i="19"/>
  <c r="N723" i="19"/>
  <c r="N1625" i="19"/>
  <c r="N1960" i="19"/>
  <c r="N2233" i="19"/>
  <c r="N471" i="19"/>
  <c r="N353" i="19"/>
  <c r="N818" i="19"/>
  <c r="N358" i="19"/>
  <c r="N213" i="19"/>
  <c r="N800" i="19"/>
  <c r="N2067" i="19"/>
  <c r="N1833" i="19"/>
  <c r="N1513" i="19"/>
  <c r="N2256" i="19"/>
  <c r="N220" i="19"/>
  <c r="N2049" i="19"/>
  <c r="N2058" i="19"/>
  <c r="N1469" i="19"/>
  <c r="N771" i="19"/>
  <c r="N1121" i="19"/>
  <c r="N711" i="19"/>
  <c r="N1294" i="19"/>
  <c r="N1308" i="19"/>
  <c r="N1564" i="19"/>
  <c r="N2128" i="19"/>
  <c r="N692" i="19"/>
  <c r="N510" i="19"/>
  <c r="N1617" i="19"/>
  <c r="N1662" i="19"/>
  <c r="N1043" i="19"/>
  <c r="N1735" i="19"/>
  <c r="N608" i="19"/>
  <c r="N1981" i="19"/>
  <c r="N444" i="19"/>
  <c r="N1715" i="19"/>
  <c r="N729" i="19"/>
  <c r="N1077" i="19"/>
  <c r="N1520" i="19"/>
  <c r="N1516" i="19"/>
  <c r="N1115" i="19"/>
  <c r="N2200" i="19"/>
  <c r="N606" i="19"/>
  <c r="N135" i="19"/>
  <c r="N2165" i="19"/>
  <c r="N1545" i="19"/>
  <c r="N1676" i="19"/>
  <c r="N1730" i="19"/>
  <c r="N2000" i="19"/>
  <c r="N1801" i="19"/>
  <c r="N164" i="19"/>
  <c r="N139" i="19"/>
  <c r="N858" i="19"/>
  <c r="N128" i="19"/>
  <c r="N1538" i="19"/>
  <c r="N2230" i="19"/>
  <c r="N1184" i="19"/>
  <c r="N2183" i="19"/>
  <c r="N1665" i="19"/>
  <c r="N1051" i="19"/>
  <c r="N2350" i="19"/>
  <c r="N1398" i="19"/>
  <c r="N1494" i="19"/>
  <c r="N1845" i="19"/>
  <c r="N1717" i="19"/>
  <c r="N1757" i="19"/>
  <c r="N2134" i="19"/>
  <c r="N1180" i="19"/>
  <c r="N1698" i="19"/>
  <c r="N1615" i="19"/>
  <c r="N1170" i="19"/>
  <c r="N1193" i="19"/>
  <c r="N2249" i="19"/>
  <c r="N860" i="19"/>
  <c r="N1678" i="19"/>
  <c r="N2314" i="19"/>
  <c r="N1489" i="19"/>
  <c r="N1154" i="19"/>
  <c r="N632" i="19"/>
  <c r="N1595" i="19"/>
  <c r="N1389" i="19"/>
  <c r="N1848" i="19"/>
  <c r="N1174" i="19"/>
  <c r="N1838" i="19"/>
  <c r="N1279" i="19"/>
  <c r="N1959" i="19"/>
  <c r="N519" i="19"/>
  <c r="N1649" i="19"/>
  <c r="N982" i="19"/>
  <c r="N2108" i="19"/>
  <c r="N1862" i="19"/>
  <c r="N1468" i="19"/>
  <c r="N1346" i="19"/>
  <c r="N2258" i="19"/>
  <c r="N2174" i="19"/>
  <c r="N1675" i="19"/>
  <c r="N2367" i="19"/>
  <c r="N780" i="19"/>
  <c r="N429" i="19"/>
  <c r="N1256" i="19"/>
  <c r="N2123" i="19"/>
  <c r="N1674" i="19"/>
  <c r="N2328" i="19"/>
  <c r="N1685" i="19"/>
  <c r="N1177" i="19"/>
  <c r="N2207" i="19"/>
  <c r="M10" i="32"/>
  <c r="M19" i="32"/>
  <c r="K21" i="16"/>
  <c r="L33" i="32"/>
  <c r="M30" i="32"/>
  <c r="M21" i="32"/>
  <c r="K3" i="16"/>
  <c r="K27" i="16"/>
  <c r="K18" i="16"/>
  <c r="M5" i="32"/>
  <c r="M41" i="32"/>
  <c r="M33" i="32"/>
  <c r="L13" i="32"/>
  <c r="L34" i="32"/>
  <c r="N1971" i="19"/>
  <c r="N238" i="19"/>
  <c r="N291" i="19"/>
  <c r="N739" i="19"/>
  <c r="N999" i="19"/>
  <c r="N310" i="19"/>
  <c r="N2151" i="19"/>
  <c r="N174" i="19"/>
  <c r="N1987" i="19"/>
  <c r="N2034" i="19"/>
  <c r="N1312" i="19"/>
  <c r="N27" i="19"/>
  <c r="N1437" i="19"/>
  <c r="N1229" i="19"/>
  <c r="N1640" i="19"/>
  <c r="N831" i="19"/>
  <c r="N781" i="19"/>
  <c r="N2366" i="19"/>
  <c r="N2087" i="19"/>
  <c r="N1364" i="19"/>
  <c r="N1867" i="19"/>
  <c r="N477" i="19"/>
  <c r="N799" i="19"/>
  <c r="N743" i="19"/>
  <c r="N1956" i="19"/>
  <c r="N2180" i="19"/>
  <c r="N98" i="19"/>
  <c r="N2223" i="19"/>
  <c r="N1911" i="19"/>
  <c r="N381" i="19"/>
  <c r="N1947" i="19"/>
  <c r="N927" i="19"/>
  <c r="N1141" i="19"/>
  <c r="N1360" i="19"/>
  <c r="N1192" i="19"/>
  <c r="N782" i="19"/>
  <c r="N1896" i="19"/>
  <c r="N2140" i="19"/>
  <c r="N2305" i="19"/>
  <c r="N75" i="19"/>
  <c r="N119" i="19"/>
  <c r="N823" i="19"/>
  <c r="N108" i="19"/>
  <c r="N1492" i="19"/>
  <c r="N2190" i="19"/>
  <c r="N1156" i="19"/>
  <c r="N2160" i="19"/>
  <c r="N1632" i="19"/>
  <c r="N1039" i="19"/>
  <c r="N1191" i="19"/>
  <c r="N511" i="19"/>
  <c r="N834" i="19"/>
  <c r="N1144" i="19"/>
  <c r="N1210" i="19"/>
  <c r="N2254" i="19"/>
  <c r="N1997" i="19"/>
  <c r="N2161" i="19"/>
  <c r="N653" i="19"/>
  <c r="N467" i="19"/>
  <c r="N1664" i="19"/>
  <c r="N470" i="19"/>
  <c r="N355" i="19"/>
  <c r="N612" i="19"/>
  <c r="N1920" i="19"/>
  <c r="N1832" i="19"/>
  <c r="N2306" i="19"/>
  <c r="N1267" i="19"/>
  <c r="N2127" i="19"/>
  <c r="N2273" i="19"/>
  <c r="N1989" i="19"/>
  <c r="N2337" i="19"/>
  <c r="N1991" i="19"/>
  <c r="N1644" i="19"/>
  <c r="N1900" i="19"/>
  <c r="N1781" i="19"/>
  <c r="N2101" i="19"/>
  <c r="N1831" i="19"/>
  <c r="N1909" i="19"/>
  <c r="N1726" i="19"/>
  <c r="N1330" i="19"/>
  <c r="N1251" i="19"/>
  <c r="N2179" i="19"/>
  <c r="N2095" i="19"/>
  <c r="N1633" i="19"/>
  <c r="N2184" i="19"/>
  <c r="N936" i="19"/>
  <c r="N2323" i="19"/>
  <c r="N1946" i="19"/>
  <c r="N2242" i="19"/>
  <c r="N1521" i="19"/>
  <c r="N2149" i="19"/>
  <c r="N1423" i="19"/>
  <c r="N288" i="19"/>
  <c r="N880" i="19"/>
  <c r="N335" i="19"/>
  <c r="N1740" i="19"/>
  <c r="N1583" i="19"/>
  <c r="N1353" i="19"/>
  <c r="N1846" i="19"/>
  <c r="N1763" i="19"/>
  <c r="N1155" i="19"/>
  <c r="N955" i="19"/>
  <c r="N1819" i="19"/>
  <c r="N376" i="19"/>
  <c r="N1391" i="19"/>
  <c r="N717" i="19"/>
  <c r="N1887" i="19"/>
  <c r="N1535" i="19"/>
  <c r="N1969" i="19"/>
  <c r="N1272" i="19"/>
  <c r="N1905" i="19"/>
  <c r="N1321" i="19"/>
  <c r="N2364" i="19"/>
  <c r="L34" i="16"/>
  <c r="M31" i="32"/>
  <c r="M34" i="32"/>
  <c r="M3" i="32"/>
  <c r="M22" i="32"/>
  <c r="L28" i="16"/>
  <c r="L33" i="16"/>
  <c r="M39" i="32"/>
  <c r="L18" i="32"/>
  <c r="M14" i="32"/>
  <c r="K20" i="16"/>
  <c r="K5" i="16"/>
  <c r="L3" i="32"/>
  <c r="N2357" i="19"/>
  <c r="N1151" i="19"/>
  <c r="N882" i="19"/>
  <c r="N1164" i="19"/>
  <c r="N35" i="19"/>
  <c r="N508" i="19"/>
  <c r="N193" i="19"/>
  <c r="N439" i="19"/>
  <c r="N357" i="19"/>
  <c r="N1304" i="19"/>
  <c r="N1773" i="19"/>
  <c r="N480" i="19"/>
  <c r="N127" i="19"/>
  <c r="N85" i="19"/>
  <c r="N14" i="19"/>
  <c r="N1205" i="19"/>
  <c r="N1095" i="19"/>
  <c r="N749" i="19"/>
  <c r="N1821" i="19"/>
  <c r="N1975" i="19"/>
  <c r="N2240" i="19"/>
  <c r="N701" i="19"/>
  <c r="N1211" i="19"/>
  <c r="N1295" i="19"/>
  <c r="N1493" i="19"/>
  <c r="N2115" i="19"/>
  <c r="N424" i="19"/>
  <c r="N205" i="19"/>
  <c r="N58" i="19"/>
  <c r="N584" i="19"/>
  <c r="N1376" i="19"/>
  <c r="N1518" i="19"/>
  <c r="N1333" i="19"/>
  <c r="N2304" i="19"/>
  <c r="N2236" i="19"/>
  <c r="N1362" i="19"/>
  <c r="N1487" i="19"/>
  <c r="N1037" i="19"/>
  <c r="N2325" i="19"/>
  <c r="N327" i="19"/>
  <c r="N279" i="19"/>
  <c r="N1079" i="19"/>
  <c r="N281" i="19"/>
  <c r="N1995" i="19"/>
  <c r="N370" i="19"/>
  <c r="N1486" i="19"/>
  <c r="N1588" i="19"/>
  <c r="N2031" i="19"/>
  <c r="N1147" i="19"/>
  <c r="N1761" i="19"/>
  <c r="N738" i="19"/>
  <c r="N1097" i="19"/>
  <c r="N1532" i="19"/>
  <c r="N1553" i="19"/>
  <c r="N1128" i="19"/>
  <c r="N2213" i="19"/>
  <c r="N1166" i="19"/>
  <c r="N911" i="19"/>
  <c r="N639" i="19"/>
  <c r="N1756" i="19"/>
  <c r="N676" i="19"/>
  <c r="N525" i="19"/>
  <c r="N828" i="19"/>
  <c r="N2343" i="19"/>
  <c r="N2111" i="19"/>
  <c r="N1122" i="19"/>
  <c r="N1375" i="19"/>
  <c r="N1209" i="19"/>
  <c r="N1236" i="19"/>
  <c r="N2291" i="19"/>
  <c r="N2023" i="19"/>
  <c r="N2181" i="19"/>
  <c r="N2155" i="19"/>
  <c r="N2284" i="19"/>
  <c r="N2027" i="19"/>
  <c r="N2353" i="19"/>
  <c r="N2004" i="19"/>
  <c r="N2271" i="19"/>
  <c r="N1937" i="19"/>
  <c r="N1572" i="19"/>
  <c r="N1455" i="19"/>
  <c r="N2321" i="19"/>
  <c r="N2239" i="19"/>
  <c r="N1705" i="19"/>
  <c r="N592" i="19"/>
  <c r="N1196" i="19"/>
  <c r="N1203" i="19"/>
  <c r="N2261" i="19"/>
  <c r="N873" i="19"/>
  <c r="N1691" i="19"/>
  <c r="N2329" i="19"/>
  <c r="N1495" i="19"/>
  <c r="N461" i="19"/>
  <c r="N1242" i="19"/>
  <c r="N479" i="19"/>
  <c r="N2107" i="19"/>
  <c r="N1974" i="19"/>
  <c r="N1673" i="19"/>
  <c r="N2137" i="19"/>
  <c r="N1868" i="19"/>
  <c r="N1325" i="19"/>
  <c r="N1027" i="19"/>
  <c r="N1906" i="19"/>
  <c r="N537" i="19"/>
  <c r="N1985" i="19"/>
  <c r="N884" i="19"/>
  <c r="N2218" i="19"/>
  <c r="N1888" i="19"/>
  <c r="N2158" i="19"/>
  <c r="N1449" i="19"/>
  <c r="N2086" i="19"/>
  <c r="N1393" i="19"/>
  <c r="N2377" i="19"/>
  <c r="L7" i="16"/>
  <c r="L20" i="32"/>
  <c r="L19" i="32"/>
  <c r="L7" i="32"/>
  <c r="L19" i="16"/>
  <c r="L36" i="32"/>
  <c r="L40" i="32"/>
  <c r="L24" i="16"/>
  <c r="L40" i="16"/>
  <c r="M9" i="32"/>
  <c r="M13" i="32"/>
  <c r="M26" i="32"/>
  <c r="K25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keepAlive="1" name="Query - SystemLog (2)" description="Connection to the 'SystemLog (2)' query in the workbook." type="5" refreshedVersion="6" saveData="1">
    <dbPr connection="Provider=Microsoft.Mashup.OleDb.1;Data Source=$Workbook$;Location=&quot;SystemLog (2)&quot;;Extended Properties=&quot;&quot;" command="SELECT * FROM [SystemLog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<sst xmlns="http://schemas.openxmlformats.org/spreadsheetml/2006/main" count="62" uniqueCount="41">
  <si>
    <t>CFS:</t>
  </si>
  <si>
    <t>Drop:</t>
  </si>
  <si>
    <t>ID</t>
  </si>
  <si>
    <t>Carrier</t>
  </si>
  <si>
    <t>Tank #</t>
  </si>
  <si>
    <t>Truck #</t>
  </si>
  <si>
    <t>Weight</t>
  </si>
  <si>
    <t>Product Name</t>
  </si>
  <si>
    <t>PLT #</t>
  </si>
  <si>
    <t>Date In</t>
  </si>
  <si>
    <t>Time In</t>
  </si>
  <si>
    <t>Date Out</t>
  </si>
  <si>
    <t>Time Out</t>
  </si>
  <si>
    <t>Notified</t>
  </si>
  <si>
    <t>Int In</t>
  </si>
  <si>
    <t>Status</t>
  </si>
  <si>
    <t>FS</t>
  </si>
  <si>
    <t>Int Out</t>
  </si>
  <si>
    <t>Current AMT</t>
  </si>
  <si>
    <t>Empty WT</t>
  </si>
  <si>
    <t>Batch #</t>
  </si>
  <si>
    <t>Location</t>
  </si>
  <si>
    <t xml:space="preserve"> Live:</t>
  </si>
  <si>
    <t>Last Net</t>
  </si>
  <si>
    <t>RefID</t>
  </si>
  <si>
    <t>NIS: Not In System   OTC: Out To Clean   NRP: Needs Repair   OFR: Out For Repair   RFS: Remove(d) From Site</t>
  </si>
  <si>
    <t>Internal Central Fill Station Tank Log</t>
  </si>
  <si>
    <t>Internal Storage Tank Log</t>
  </si>
  <si>
    <t>List</t>
  </si>
  <si>
    <t>Internal-Ref</t>
  </si>
  <si>
    <t>Storage:</t>
  </si>
  <si>
    <t>Carriers</t>
  </si>
  <si>
    <t>Products</t>
  </si>
  <si>
    <t>Internal Carriers</t>
  </si>
  <si>
    <t>REFID</t>
  </si>
  <si>
    <t>Net Weight</t>
  </si>
  <si>
    <t>Dana</t>
  </si>
  <si>
    <t>Dea</t>
  </si>
  <si>
    <t>H1</t>
  </si>
  <si>
    <t>C1</t>
  </si>
  <si>
    <t>D1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</si>
</sst>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Trebuchet MS"/>
      <family val="2"/>
      <scheme val="minor"/>
    </font>
    <font>
      <b/>
      <sz val="12"/>
      <name val="Trebuchet MS"/>
      <family val="2"/>
      <scheme val="minor"/>
    </font>
    <font>
      <b/>
      <sz val="12"/>
      <color theme="0"/>
      <name val="Trebuchet MS"/>
      <family val="2"/>
      <scheme val="minor"/>
    </font>
    <font>
      <b/>
      <sz val="20"/>
      <color theme="0"/>
      <name val="Trebuchet MS"/>
      <family val="2"/>
      <scheme val="minor"/>
    </font>
    <font>
      <b/>
      <sz val="11"/>
      <color theme="0"/>
      <name val="Trebuchet MS"/>
      <family val="2"/>
      <scheme val="minor"/>
    </font>
    <font>
      <sz val="16"/>
      <name val="Trebuchet MS"/>
      <family val="2"/>
      <scheme val="minor"/>
    </font>
    <font>
      <sz val="12"/>
      <name val="Trebuchet MS"/>
      <family val="2"/>
      <scheme val="minor"/>
    </font>
    <font>
      <sz val="8"/>
      <name val="Trebuchet MS"/>
      <family val="2"/>
      <scheme val="minor"/>
    </font>
    <font>
      <sz val="11"/>
      <color indexed="9"/>
      <name val="Trebuchet MS"/>
      <family val="2"/>
      <scheme val="minor"/>
    </font>
    <font>
      <b/>
      <sz val="16"/>
      <color theme="0"/>
      <name val="Trebuchet MS"/>
      <family val="2"/>
      <scheme val="minor"/>
    </font>
    <font>
      <sz val="11"/>
      <color theme="0"/>
      <name val="Trebuchet MS"/>
      <family val="2"/>
      <scheme val="minor"/>
    </font>
    <font>
      <b/>
      <u/>
      <sz val="11"/>
      <color theme="0"/>
      <name val="Trebuchet MS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2" borderId="0" xfId="0" applyFont="1" applyFill="1" applyAlignment="1" applyProtection="1">
      <alignment vertical="center"/>
      <protection locked="0"/>
    </xf>
    <xf numFmtId="0" fontId="0" fillId="0" borderId="0" xfId="0" applyProtection="1">
      <protection locked="0"/>
    </xf>
    <xf numFmtId="0" fontId="9" fillId="2" borderId="0" xfId="0" applyFont="1" applyFill="1" applyAlignment="1" applyProtection="1">
      <alignment vertical="center"/>
      <protection locked="0"/>
    </xf>
    <xf numFmtId="0" fontId="0" fillId="2" borderId="0" xfId="0" applyFill="1" applyProtection="1"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5" fillId="2" borderId="7" xfId="0" applyFont="1" applyFill="1" applyBorder="1" applyAlignment="1" applyProtection="1">
      <alignment horizontal="center" vertical="center"/>
      <protection locked="0"/>
    </xf>
    <xf numFmtId="0" fontId="5" fillId="2" borderId="5" xfId="0" applyFont="1" applyFill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2" fillId="2" borderId="11" xfId="0" applyFont="1" applyFill="1" applyBorder="1" applyAlignment="1" applyProtection="1">
      <alignment horizontal="center" vertical="center"/>
      <protection locked="0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10" fillId="0" borderId="8" xfId="0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center" vertical="center"/>
      <protection locked="0"/>
    </xf>
    <xf numFmtId="0" fontId="11" fillId="2" borderId="0" xfId="0" applyFont="1" applyFill="1" applyAlignment="1">
      <alignment horizontal="center" vertical="center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6" fontId="0" fillId="0" borderId="0" xfId="0" applyNumberForma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8" fillId="3" borderId="0" xfId="0" applyFont="1" applyFill="1"/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9" fontId="0" fillId="0" borderId="0" xfId="0" applyNumberFormat="1" applyAlignment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 applyProtection="1">
      <alignment horizontal="center" vertical="center"/>
      <protection locked="0"/>
    </xf>
    <xf numFmtId="0" fontId="9" fillId="2" borderId="6" xfId="0" applyFont="1" applyFill="1" applyBorder="1" applyAlignment="1" applyProtection="1">
      <alignment horizontal="center" vertical="center"/>
      <protection locked="0"/>
    </xf>
    <xf numFmtId="0" fontId="9" fillId="2" borderId="5" xfId="0" applyFont="1" applyFill="1" applyBorder="1" applyAlignment="1" applyProtection="1">
      <alignment horizontal="center" vertical="center"/>
      <protection locked="0"/>
    </xf>
    <xf numFmtId="0" fontId="9" fillId="2" borderId="7" xfId="0" applyFont="1" applyFill="1" applyBorder="1" applyAlignment="1" applyProtection="1">
      <alignment horizontal="center" vertical="center"/>
      <protection locked="0"/>
    </xf>
    <xf numFmtId="0" fontId="4" fillId="2" borderId="3" xfId="0" applyFont="1" applyFill="1" applyBorder="1" applyAlignment="1" applyProtection="1">
      <alignment horizontal="center" vertical="center"/>
      <protection locked="0"/>
    </xf>
    <xf numFmtId="0" fontId="4" fillId="2" borderId="4" xfId="0" applyFont="1" applyFill="1" applyBorder="1" applyAlignment="1" applyProtection="1">
      <alignment horizontal="center" vertical="center"/>
      <protection locked="0"/>
    </xf>
    <xf numFmtId="0" fontId="3" fillId="2" borderId="6" xfId="0" applyFont="1" applyFill="1" applyBorder="1" applyAlignment="1" applyProtection="1">
      <alignment horizontal="center" vertical="center"/>
      <protection locked="0"/>
    </xf>
    <xf numFmtId="0" fontId="3" fillId="2" borderId="5" xfId="0" applyFont="1" applyFill="1" applyBorder="1" applyAlignment="1" applyProtection="1">
      <alignment horizontal="center" vertical="center"/>
      <protection locked="0"/>
    </xf>
    <xf numFmtId="0" fontId="3" fillId="2" borderId="7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left" vertical="center" textRotation="0" wrapText="0" indent="0" justifyLastLine="0" shrinkToFit="0" readingOrder="0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border>
        <bottom style="thin">
          <color indexed="64"/>
        </bottom>
      </border>
    </dxf>
    <dxf>
      <numFmt numFmtId="0" formatCode="General"/>
      <border diagonalUp="0" diagonalDown="0">
        <left/>
        <right/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indexed="9"/>
        <name val="Trebuchet MS"/>
        <family val="2"/>
        <scheme val="minor"/>
      </font>
      <numFmt numFmtId="0" formatCode="General"/>
      <fill>
        <patternFill patternType="solid">
          <fgColor indexed="64"/>
          <bgColor indexed="8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Trebuchet MS"/>
        <family val="2"/>
        <scheme val="minor"/>
      </font>
      <fill>
        <patternFill patternType="solid">
          <fgColor indexed="64"/>
          <bgColor indexed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indexed="9"/>
        <name val="Trebuchet MS"/>
        <family val="2"/>
        <scheme val="minor"/>
      </font>
      <numFmt numFmtId="0" formatCode="General"/>
      <fill>
        <patternFill patternType="solid">
          <fgColor indexed="64"/>
          <bgColor indexed="8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Trebuchet MS"/>
        <family val="2"/>
        <scheme val="minor"/>
      </font>
      <fill>
        <patternFill patternType="solid">
          <fgColor indexed="64"/>
          <bgColor indexed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indexed="9"/>
        <name val="Trebuchet MS"/>
        <family val="2"/>
        <scheme val="minor"/>
      </font>
      <numFmt numFmtId="0" formatCode="General"/>
      <fill>
        <patternFill patternType="solid">
          <fgColor indexed="64"/>
          <bgColor indexed="8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Trebuchet MS"/>
        <family val="2"/>
        <scheme val="minor"/>
      </font>
      <fill>
        <patternFill patternType="solid">
          <fgColor indexed="64"/>
          <bgColor indexed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indexed="9"/>
        <name val="Trebuchet MS"/>
        <family val="2"/>
        <scheme val="minor"/>
      </font>
      <numFmt numFmtId="0" formatCode="General"/>
      <fill>
        <patternFill patternType="solid">
          <fgColor indexed="64"/>
          <bgColor indexed="8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Trebuchet MS"/>
        <family val="2"/>
        <scheme val="minor"/>
      </font>
      <fill>
        <patternFill patternType="solid">
          <fgColor indexed="64"/>
          <bgColor indexed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indexed="9"/>
        <name val="Trebuchet MS"/>
        <family val="2"/>
        <scheme val="minor"/>
      </font>
      <numFmt numFmtId="0" formatCode="General"/>
      <fill>
        <patternFill patternType="solid">
          <fgColor indexed="64"/>
          <bgColor indexed="8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Trebuchet MS"/>
        <family val="2"/>
        <scheme val="minor"/>
      </font>
      <fill>
        <patternFill patternType="solid">
          <fgColor indexed="64"/>
          <bgColor indexed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indexed="9"/>
        <name val="Trebuchet MS"/>
        <family val="2"/>
        <scheme val="minor"/>
      </font>
      <numFmt numFmtId="0" formatCode="General"/>
      <fill>
        <patternFill patternType="solid">
          <fgColor indexed="64"/>
          <bgColor indexed="8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Trebuchet MS"/>
        <family val="2"/>
        <scheme val="minor"/>
      </font>
      <fill>
        <patternFill patternType="solid">
          <fgColor indexed="64"/>
          <bgColor indexed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indexed="9"/>
        <name val="Trebuchet MS"/>
        <family val="2"/>
        <scheme val="minor"/>
      </font>
      <numFmt numFmtId="0" formatCode="General"/>
      <fill>
        <patternFill patternType="solid">
          <fgColor indexed="64"/>
          <bgColor indexed="8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Trebuchet MS"/>
        <family val="2"/>
        <scheme val="minor"/>
      </font>
      <fill>
        <patternFill patternType="solid">
          <fgColor indexed="64"/>
          <bgColor indexed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indexed="9"/>
        <name val="Trebuchet MS"/>
        <family val="2"/>
        <scheme val="minor"/>
      </font>
      <numFmt numFmtId="0" formatCode="General"/>
      <fill>
        <patternFill patternType="solid">
          <fgColor indexed="64"/>
          <bgColor indexed="8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Trebuchet MS"/>
        <family val="2"/>
        <scheme val="minor"/>
      </font>
      <fill>
        <patternFill patternType="solid">
          <fgColor indexed="64"/>
          <bgColor indexed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indexed="9"/>
        <name val="Trebuchet MS"/>
        <family val="2"/>
        <scheme val="minor"/>
      </font>
      <numFmt numFmtId="0" formatCode="General"/>
      <fill>
        <patternFill patternType="solid">
          <fgColor indexed="64"/>
          <bgColor indexed="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indexed="9"/>
        <name val="Trebuchet MS"/>
        <family val="2"/>
        <scheme val="minor"/>
      </font>
      <numFmt numFmtId="0" formatCode="General"/>
      <fill>
        <patternFill patternType="solid">
          <fgColor indexed="64"/>
          <bgColor indexed="8"/>
        </patternFill>
      </fill>
      <alignment horizontal="center" vertical="center" textRotation="0" wrapText="0" indent="0" justifyLastLine="0" shrinkToFit="0" readingOrder="0"/>
    </dxf>
    <dxf>
      <numFmt numFmtId="0" formatCode="General"/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border diagonalUp="0" diagonalDown="0" outline="0">
        <left/>
        <right style="thin">
          <color indexed="8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border diagonalUp="0" diagonalDown="0" outline="0">
        <left style="thin">
          <color indexed="8"/>
        </left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border diagonalUp="0" diagonalDown="0" outline="0">
        <left/>
        <right style="thin">
          <color indexed="8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color theme="1"/>
      </font>
      <fill>
        <patternFill>
          <fgColor indexed="64"/>
          <bgColor rgb="FFFFFF00"/>
        </patternFill>
      </fill>
    </dxf>
    <dxf>
      <font>
        <color theme="1"/>
      </font>
      <fill>
        <patternFill>
          <fgColor indexed="64"/>
          <bgColor rgb="FFFF0000"/>
        </patternFill>
      </fill>
    </dxf>
    <dxf>
      <font>
        <color theme="1"/>
      </font>
      <fill>
        <patternFill>
          <fgColor indexed="64"/>
          <bgColor rgb="FFFFFF00"/>
        </patternFill>
      </fill>
    </dxf>
    <dxf>
      <font>
        <color theme="1"/>
      </font>
      <fill>
        <patternFill>
          <fgColor indexed="64"/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fgColor indexed="64"/>
          <bgColor rgb="FFFFFF00"/>
        </patternFill>
      </fill>
    </dxf>
    <dxf>
      <font>
        <color theme="1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  <border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/>
        <i val="0"/>
        <strike val="0"/>
        <color theme="0"/>
      </font>
      <fill>
        <patternFill>
          <bgColor theme="1"/>
        </patternFill>
      </fill>
      <border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color theme="1"/>
      </font>
      <fill>
        <patternFill>
          <bgColor theme="2" tint="-0.24994659260841701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1"/>
        </patternFill>
      </fill>
      <border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strike val="0"/>
        <color theme="0"/>
      </font>
      <fill>
        <patternFill>
          <bgColor theme="1"/>
        </patternFill>
      </fill>
      <border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color theme="0"/>
      </font>
      <fill>
        <patternFill>
          <bgColor theme="1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font>
        <b/>
        <i val="0"/>
      </font>
    </dxf>
  </dxfs>
  <tableStyles count="3" defaultTableStyle="TableStyleMedium2" defaultPivotStyle="PivotStyleLight16">
    <tableStyle name="LG-Black" pivot="0" count="5" xr9:uid="{F0F47586-A4A2-4784-B5E1-659969D7192E}">
      <tableStyleElement type="wholeTable" dxfId="95"/>
      <tableStyleElement type="headerRow" dxfId="94"/>
      <tableStyleElement type="firstColumn" dxfId="93"/>
      <tableStyleElement type="lastColumn" dxfId="92"/>
      <tableStyleElement type="secondRowStripe" dxfId="91"/>
    </tableStyle>
    <tableStyle name="LG-Blackout" pivot="0" count="2" xr9:uid="{A57C66C3-FC0B-4D6F-BD16-6A84BE53E567}">
      <tableStyleElement type="wholeTable" dxfId="90"/>
      <tableStyleElement type="headerRow" dxfId="89"/>
    </tableStyle>
    <tableStyle name="LG-NextID" pivot="0" count="0" xr9:uid="{2EAD6C8F-5163-4DD1-9784-65E320310BC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1228725</xdr:colOff>
          <xdr:row>0</xdr:row>
          <xdr:rowOff>0</xdr:rowOff>
        </xdr:from>
        <xdr:to>
          <xdr:col>3</xdr:col>
          <xdr:colOff>442913</xdr:colOff>
          <xdr:row>1</xdr:row>
          <xdr:rowOff>0</xdr:rowOff>
        </xdr:to>
        <xdr:sp macro="" textlink="">
          <xdr:nvSpPr>
            <xdr:cNvPr id="15380" name="Weigh_Out_Tank_Entry_Button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0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1166813</xdr:colOff>
          <xdr:row>1</xdr:row>
          <xdr:rowOff>0</xdr:rowOff>
        </xdr:to>
        <xdr:sp macro="" textlink="">
          <xdr:nvSpPr>
            <xdr:cNvPr id="15379" name="Add_Tank_Entry_Button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0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0</xdr:row>
          <xdr:rowOff>0</xdr:rowOff>
        </xdr:from>
        <xdr:to>
          <xdr:col>4</xdr:col>
          <xdr:colOff>785813</xdr:colOff>
          <xdr:row>1</xdr:row>
          <xdr:rowOff>0</xdr:rowOff>
        </xdr:to>
        <xdr:sp macro="" textlink="">
          <xdr:nvSpPr>
            <xdr:cNvPr id="15381" name="Edit_Tank_Entry_Button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0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847725</xdr:colOff>
          <xdr:row>0</xdr:row>
          <xdr:rowOff>0</xdr:rowOff>
        </xdr:from>
        <xdr:to>
          <xdr:col>5</xdr:col>
          <xdr:colOff>1200150</xdr:colOff>
          <xdr:row>1</xdr:row>
          <xdr:rowOff>0</xdr:rowOff>
        </xdr:to>
        <xdr:sp macro="" textlink="">
          <xdr:nvSpPr>
            <xdr:cNvPr id="15383" name="Dashboard_Button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0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1262063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15384" name="Next_Line_Button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0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61913</xdr:colOff>
          <xdr:row>0</xdr:row>
          <xdr:rowOff>0</xdr:rowOff>
        </xdr:from>
        <xdr:to>
          <xdr:col>7</xdr:col>
          <xdr:colOff>1333500</xdr:colOff>
          <xdr:row>1</xdr:row>
          <xdr:rowOff>0</xdr:rowOff>
        </xdr:to>
        <xdr:sp macro="" textlink="">
          <xdr:nvSpPr>
            <xdr:cNvPr id="15385" name="Tools_Button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0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ain_Log" displayName="Main_Log" ref="A2:R2377" totalsRowShown="0" headerRowDxfId="82" dataDxfId="81">
  <sortState xmlns:xlrd2="http://schemas.microsoft.com/office/spreadsheetml/2017/richdata2" ref="A3:R1192">
    <sortCondition ref="H2:H1192"/>
  </sortState>
  <tableColumns count="18">
    <tableColumn id="1" xr3:uid="{00000000-0010-0000-0000-000001000000}" name="ID" dataDxfId="80" totalsRowDxfId="79"/>
    <tableColumn id="2" xr3:uid="{00000000-0010-0000-0000-000002000000}" name="Carrier" dataDxfId="78"/>
    <tableColumn id="3" xr3:uid="{00000000-0010-0000-0000-000003000000}" name="Tank #" dataDxfId="77" totalsRowDxfId="76"/>
    <tableColumn id="4" xr3:uid="{00000000-0010-0000-0000-000004000000}" name="Truck #" dataDxfId="75" totalsRowDxfId="74"/>
    <tableColumn id="5" xr3:uid="{00000000-0010-0000-0000-000005000000}" name="Weight" dataDxfId="73" totalsRowDxfId="72"/>
    <tableColumn id="7" xr3:uid="{00000000-0010-0000-0000-000007000000}" name="Product Name" dataDxfId="71" totalsRowDxfId="70"/>
    <tableColumn id="8" xr3:uid="{00000000-0010-0000-0000-000008000000}" name="PLT #" dataDxfId="69" totalsRowDxfId="68"/>
    <tableColumn id="9" xr3:uid="{00000000-0010-0000-0000-000009000000}" name="Date In" dataDxfId="67" totalsRowDxfId="66"/>
    <tableColumn id="10" xr3:uid="{00000000-0010-0000-0000-00000A000000}" name="Time In" dataDxfId="65" totalsRowDxfId="64"/>
    <tableColumn id="11" xr3:uid="{00000000-0010-0000-0000-00000B000000}" name="Date Out" dataDxfId="63"/>
    <tableColumn id="12" xr3:uid="{00000000-0010-0000-0000-00000C000000}" name="Time Out" dataDxfId="62" totalsRowDxfId="61"/>
    <tableColumn id="13" xr3:uid="{00000000-0010-0000-0000-00000D000000}" name="Notified" dataDxfId="60" totalsRowDxfId="59"/>
    <tableColumn id="14" xr3:uid="{00000000-0010-0000-0000-00000E000000}" name="Int In" dataDxfId="58" totalsRowDxfId="57"/>
    <tableColumn id="15" xr3:uid="{68D2FD83-6322-430F-B5B4-265EC87EF8AD}" name="Status" dataDxfId="56">
      <calculatedColumnFormula>IF(OR(Main_Log[[#This Row],[Carrier]] = "", Main_Log[[#This Row],[Tank '#]] = "",Main_Log[[#This Row],[Truck '#]] = "",Main_Log[[#This Row],[Weight]] = "",Main_Log[[#This Row],[PLT '#]] = "",Main_Log[[#This Row],[Date In]] = "",Main_Log[[#This Row],[Time In]] ="",Main_Log[[#This Row],[Notified]] = "",Main_Log[[#This Row],[Int In]] = ""), "",IF(OR(Main_Log[[#This Row],[Date Out]] = "",Main_Log[[#This Row],[Time Out]] = "",Main_Log[[#This Row],[Net Weight]] = "",Main_Log[[#This Row],[Int Out]] = ""), "IN HOUSE","DONE"))</calculatedColumnFormula>
    </tableColumn>
    <tableColumn id="16" xr3:uid="{00000000-0010-0000-0000-000010000000}" name="Net Weight" dataDxfId="55" totalsRowDxfId="54"/>
    <tableColumn id="18" xr3:uid="{00000000-0010-0000-0000-000012000000}" name="FS" dataDxfId="53">
      <calculatedColumnFormula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calculatedColumnFormula>
    </tableColumn>
    <tableColumn id="19" xr3:uid="{00000000-0010-0000-0000-000013000000}" name="Int Out" dataDxfId="52" totalsRowDxfId="51"/>
    <tableColumn id="20" xr3:uid="{00000000-0010-0000-0000-000014000000}" name="RefID" dataDxfId="50" totalsRowDxfId="49">
      <calculatedColumnFormula array="1">Main_Log_Ref(Main_Log[[#This Row],[Carrier]])</calculatedColumnFormula>
    </tableColumn>
  </tableColumns>
  <tableStyleInfo name="LG-Black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3AA69BD-2614-4B18-9F9A-2950DA313F19}" name="Table_Next_ID" displayName="Table_Next_ID" ref="I1:P1" headerRowCount="0" totalsRowShown="0" headerRowDxfId="48" dataDxfId="47">
  <tableColumns count="8">
    <tableColumn id="1" xr3:uid="{D07FB720-D0BF-4CC8-AAF9-FEE7A2512182}" name="Column1" headerRowDxfId="46" dataDxfId="45"/>
    <tableColumn id="2" xr3:uid="{2D4ACC97-45F4-4E80-BF1F-F0B218315B29}" name="Column2" headerRowDxfId="44" dataDxfId="43"/>
    <tableColumn id="3" xr3:uid="{F1274332-678A-4054-B280-EB54DB62D697}" name="Column3" headerRowDxfId="42" dataDxfId="41"/>
    <tableColumn id="4" xr3:uid="{0861FD03-8C45-47BF-8FC0-DFA1BB57DDFB}" name="Column4" headerRowDxfId="40" dataDxfId="39"/>
    <tableColumn id="5" xr3:uid="{C7217C65-C397-4166-9EC0-92EC05EB66B1}" name="Column5" headerRowDxfId="38" dataDxfId="37"/>
    <tableColumn id="6" xr3:uid="{7A49B7F8-6B70-4694-85F5-E0784D0D1DF1}" name="Column6" headerRowDxfId="36" dataDxfId="35"/>
    <tableColumn id="7" xr3:uid="{3A368D6C-74C6-4AB0-9855-6754270CC31D}" name="Column7" headerRowDxfId="34" dataDxfId="33"/>
    <tableColumn id="8" xr3:uid="{D4015C5F-E87D-4A59-9BC7-7357018B76A5}" name="Column8" headerRowDxfId="32" dataDxfId="31"/>
  </tableColumns>
  <tableStyleInfo name="LG-Black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2000000}" name="Internal_Log_1" displayName="Internal_Log_1" ref="A2:L41" totalsRowShown="0" headerRowDxfId="30" dataDxfId="28" headerRowBorderDxfId="29">
  <autoFilter ref="A2:L41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sortState xmlns:xlrd2="http://schemas.microsoft.com/office/spreadsheetml/2017/richdata2" ref="A3:J41">
    <sortCondition ref="C44:C68"/>
  </sortState>
  <tableColumns count="12">
    <tableColumn id="22" xr3:uid="{00000000-0010-0000-0200-000016000000}" name="ID" dataDxfId="27"/>
    <tableColumn id="2" xr3:uid="{A1EFFF86-6EBA-40C0-BF37-17FDA362B8F9}" name="Carrier" dataDxfId="26"/>
    <tableColumn id="23" xr3:uid="{00000000-0010-0000-0200-000017000000}" name="Tank #" dataDxfId="25"/>
    <tableColumn id="24" xr3:uid="{00000000-0010-0000-0200-000018000000}" name="Product Name" dataDxfId="24"/>
    <tableColumn id="25" xr3:uid="{00000000-0010-0000-0200-000019000000}" name="Date In" dataDxfId="23"/>
    <tableColumn id="26" xr3:uid="{00000000-0010-0000-0200-00001A000000}" name="Weight" dataDxfId="22"/>
    <tableColumn id="27" xr3:uid="{00000000-0010-0000-0200-00001B000000}" name="Last Net" dataDxfId="21"/>
    <tableColumn id="28" xr3:uid="{00000000-0010-0000-0200-00001C000000}" name="Status" dataDxfId="20"/>
    <tableColumn id="29" xr3:uid="{00000000-0010-0000-0200-00001D000000}" name="Current AMT" dataDxfId="19"/>
    <tableColumn id="30" xr3:uid="{00000000-0010-0000-0200-00001E000000}" name="Empty WT" dataDxfId="18"/>
    <tableColumn id="1" xr3:uid="{00000000-0010-0000-0200-000001000000}" name="Internal-Ref" dataDxfId="17">
      <calculatedColumnFormula array="1">InternalRef(Internal_Log_1[[#This Row],[ID]])</calculatedColumnFormula>
    </tableColumn>
    <tableColumn id="3" xr3:uid="{4312271A-3CAE-4C7F-B8E8-2A219ED9C2AF}" name="REFID" dataDxfId="16">
      <calculatedColumnFormula array="1">Internal_Main_Log_RefID(Internal_Log_1[[#This Row],[ID]])</calculatedColumnFormula>
    </tableColumn>
  </tableColumns>
  <tableStyleInfo name="LG-Black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03000000}" name="Internal_Log_2" displayName="Internal_Log_2" ref="A2:M41" totalsRowShown="0" headerRowDxfId="15" dataDxfId="13" headerRowBorderDxfId="14">
  <autoFilter ref="A2:M41" xr:uid="{00000000-0009-0000-0100-00001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sortState xmlns:xlrd2="http://schemas.microsoft.com/office/spreadsheetml/2017/richdata2" ref="A4:J12">
    <sortCondition ref="C3:C29"/>
  </sortState>
  <tableColumns count="13">
    <tableColumn id="22" xr3:uid="{00000000-0010-0000-0300-000016000000}" name="ID" dataDxfId="12"/>
    <tableColumn id="3" xr3:uid="{A14BC1B2-241A-4CAB-8C90-6B64430A7F13}" name="Carrier" dataDxfId="11"/>
    <tableColumn id="23" xr3:uid="{00000000-0010-0000-0300-000017000000}" name="Tank #" dataDxfId="10"/>
    <tableColumn id="24" xr3:uid="{00000000-0010-0000-0300-000018000000}" name="Product Name" dataDxfId="9"/>
    <tableColumn id="2" xr3:uid="{00000000-0010-0000-0300-000002000000}" name="Date In" dataDxfId="8"/>
    <tableColumn id="25" xr3:uid="{00000000-0010-0000-0300-000019000000}" name="Weight" dataDxfId="7"/>
    <tableColumn id="26" xr3:uid="{00000000-0010-0000-0300-00001A000000}" name="Batch #" dataDxfId="6"/>
    <tableColumn id="27" xr3:uid="{00000000-0010-0000-0300-00001B000000}" name="Location" dataDxfId="5"/>
    <tableColumn id="28" xr3:uid="{00000000-0010-0000-0300-00001C000000}" name="Status" dataDxfId="4"/>
    <tableColumn id="29" xr3:uid="{00000000-0010-0000-0300-00001D000000}" name="Current AMT" dataDxfId="3"/>
    <tableColumn id="30" xr3:uid="{00000000-0010-0000-0300-00001E000000}" name="Empty WT" dataDxfId="2"/>
    <tableColumn id="1" xr3:uid="{00000000-0010-0000-0300-000001000000}" name="Internal-Ref" dataDxfId="1">
      <calculatedColumnFormula array="1">InternalRef(Internal_Log_2[[#This Row],[ID]])</calculatedColumnFormula>
    </tableColumn>
    <tableColumn id="4" xr3:uid="{2BBE31F4-8405-4DC6-8583-20518D32E0F8}" name="RefID" dataDxfId="0">
      <calculatedColumnFormula array="1">Internal_Main_Log_RefID(Internal_Log_2[[#This Row],[ID]])</calculatedColumnFormula>
    </tableColumn>
  </tableColumns>
  <tableStyleInfo name="LG-Black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2ADEBFC-3714-4EC4-A798-B3B65350E826}" name="Database_Carriers" displayName="Database_Carriers" ref="A2:A4" totalsRowShown="0">
  <autoFilter ref="A2:A4" xr:uid="{72ADEBFC-3714-4EC4-A798-B3B65350E826}"/>
  <sortState xmlns:xlrd2="http://schemas.microsoft.com/office/spreadsheetml/2017/richdata2" ref="A3:A6">
    <sortCondition ref="A2:A8"/>
  </sortState>
  <tableColumns count="1">
    <tableColumn id="1" xr3:uid="{38EC54CE-793F-4071-A5A0-E3CEF67FF7DD}" name="List"/>
  </tableColumns>
  <tableStyleInfo name="LG-Black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459BC0F-6D5B-48E1-BD58-85EA4439D8C9}" name="Database_Products" displayName="Database_Products" ref="C2:C5" totalsRowShown="0">
  <autoFilter ref="C2:C5" xr:uid="{5459BC0F-6D5B-48E1-BD58-85EA4439D8C9}"/>
  <sortState xmlns:xlrd2="http://schemas.microsoft.com/office/spreadsheetml/2017/richdata2" ref="C3:C4">
    <sortCondition ref="C2:C7"/>
  </sortState>
  <tableColumns count="1">
    <tableColumn id="1" xr3:uid="{A639C031-EAC8-43E7-BF80-381A8FFB2338}" name="List"/>
  </tableColumns>
  <tableStyleInfo name="LG-Black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44F1C5A-DF21-4A39-90DC-1258F369DE2B}" name="Database_Internal_Carriers" displayName="Database_Internal_Carriers" ref="E2:E4" totalsRowShown="0">
  <autoFilter ref="E2:E4" xr:uid="{044F1C5A-DF21-4A39-90DC-1258F369DE2B}"/>
  <tableColumns count="1">
    <tableColumn id="1" xr3:uid="{DF2C32F2-7291-4E2E-A585-E6E515137607}" name="List"/>
  </tableColumns>
  <tableStyleInfo name="LG-Black" showFirstColumn="0" showLastColumn="0" showRowStripes="1" showColumnStripes="0"/>
</table>
</file>

<file path=xl/theme/theme1.xml><?xml version="1.0" encoding="utf-8"?>
<a:theme xmlns:a="http://schemas.openxmlformats.org/drawingml/2006/main" name="Facet">
  <a:themeElements>
    <a:clrScheme name="Grayscale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Facet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Face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ull_Log">
    <pageSetUpPr autoPageBreaks="0"/>
  </sheetPr>
  <dimension ref="A1:R3514"/>
  <sheetViews>
    <sheetView showGridLines="0" showRowColHeaders="0" tabSelected="1" zoomScale="88" zoomScaleNormal="88" zoomScaleSheetLayoutView="100" workbookViewId="0">
      <pane ySplit="2" topLeftCell="A3" activePane="bottomLeft" state="frozen"/>
      <selection activeCell="C1" sqref="C1"/>
      <selection pane="bottomLeft" activeCell="E4" sqref="E4"/>
    </sheetView>
  </sheetViews>
  <sheetFormatPr defaultColWidth="0" defaultRowHeight="14.25" zeroHeight="1" x14ac:dyDescent="0.45"/>
  <cols>
    <col min="1" max="1" width="5.86328125" customWidth="1"/>
    <col min="2" max="2" width="20.265625" customWidth="1"/>
    <col min="3" max="4" width="13" customWidth="1"/>
    <col min="5" max="5" width="12.86328125" customWidth="1"/>
    <col min="6" max="6" width="27.9296875" customWidth="1"/>
    <col min="7" max="7" width="7.53125" customWidth="1"/>
    <col min="8" max="8" width="20.796875" customWidth="1"/>
    <col min="9" max="9" width="8.73046875" customWidth="1"/>
    <col min="10" max="10" width="16.9296875" customWidth="1"/>
    <col min="11" max="11" width="8.73046875" customWidth="1"/>
    <col min="12" max="12" width="12.73046875" customWidth="1"/>
    <col min="13" max="13" width="5.86328125" customWidth="1"/>
    <col min="14" max="14" width="10" customWidth="1"/>
    <col min="15" max="15" width="12.86328125" customWidth="1"/>
    <col min="16" max="16" width="3" customWidth="1"/>
    <col min="17" max="17" width="15.59765625" customWidth="1"/>
    <col min="18" max="18" width="54.86328125" customWidth="1"/>
    <col min="19" max="16384" width="1.3984375" hidden="1"/>
  </cols>
  <sheetData>
    <row r="1" spans="1:18" s="28" customFormat="1" ht="30" customHeight="1" x14ac:dyDescent="0.45">
      <c r="I1" s="29" t="s">
        <v>22</v>
      </c>
      <c r="J1" s="29">
        <v>1</v>
      </c>
      <c r="K1" s="29" t="s">
        <v>30</v>
      </c>
      <c r="L1" s="29" t="s">
        <v>38</v>
      </c>
      <c r="M1" s="29" t="s">
        <v>0</v>
      </c>
      <c r="N1" s="29" t="s">
        <v>39</v>
      </c>
      <c r="O1" s="29" t="s">
        <v>1</v>
      </c>
      <c r="P1" s="29" t="s">
        <v>40</v>
      </c>
    </row>
    <row r="2" spans="1:18" ht="25.15" customHeight="1" x14ac:dyDescent="0.45">
      <c r="A2" s="30" t="s">
        <v>2</v>
      </c>
      <c r="B2" s="30" t="s">
        <v>3</v>
      </c>
      <c r="C2" s="30" t="s">
        <v>4</v>
      </c>
      <c r="D2" s="30" t="s">
        <v>5</v>
      </c>
      <c r="E2" s="30" t="s">
        <v>6</v>
      </c>
      <c r="F2" s="30" t="s">
        <v>7</v>
      </c>
      <c r="G2" s="30" t="s">
        <v>8</v>
      </c>
      <c r="H2" s="30" t="s">
        <v>9</v>
      </c>
      <c r="I2" s="30" t="s">
        <v>10</v>
      </c>
      <c r="J2" s="30" t="s">
        <v>11</v>
      </c>
      <c r="K2" s="30" t="s">
        <v>12</v>
      </c>
      <c r="L2" s="30" t="s">
        <v>13</v>
      </c>
      <c r="M2" s="30" t="s">
        <v>14</v>
      </c>
      <c r="N2" s="30" t="s">
        <v>15</v>
      </c>
      <c r="O2" s="30" t="s">
        <v>35</v>
      </c>
      <c r="P2" s="30" t="s">
        <v>16</v>
      </c>
      <c r="Q2" s="30" t="s">
        <v>17</v>
      </c>
      <c r="R2" s="30" t="s">
        <v>24</v>
      </c>
    </row>
    <row r="3" spans="1:18" ht="29.85" customHeight="1" x14ac:dyDescent="0.45">
      <c r="A3" s="30">
        <v>1</v>
      </c>
      <c r="B3" s="30"/>
      <c r="C3" s="30"/>
      <c r="D3" s="30"/>
      <c r="E3" s="30"/>
      <c r="F3" s="30"/>
      <c r="G3" s="30"/>
      <c r="H3" s="26"/>
      <c r="I3" s="31"/>
      <c r="J3" s="26"/>
      <c r="K3" s="27"/>
      <c r="L3" s="30"/>
      <c r="M3" s="30"/>
      <c r="N3" s="30" t="str" cm="1">
        <f t="array" ref="N3">Main_Log_Status(Main_Log[[#This Row],[Carrier]],Main_Log[[#This Row],[Net Weight]])</f>
        <v/>
      </c>
      <c r="O3" s="30"/>
      <c r="P3" s="30" t="str" cm="1">
        <f t="array" ref="P3">Main_Log_Imternal_Fill_Status(Main_Log[[#This Row],[ID]],Main_Log[[#This Row],[Weight]])</f>
        <v/>
      </c>
      <c r="Q3" s="30"/>
      <c r="R3" s="30" t="str" cm="1">
        <f t="array" ref="R3">Main_Log_Ref(Main_Log[[#This Row],[Carrier]])</f>
        <v/>
      </c>
    </row>
    <row r="4" spans="1:18" ht="29.85" customHeight="1" x14ac:dyDescent="0.45">
      <c r="A4" s="30">
        <v>2</v>
      </c>
      <c r="B4" s="30"/>
      <c r="C4" s="30"/>
      <c r="D4" s="30"/>
      <c r="E4" s="30"/>
      <c r="F4" s="30"/>
      <c r="G4" s="30"/>
      <c r="H4" s="26"/>
      <c r="I4" s="31"/>
      <c r="J4" s="26"/>
      <c r="K4" s="27"/>
      <c r="L4" s="30"/>
      <c r="M4" s="30"/>
      <c r="N4" s="30" t="str" cm="1">
        <f t="array" ref="N4">Main_Log_Status(Main_Log[[#This Row],[Carrier]],Main_Log[[#This Row],[Net Weight]])</f>
        <v/>
      </c>
      <c r="O4" s="30"/>
      <c r="P4" s="30"/>
      <c r="Q4" s="30"/>
      <c r="R4" s="30" t="str" cm="1">
        <f t="array" ref="R4">Main_Log_Ref(Main_Log[[#This Row],[Carrier]])</f>
        <v/>
      </c>
    </row>
    <row r="5" spans="1:18" ht="29.85" customHeight="1" x14ac:dyDescent="0.45">
      <c r="A5" s="30">
        <v>3</v>
      </c>
      <c r="B5" s="30"/>
      <c r="C5" s="30"/>
      <c r="D5" s="30"/>
      <c r="E5" s="30"/>
      <c r="F5" s="30"/>
      <c r="G5" s="30"/>
      <c r="H5" s="26"/>
      <c r="I5" s="31"/>
      <c r="J5" s="30"/>
      <c r="K5" s="30"/>
      <c r="L5" s="30"/>
      <c r="M5" s="30"/>
      <c r="N5" s="30" t="str" cm="1">
        <f t="array" ref="N5">Main_Log_Status(Main_Log[[#This Row],[Carrier]],Main_Log[[#This Row],[Net Weight]])</f>
        <v/>
      </c>
      <c r="O5" s="30"/>
      <c r="P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" s="30"/>
      <c r="R5" s="30" t="str" cm="1">
        <f t="array" ref="R5">Main_Log_Ref(Main_Log[[#This Row],[Carrier]])</f>
        <v/>
      </c>
    </row>
    <row r="6" spans="1:18" ht="29.85" customHeight="1" x14ac:dyDescent="0.45">
      <c r="A6" s="30">
        <v>4</v>
      </c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 t="str" cm="1">
        <f t="array" ref="N6">Main_Log_Status(Main_Log[[#This Row],[Carrier]],Main_Log[[#This Row],[Net Weight]])</f>
        <v/>
      </c>
      <c r="O6" s="30"/>
      <c r="P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" s="30"/>
      <c r="R6" s="30" t="str" cm="1">
        <f t="array" ref="R6">Main_Log_Ref(Main_Log[[#This Row],[Carrier]])</f>
        <v/>
      </c>
    </row>
    <row r="7" spans="1:18" ht="29.85" customHeight="1" x14ac:dyDescent="0.45">
      <c r="A7" s="30">
        <v>5</v>
      </c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 t="str" cm="1">
        <f t="array" ref="N7">Main_Log_Status(Main_Log[[#This Row],[Carrier]],Main_Log[[#This Row],[Net Weight]])</f>
        <v/>
      </c>
      <c r="O7" s="30"/>
      <c r="P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" s="30"/>
      <c r="R7" s="30" t="str" cm="1">
        <f t="array" ref="R7">Main_Log_Ref(Main_Log[[#This Row],[Carrier]])</f>
        <v/>
      </c>
    </row>
    <row r="8" spans="1:18" ht="29.85" customHeight="1" x14ac:dyDescent="0.45">
      <c r="A8" s="30">
        <v>6</v>
      </c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 t="str" cm="1">
        <f t="array" ref="N8">Main_Log_Status(Main_Log[[#This Row],[Carrier]],Main_Log[[#This Row],[Net Weight]])</f>
        <v/>
      </c>
      <c r="O8" s="30"/>
      <c r="P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" s="30"/>
      <c r="R8" s="30" t="str" cm="1">
        <f t="array" ref="R8">Main_Log_Ref(Main_Log[[#This Row],[Carrier]])</f>
        <v/>
      </c>
    </row>
    <row r="9" spans="1:18" ht="29.85" customHeight="1" x14ac:dyDescent="0.45">
      <c r="A9" s="30">
        <v>7</v>
      </c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 t="str" cm="1">
        <f t="array" ref="N9">Main_Log_Status(Main_Log[[#This Row],[Carrier]],Main_Log[[#This Row],[Net Weight]])</f>
        <v/>
      </c>
      <c r="O9" s="30"/>
      <c r="P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" s="30"/>
      <c r="R9" s="30" t="str" cm="1">
        <f t="array" ref="R9">Main_Log_Ref(Main_Log[[#This Row],[Carrier]])</f>
        <v/>
      </c>
    </row>
    <row r="10" spans="1:18" ht="29.85" customHeight="1" x14ac:dyDescent="0.45">
      <c r="A10" s="30">
        <v>8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 t="str" cm="1">
        <f t="array" ref="N10">Main_Log_Status(Main_Log[[#This Row],[Carrier]],Main_Log[[#This Row],[Net Weight]])</f>
        <v/>
      </c>
      <c r="O10" s="30"/>
      <c r="P1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" s="30"/>
      <c r="R10" s="30" t="str" cm="1">
        <f t="array" ref="R10">Main_Log_Ref(Main_Log[[#This Row],[Carrier]])</f>
        <v/>
      </c>
    </row>
    <row r="11" spans="1:18" ht="29.85" customHeight="1" x14ac:dyDescent="0.45">
      <c r="A11" s="30">
        <v>9</v>
      </c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 t="str" cm="1">
        <f t="array" ref="N11">Main_Log_Status(Main_Log[[#This Row],[Carrier]],Main_Log[[#This Row],[Net Weight]])</f>
        <v/>
      </c>
      <c r="O11" s="30"/>
      <c r="P1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" s="30"/>
      <c r="R11" s="30" t="str" cm="1">
        <f t="array" ref="R11">Main_Log_Ref(Main_Log[[#This Row],[Carrier]])</f>
        <v/>
      </c>
    </row>
    <row r="12" spans="1:18" ht="29.85" customHeight="1" x14ac:dyDescent="0.45">
      <c r="A12" s="30">
        <v>10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 t="str" cm="1">
        <f t="array" ref="N12">Main_Log_Status(Main_Log[[#This Row],[Carrier]],Main_Log[[#This Row],[Net Weight]])</f>
        <v/>
      </c>
      <c r="O12" s="30"/>
      <c r="P1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" s="30"/>
      <c r="R12" s="30" t="str" cm="1">
        <f t="array" ref="R12">Main_Log_Ref(Main_Log[[#This Row],[Carrier]])</f>
        <v/>
      </c>
    </row>
    <row r="13" spans="1:18" ht="29.85" customHeight="1" x14ac:dyDescent="0.45">
      <c r="A13" s="30">
        <v>11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 t="str" cm="1">
        <f t="array" ref="N13">Main_Log_Status(Main_Log[[#This Row],[Carrier]],Main_Log[[#This Row],[Net Weight]])</f>
        <v/>
      </c>
      <c r="O13" s="30"/>
      <c r="P1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" s="30"/>
      <c r="R13" s="30" t="str" cm="1">
        <f t="array" ref="R13">Main_Log_Ref(Main_Log[[#This Row],[Carrier]])</f>
        <v/>
      </c>
    </row>
    <row r="14" spans="1:18" ht="29.85" customHeight="1" x14ac:dyDescent="0.45">
      <c r="A14" s="30">
        <v>12</v>
      </c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 t="str" cm="1">
        <f t="array" ref="N14">Main_Log_Status(Main_Log[[#This Row],[Carrier]],Main_Log[[#This Row],[Net Weight]])</f>
        <v/>
      </c>
      <c r="O14" s="30"/>
      <c r="P1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" s="30"/>
      <c r="R14" s="30" t="str" cm="1">
        <f t="array" ref="R14">Main_Log_Ref(Main_Log[[#This Row],[Carrier]])</f>
        <v/>
      </c>
    </row>
    <row r="15" spans="1:18" ht="29.85" customHeight="1" x14ac:dyDescent="0.45">
      <c r="A15" s="30">
        <v>13</v>
      </c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 t="str" cm="1">
        <f t="array" ref="N15">Main_Log_Status(Main_Log[[#This Row],[Carrier]],Main_Log[[#This Row],[Net Weight]])</f>
        <v/>
      </c>
      <c r="O15" s="30"/>
      <c r="P1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" s="30"/>
      <c r="R15" s="30" t="str" cm="1">
        <f t="array" ref="R15">Main_Log_Ref(Main_Log[[#This Row],[Carrier]])</f>
        <v/>
      </c>
    </row>
    <row r="16" spans="1:18" ht="29.85" customHeight="1" x14ac:dyDescent="0.45">
      <c r="A16" s="30">
        <v>14</v>
      </c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 t="str" cm="1">
        <f t="array" ref="N16">Main_Log_Status(Main_Log[[#This Row],[Carrier]],Main_Log[[#This Row],[Net Weight]])</f>
        <v/>
      </c>
      <c r="O16" s="30"/>
      <c r="P1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" s="30"/>
      <c r="R16" s="30" t="str" cm="1">
        <f t="array" ref="R16">Main_Log_Ref(Main_Log[[#This Row],[Carrier]])</f>
        <v/>
      </c>
    </row>
    <row r="17" spans="1:18" ht="29.85" customHeight="1" x14ac:dyDescent="0.45">
      <c r="A17" s="30">
        <v>15</v>
      </c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 t="str" cm="1">
        <f t="array" ref="N17">Main_Log_Status(Main_Log[[#This Row],[Carrier]],Main_Log[[#This Row],[Net Weight]])</f>
        <v/>
      </c>
      <c r="O17" s="30"/>
      <c r="P1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" s="30"/>
      <c r="R17" s="30" t="str" cm="1">
        <f t="array" ref="R17">Main_Log_Ref(Main_Log[[#This Row],[Carrier]])</f>
        <v/>
      </c>
    </row>
    <row r="18" spans="1:18" ht="29.85" customHeight="1" x14ac:dyDescent="0.45">
      <c r="A18" s="30">
        <v>16</v>
      </c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 t="str" cm="1">
        <f t="array" ref="N18">Main_Log_Status(Main_Log[[#This Row],[Carrier]],Main_Log[[#This Row],[Net Weight]])</f>
        <v/>
      </c>
      <c r="O18" s="30"/>
      <c r="P1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" s="30"/>
      <c r="R18" s="30" t="str" cm="1">
        <f t="array" ref="R18">Main_Log_Ref(Main_Log[[#This Row],[Carrier]])</f>
        <v/>
      </c>
    </row>
    <row r="19" spans="1:18" ht="29.85" customHeight="1" x14ac:dyDescent="0.45">
      <c r="A19" s="30">
        <v>17</v>
      </c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 t="str" cm="1">
        <f t="array" ref="N19">Main_Log_Status(Main_Log[[#This Row],[Carrier]],Main_Log[[#This Row],[Net Weight]])</f>
        <v/>
      </c>
      <c r="O19" s="30"/>
      <c r="P1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" s="30"/>
      <c r="R19" s="30" t="str" cm="1">
        <f t="array" ref="R19">Main_Log_Ref(Main_Log[[#This Row],[Carrier]])</f>
        <v/>
      </c>
    </row>
    <row r="20" spans="1:18" ht="29.85" customHeight="1" x14ac:dyDescent="0.45">
      <c r="A20" s="30">
        <v>18</v>
      </c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 t="str" cm="1">
        <f t="array" ref="N20">Main_Log_Status(Main_Log[[#This Row],[Carrier]],Main_Log[[#This Row],[Net Weight]])</f>
        <v/>
      </c>
      <c r="O20" s="30"/>
      <c r="P2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" s="30"/>
      <c r="R20" s="30" t="str" cm="1">
        <f t="array" ref="R20">Main_Log_Ref(Main_Log[[#This Row],[Carrier]])</f>
        <v/>
      </c>
    </row>
    <row r="21" spans="1:18" ht="29.85" customHeight="1" x14ac:dyDescent="0.45">
      <c r="A21" s="30">
        <v>19</v>
      </c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 t="str" cm="1">
        <f t="array" ref="N21">Main_Log_Status(Main_Log[[#This Row],[Carrier]],Main_Log[[#This Row],[Net Weight]])</f>
        <v/>
      </c>
      <c r="O21" s="30"/>
      <c r="P2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" s="30"/>
      <c r="R21" s="30" t="str" cm="1">
        <f t="array" ref="R21">Main_Log_Ref(Main_Log[[#This Row],[Carrier]])</f>
        <v/>
      </c>
    </row>
    <row r="22" spans="1:18" ht="29.85" customHeight="1" x14ac:dyDescent="0.45">
      <c r="A22" s="30">
        <v>20</v>
      </c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 t="str" cm="1">
        <f t="array" ref="N22">Main_Log_Status(Main_Log[[#This Row],[Carrier]],Main_Log[[#This Row],[Net Weight]])</f>
        <v/>
      </c>
      <c r="O22" s="30"/>
      <c r="P2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" s="30"/>
      <c r="R22" s="30" t="str" cm="1">
        <f t="array" ref="R22">Main_Log_Ref(Main_Log[[#This Row],[Carrier]])</f>
        <v/>
      </c>
    </row>
    <row r="23" spans="1:18" ht="29.85" customHeight="1" x14ac:dyDescent="0.45">
      <c r="A23" s="30">
        <v>21</v>
      </c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 t="str" cm="1">
        <f t="array" ref="N23">Main_Log_Status(Main_Log[[#This Row],[Carrier]],Main_Log[[#This Row],[Net Weight]])</f>
        <v/>
      </c>
      <c r="O23" s="30"/>
      <c r="P2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" s="30"/>
      <c r="R23" s="30" t="str" cm="1">
        <f t="array" ref="R23">Main_Log_Ref(Main_Log[[#This Row],[Carrier]])</f>
        <v/>
      </c>
    </row>
    <row r="24" spans="1:18" ht="29.85" customHeight="1" x14ac:dyDescent="0.45">
      <c r="A24" s="30">
        <v>22</v>
      </c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 t="str" cm="1">
        <f t="array" ref="N24">Main_Log_Status(Main_Log[[#This Row],[Carrier]],Main_Log[[#This Row],[Net Weight]])</f>
        <v/>
      </c>
      <c r="O24" s="30"/>
      <c r="P2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4" s="30"/>
      <c r="R24" s="30" t="str" cm="1">
        <f t="array" ref="R24">Main_Log_Ref(Main_Log[[#This Row],[Carrier]])</f>
        <v/>
      </c>
    </row>
    <row r="25" spans="1:18" ht="29.85" customHeight="1" x14ac:dyDescent="0.45">
      <c r="A25" s="30">
        <v>23</v>
      </c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 t="str" cm="1">
        <f t="array" ref="N25">Main_Log_Status(Main_Log[[#This Row],[Carrier]],Main_Log[[#This Row],[Net Weight]])</f>
        <v/>
      </c>
      <c r="O25" s="30"/>
      <c r="P2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5" s="30"/>
      <c r="R25" s="30" t="str" cm="1">
        <f t="array" ref="R25">Main_Log_Ref(Main_Log[[#This Row],[Carrier]])</f>
        <v/>
      </c>
    </row>
    <row r="26" spans="1:18" ht="29.85" customHeight="1" x14ac:dyDescent="0.45">
      <c r="A26" s="30">
        <v>24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 t="str" cm="1">
        <f t="array" ref="N26">Main_Log_Status(Main_Log[[#This Row],[Carrier]],Main_Log[[#This Row],[Net Weight]])</f>
        <v/>
      </c>
      <c r="O26" s="30"/>
      <c r="P2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6" s="30"/>
      <c r="R26" s="30" t="str" cm="1">
        <f t="array" ref="R26">Main_Log_Ref(Main_Log[[#This Row],[Carrier]])</f>
        <v/>
      </c>
    </row>
    <row r="27" spans="1:18" ht="29.85" customHeight="1" x14ac:dyDescent="0.45">
      <c r="A27" s="30">
        <v>25</v>
      </c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 t="str" cm="1">
        <f t="array" ref="N27">Main_Log_Status(Main_Log[[#This Row],[Carrier]],Main_Log[[#This Row],[Net Weight]])</f>
        <v/>
      </c>
      <c r="O27" s="30"/>
      <c r="P2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7" s="30"/>
      <c r="R27" s="30" t="str" cm="1">
        <f t="array" ref="R27">Main_Log_Ref(Main_Log[[#This Row],[Carrier]])</f>
        <v/>
      </c>
    </row>
    <row r="28" spans="1:18" ht="29.85" customHeight="1" x14ac:dyDescent="0.45">
      <c r="A28" s="30">
        <v>26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 t="str" cm="1">
        <f t="array" ref="N28">Main_Log_Status(Main_Log[[#This Row],[Carrier]],Main_Log[[#This Row],[Net Weight]])</f>
        <v/>
      </c>
      <c r="O28" s="30"/>
      <c r="P2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8" s="30"/>
      <c r="R28" s="30" t="str" cm="1">
        <f t="array" ref="R28">Main_Log_Ref(Main_Log[[#This Row],[Carrier]])</f>
        <v/>
      </c>
    </row>
    <row r="29" spans="1:18" ht="29.85" customHeight="1" x14ac:dyDescent="0.45">
      <c r="A29" s="30">
        <v>27</v>
      </c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 t="str" cm="1">
        <f t="array" ref="N29">Main_Log_Status(Main_Log[[#This Row],[Carrier]],Main_Log[[#This Row],[Net Weight]])</f>
        <v/>
      </c>
      <c r="O29" s="30"/>
      <c r="P2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9" s="30"/>
      <c r="R29" s="30" t="str" cm="1">
        <f t="array" ref="R29">Main_Log_Ref(Main_Log[[#This Row],[Carrier]])</f>
        <v/>
      </c>
    </row>
    <row r="30" spans="1:18" ht="29.85" customHeight="1" x14ac:dyDescent="0.45">
      <c r="A30" s="30">
        <v>28</v>
      </c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 t="str" cm="1">
        <f t="array" ref="N30">Main_Log_Status(Main_Log[[#This Row],[Carrier]],Main_Log[[#This Row],[Net Weight]])</f>
        <v/>
      </c>
      <c r="O30" s="30"/>
      <c r="P3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0" s="30"/>
      <c r="R30" s="30" t="str" cm="1">
        <f t="array" ref="R30">Main_Log_Ref(Main_Log[[#This Row],[Carrier]])</f>
        <v/>
      </c>
    </row>
    <row r="31" spans="1:18" ht="29.85" customHeight="1" x14ac:dyDescent="0.45">
      <c r="A31" s="30">
        <v>29</v>
      </c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 t="str" cm="1">
        <f t="array" ref="N31">Main_Log_Status(Main_Log[[#This Row],[Carrier]],Main_Log[[#This Row],[Net Weight]])</f>
        <v/>
      </c>
      <c r="O31" s="30"/>
      <c r="P3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1" s="30"/>
      <c r="R31" s="30" t="str" cm="1">
        <f t="array" ref="R31">Main_Log_Ref(Main_Log[[#This Row],[Carrier]])</f>
        <v/>
      </c>
    </row>
    <row r="32" spans="1:18" ht="29.85" customHeight="1" x14ac:dyDescent="0.45">
      <c r="A32" s="30">
        <v>30</v>
      </c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 t="str" cm="1">
        <f t="array" ref="N32">Main_Log_Status(Main_Log[[#This Row],[Carrier]],Main_Log[[#This Row],[Net Weight]])</f>
        <v/>
      </c>
      <c r="O32" s="30"/>
      <c r="P3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2" s="30"/>
      <c r="R32" s="30" t="str" cm="1">
        <f t="array" ref="R32">Main_Log_Ref(Main_Log[[#This Row],[Carrier]])</f>
        <v/>
      </c>
    </row>
    <row r="33" spans="1:18" ht="29.85" customHeight="1" x14ac:dyDescent="0.45">
      <c r="A33" s="30">
        <v>31</v>
      </c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 t="str" cm="1">
        <f t="array" ref="N33">Main_Log_Status(Main_Log[[#This Row],[Carrier]],Main_Log[[#This Row],[Net Weight]])</f>
        <v/>
      </c>
      <c r="O33" s="30"/>
      <c r="P3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3" s="30"/>
      <c r="R33" s="30" t="str" cm="1">
        <f t="array" ref="R33">Main_Log_Ref(Main_Log[[#This Row],[Carrier]])</f>
        <v/>
      </c>
    </row>
    <row r="34" spans="1:18" ht="29.85" customHeight="1" x14ac:dyDescent="0.45">
      <c r="A34" s="30">
        <v>32</v>
      </c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 t="str" cm="1">
        <f t="array" ref="N34">Main_Log_Status(Main_Log[[#This Row],[Carrier]],Main_Log[[#This Row],[Net Weight]])</f>
        <v/>
      </c>
      <c r="O34" s="30"/>
      <c r="P3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4" s="30"/>
      <c r="R34" s="30" t="str" cm="1">
        <f t="array" ref="R34">Main_Log_Ref(Main_Log[[#This Row],[Carrier]])</f>
        <v/>
      </c>
    </row>
    <row r="35" spans="1:18" ht="29.85" customHeight="1" x14ac:dyDescent="0.45">
      <c r="A35" s="30">
        <v>33</v>
      </c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 t="str" cm="1">
        <f t="array" ref="N35">Main_Log_Status(Main_Log[[#This Row],[Carrier]],Main_Log[[#This Row],[Net Weight]])</f>
        <v/>
      </c>
      <c r="O35" s="30"/>
      <c r="P3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5" s="30"/>
      <c r="R35" s="30" t="str" cm="1">
        <f t="array" ref="R35">Main_Log_Ref(Main_Log[[#This Row],[Carrier]])</f>
        <v/>
      </c>
    </row>
    <row r="36" spans="1:18" ht="29.85" customHeight="1" x14ac:dyDescent="0.45">
      <c r="A36" s="30">
        <v>34</v>
      </c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 t="str" cm="1">
        <f t="array" ref="N36">Main_Log_Status(Main_Log[[#This Row],[Carrier]],Main_Log[[#This Row],[Net Weight]])</f>
        <v/>
      </c>
      <c r="O36" s="30"/>
      <c r="P3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6" s="30"/>
      <c r="R36" s="30" t="str" cm="1">
        <f t="array" ref="R36">Main_Log_Ref(Main_Log[[#This Row],[Carrier]])</f>
        <v/>
      </c>
    </row>
    <row r="37" spans="1:18" ht="29.85" customHeight="1" x14ac:dyDescent="0.45">
      <c r="A37" s="30">
        <v>35</v>
      </c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 t="str" cm="1">
        <f t="array" ref="N37">Main_Log_Status(Main_Log[[#This Row],[Carrier]],Main_Log[[#This Row],[Net Weight]])</f>
        <v/>
      </c>
      <c r="O37" s="30"/>
      <c r="P3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7" s="30"/>
      <c r="R37" s="30" t="str" cm="1">
        <f t="array" ref="R37">Main_Log_Ref(Main_Log[[#This Row],[Carrier]])</f>
        <v/>
      </c>
    </row>
    <row r="38" spans="1:18" ht="29.85" customHeight="1" x14ac:dyDescent="0.45">
      <c r="A38" s="30">
        <v>36</v>
      </c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 t="str" cm="1">
        <f t="array" ref="N38">Main_Log_Status(Main_Log[[#This Row],[Carrier]],Main_Log[[#This Row],[Net Weight]])</f>
        <v/>
      </c>
      <c r="O38" s="30"/>
      <c r="P3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8" s="30"/>
      <c r="R38" s="30" t="str" cm="1">
        <f t="array" ref="R38">Main_Log_Ref(Main_Log[[#This Row],[Carrier]])</f>
        <v/>
      </c>
    </row>
    <row r="39" spans="1:18" ht="29.85" customHeight="1" x14ac:dyDescent="0.45">
      <c r="A39" s="30">
        <v>37</v>
      </c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 t="str" cm="1">
        <f t="array" ref="N39">Main_Log_Status(Main_Log[[#This Row],[Carrier]],Main_Log[[#This Row],[Net Weight]])</f>
        <v/>
      </c>
      <c r="O39" s="30"/>
      <c r="P3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9" s="30"/>
      <c r="R39" s="30" t="str" cm="1">
        <f t="array" ref="R39">Main_Log_Ref(Main_Log[[#This Row],[Carrier]])</f>
        <v/>
      </c>
    </row>
    <row r="40" spans="1:18" ht="29.85" customHeight="1" x14ac:dyDescent="0.45">
      <c r="A40" s="30">
        <v>38</v>
      </c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 t="str" cm="1">
        <f t="array" ref="N40">Main_Log_Status(Main_Log[[#This Row],[Carrier]],Main_Log[[#This Row],[Net Weight]])</f>
        <v/>
      </c>
      <c r="O40" s="30"/>
      <c r="P4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0" s="30"/>
      <c r="R40" s="30" t="str" cm="1">
        <f t="array" ref="R40">Main_Log_Ref(Main_Log[[#This Row],[Carrier]])</f>
        <v/>
      </c>
    </row>
    <row r="41" spans="1:18" ht="29.85" customHeight="1" x14ac:dyDescent="0.45">
      <c r="A41" s="30">
        <v>39</v>
      </c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 t="str" cm="1">
        <f t="array" ref="N41">Main_Log_Status(Main_Log[[#This Row],[Carrier]],Main_Log[[#This Row],[Net Weight]])</f>
        <v/>
      </c>
      <c r="O41" s="30"/>
      <c r="P4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1" s="30"/>
      <c r="R41" s="30" t="str" cm="1">
        <f t="array" ref="R41">Main_Log_Ref(Main_Log[[#This Row],[Carrier]])</f>
        <v/>
      </c>
    </row>
    <row r="42" spans="1:18" ht="29.85" customHeight="1" x14ac:dyDescent="0.45">
      <c r="A42" s="30">
        <v>40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 t="str" cm="1">
        <f t="array" ref="N42">Main_Log_Status(Main_Log[[#This Row],[Carrier]],Main_Log[[#This Row],[Net Weight]])</f>
        <v/>
      </c>
      <c r="O42" s="30"/>
      <c r="P4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2" s="30"/>
      <c r="R42" s="30" t="str" cm="1">
        <f t="array" ref="R42">Main_Log_Ref(Main_Log[[#This Row],[Carrier]])</f>
        <v/>
      </c>
    </row>
    <row r="43" spans="1:18" ht="29.85" customHeight="1" x14ac:dyDescent="0.45">
      <c r="A43" s="30">
        <v>41</v>
      </c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 t="str" cm="1">
        <f t="array" ref="N43">Main_Log_Status(Main_Log[[#This Row],[Carrier]],Main_Log[[#This Row],[Net Weight]])</f>
        <v/>
      </c>
      <c r="O43" s="30"/>
      <c r="P4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3" s="30"/>
      <c r="R43" s="30" t="str" cm="1">
        <f t="array" ref="R43">Main_Log_Ref(Main_Log[[#This Row],[Carrier]])</f>
        <v/>
      </c>
    </row>
    <row r="44" spans="1:18" ht="29.85" customHeight="1" x14ac:dyDescent="0.45">
      <c r="A44" s="30">
        <v>42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 t="str" cm="1">
        <f t="array" ref="N44">Main_Log_Status(Main_Log[[#This Row],[Carrier]],Main_Log[[#This Row],[Net Weight]])</f>
        <v/>
      </c>
      <c r="O44" s="30"/>
      <c r="P4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4" s="30"/>
      <c r="R44" s="30" t="str" cm="1">
        <f t="array" ref="R44">Main_Log_Ref(Main_Log[[#This Row],[Carrier]])</f>
        <v/>
      </c>
    </row>
    <row r="45" spans="1:18" ht="29.85" customHeight="1" x14ac:dyDescent="0.45">
      <c r="A45" s="30">
        <v>43</v>
      </c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 t="str" cm="1">
        <f t="array" ref="N45">Main_Log_Status(Main_Log[[#This Row],[Carrier]],Main_Log[[#This Row],[Net Weight]])</f>
        <v/>
      </c>
      <c r="O45" s="30"/>
      <c r="P4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5" s="30"/>
      <c r="R45" s="30" t="str" cm="1">
        <f t="array" ref="R45">Main_Log_Ref(Main_Log[[#This Row],[Carrier]])</f>
        <v/>
      </c>
    </row>
    <row r="46" spans="1:18" ht="29.85" customHeight="1" x14ac:dyDescent="0.45">
      <c r="A46" s="30">
        <v>44</v>
      </c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 t="str" cm="1">
        <f t="array" ref="N46">Main_Log_Status(Main_Log[[#This Row],[Carrier]],Main_Log[[#This Row],[Net Weight]])</f>
        <v/>
      </c>
      <c r="O46" s="30"/>
      <c r="P4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6" s="30"/>
      <c r="R46" s="30" t="str" cm="1">
        <f t="array" ref="R46">Main_Log_Ref(Main_Log[[#This Row],[Carrier]])</f>
        <v/>
      </c>
    </row>
    <row r="47" spans="1:18" ht="29.85" customHeight="1" x14ac:dyDescent="0.45">
      <c r="A47" s="30">
        <v>45</v>
      </c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 t="str" cm="1">
        <f t="array" ref="N47">Main_Log_Status(Main_Log[[#This Row],[Carrier]],Main_Log[[#This Row],[Net Weight]])</f>
        <v/>
      </c>
      <c r="O47" s="30"/>
      <c r="P4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7" s="30"/>
      <c r="R47" s="30" t="str" cm="1">
        <f t="array" ref="R47">Main_Log_Ref(Main_Log[[#This Row],[Carrier]])</f>
        <v/>
      </c>
    </row>
    <row r="48" spans="1:18" ht="29.85" customHeight="1" x14ac:dyDescent="0.45">
      <c r="A48" s="30">
        <v>46</v>
      </c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 t="str" cm="1">
        <f t="array" ref="N48">Main_Log_Status(Main_Log[[#This Row],[Carrier]],Main_Log[[#This Row],[Net Weight]])</f>
        <v/>
      </c>
      <c r="O48" s="30"/>
      <c r="P4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8" s="30"/>
      <c r="R48" s="30" t="str" cm="1">
        <f t="array" ref="R48">Main_Log_Ref(Main_Log[[#This Row],[Carrier]])</f>
        <v/>
      </c>
    </row>
    <row r="49" spans="1:18" ht="29.85" customHeight="1" x14ac:dyDescent="0.45">
      <c r="A49" s="30">
        <v>47</v>
      </c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 t="str" cm="1">
        <f t="array" ref="N49">Main_Log_Status(Main_Log[[#This Row],[Carrier]],Main_Log[[#This Row],[Net Weight]])</f>
        <v/>
      </c>
      <c r="O49" s="30"/>
      <c r="P4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9" s="30"/>
      <c r="R49" s="30" t="str" cm="1">
        <f t="array" ref="R49">Main_Log_Ref(Main_Log[[#This Row],[Carrier]])</f>
        <v/>
      </c>
    </row>
    <row r="50" spans="1:18" ht="29.85" customHeight="1" x14ac:dyDescent="0.45">
      <c r="A50" s="30">
        <v>48</v>
      </c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 t="str" cm="1">
        <f t="array" ref="N50">Main_Log_Status(Main_Log[[#This Row],[Carrier]],Main_Log[[#This Row],[Net Weight]])</f>
        <v/>
      </c>
      <c r="O50" s="30"/>
      <c r="P5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0" s="30"/>
      <c r="R50" s="30" t="str" cm="1">
        <f t="array" ref="R50">Main_Log_Ref(Main_Log[[#This Row],[Carrier]])</f>
        <v/>
      </c>
    </row>
    <row r="51" spans="1:18" ht="29.85" customHeight="1" x14ac:dyDescent="0.45">
      <c r="A51" s="30">
        <v>49</v>
      </c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 t="str" cm="1">
        <f t="array" ref="N51">Main_Log_Status(Main_Log[[#This Row],[Carrier]],Main_Log[[#This Row],[Net Weight]])</f>
        <v/>
      </c>
      <c r="O51" s="30"/>
      <c r="P5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1" s="30"/>
      <c r="R51" s="30" t="str" cm="1">
        <f t="array" ref="R51">Main_Log_Ref(Main_Log[[#This Row],[Carrier]])</f>
        <v/>
      </c>
    </row>
    <row r="52" spans="1:18" ht="29.85" customHeight="1" x14ac:dyDescent="0.45">
      <c r="A52" s="30">
        <v>50</v>
      </c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 t="str" cm="1">
        <f t="array" ref="N52">Main_Log_Status(Main_Log[[#This Row],[Carrier]],Main_Log[[#This Row],[Net Weight]])</f>
        <v/>
      </c>
      <c r="O52" s="30"/>
      <c r="P5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2" s="30"/>
      <c r="R52" s="30" t="str" cm="1">
        <f t="array" ref="R52">Main_Log_Ref(Main_Log[[#This Row],[Carrier]])</f>
        <v/>
      </c>
    </row>
    <row r="53" spans="1:18" ht="29.85" customHeight="1" x14ac:dyDescent="0.45">
      <c r="A53" s="30">
        <v>51</v>
      </c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 t="str" cm="1">
        <f t="array" ref="N53">Main_Log_Status(Main_Log[[#This Row],[Carrier]],Main_Log[[#This Row],[Net Weight]])</f>
        <v/>
      </c>
      <c r="O53" s="30"/>
      <c r="P5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3" s="30"/>
      <c r="R53" s="30" t="str" cm="1">
        <f t="array" ref="R53">Main_Log_Ref(Main_Log[[#This Row],[Carrier]])</f>
        <v/>
      </c>
    </row>
    <row r="54" spans="1:18" ht="29.85" customHeight="1" x14ac:dyDescent="0.45">
      <c r="A54" s="30">
        <v>52</v>
      </c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 t="str" cm="1">
        <f t="array" ref="N54">Main_Log_Status(Main_Log[[#This Row],[Carrier]],Main_Log[[#This Row],[Net Weight]])</f>
        <v/>
      </c>
      <c r="O54" s="30"/>
      <c r="P5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4" s="30"/>
      <c r="R54" s="30" t="str" cm="1">
        <f t="array" ref="R54">Main_Log_Ref(Main_Log[[#This Row],[Carrier]])</f>
        <v/>
      </c>
    </row>
    <row r="55" spans="1:18" ht="29.85" customHeight="1" x14ac:dyDescent="0.45">
      <c r="A55" s="30">
        <v>53</v>
      </c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 t="str" cm="1">
        <f t="array" ref="N55">Main_Log_Status(Main_Log[[#This Row],[Carrier]],Main_Log[[#This Row],[Net Weight]])</f>
        <v/>
      </c>
      <c r="O55" s="30"/>
      <c r="P5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5" s="30"/>
      <c r="R55" s="30" t="str" cm="1">
        <f t="array" ref="R55">Main_Log_Ref(Main_Log[[#This Row],[Carrier]])</f>
        <v/>
      </c>
    </row>
    <row r="56" spans="1:18" ht="29.85" customHeight="1" x14ac:dyDescent="0.45">
      <c r="A56" s="30">
        <v>54</v>
      </c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 t="str" cm="1">
        <f t="array" ref="N56">Main_Log_Status(Main_Log[[#This Row],[Carrier]],Main_Log[[#This Row],[Net Weight]])</f>
        <v/>
      </c>
      <c r="O56" s="30"/>
      <c r="P5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6" s="30"/>
      <c r="R56" s="30" t="str" cm="1">
        <f t="array" ref="R56">Main_Log_Ref(Main_Log[[#This Row],[Carrier]])</f>
        <v/>
      </c>
    </row>
    <row r="57" spans="1:18" ht="29.85" customHeight="1" x14ac:dyDescent="0.45">
      <c r="A57" s="30">
        <v>55</v>
      </c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 t="str" cm="1">
        <f t="array" ref="N57">Main_Log_Status(Main_Log[[#This Row],[Carrier]],Main_Log[[#This Row],[Net Weight]])</f>
        <v/>
      </c>
      <c r="O57" s="30"/>
      <c r="P5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7" s="30"/>
      <c r="R57" s="30" t="str" cm="1">
        <f t="array" ref="R57">Main_Log_Ref(Main_Log[[#This Row],[Carrier]])</f>
        <v/>
      </c>
    </row>
    <row r="58" spans="1:18" ht="29.85" customHeight="1" x14ac:dyDescent="0.45">
      <c r="A58" s="30">
        <v>56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 t="str" cm="1">
        <f t="array" ref="N58">Main_Log_Status(Main_Log[[#This Row],[Carrier]],Main_Log[[#This Row],[Net Weight]])</f>
        <v/>
      </c>
      <c r="O58" s="30"/>
      <c r="P5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8" s="30"/>
      <c r="R58" s="30" t="str" cm="1">
        <f t="array" ref="R58">Main_Log_Ref(Main_Log[[#This Row],[Carrier]])</f>
        <v/>
      </c>
    </row>
    <row r="59" spans="1:18" ht="29.85" customHeight="1" x14ac:dyDescent="0.45">
      <c r="A59" s="30">
        <v>57</v>
      </c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 t="str" cm="1">
        <f t="array" ref="N59">Main_Log_Status(Main_Log[[#This Row],[Carrier]],Main_Log[[#This Row],[Net Weight]])</f>
        <v/>
      </c>
      <c r="O59" s="30"/>
      <c r="P5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9" s="30"/>
      <c r="R59" s="30" t="str" cm="1">
        <f t="array" ref="R59">Main_Log_Ref(Main_Log[[#This Row],[Carrier]])</f>
        <v/>
      </c>
    </row>
    <row r="60" spans="1:18" ht="29.85" customHeight="1" x14ac:dyDescent="0.45">
      <c r="A60" s="30">
        <v>58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 t="str" cm="1">
        <f t="array" ref="N60">Main_Log_Status(Main_Log[[#This Row],[Carrier]],Main_Log[[#This Row],[Net Weight]])</f>
        <v/>
      </c>
      <c r="O60" s="30"/>
      <c r="P6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0" s="30"/>
      <c r="R60" s="30" t="str" cm="1">
        <f t="array" ref="R60">Main_Log_Ref(Main_Log[[#This Row],[Carrier]])</f>
        <v/>
      </c>
    </row>
    <row r="61" spans="1:18" ht="29.85" customHeight="1" x14ac:dyDescent="0.45">
      <c r="A61" s="30">
        <v>59</v>
      </c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 t="str" cm="1">
        <f t="array" ref="N61">Main_Log_Status(Main_Log[[#This Row],[Carrier]],Main_Log[[#This Row],[Net Weight]])</f>
        <v/>
      </c>
      <c r="O61" s="30"/>
      <c r="P6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1" s="30"/>
      <c r="R61" s="30" t="str" cm="1">
        <f t="array" ref="R61">Main_Log_Ref(Main_Log[[#This Row],[Carrier]])</f>
        <v/>
      </c>
    </row>
    <row r="62" spans="1:18" ht="29.85" customHeight="1" x14ac:dyDescent="0.45">
      <c r="A62" s="30">
        <v>60</v>
      </c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 t="str" cm="1">
        <f t="array" ref="N62">Main_Log_Status(Main_Log[[#This Row],[Carrier]],Main_Log[[#This Row],[Net Weight]])</f>
        <v/>
      </c>
      <c r="O62" s="30"/>
      <c r="P6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2" s="30"/>
      <c r="R62" s="30" t="str" cm="1">
        <f t="array" ref="R62">Main_Log_Ref(Main_Log[[#This Row],[Carrier]])</f>
        <v/>
      </c>
    </row>
    <row r="63" spans="1:18" ht="29.85" customHeight="1" x14ac:dyDescent="0.45">
      <c r="A63" s="30">
        <v>61</v>
      </c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 t="str" cm="1">
        <f t="array" ref="N63">Main_Log_Status(Main_Log[[#This Row],[Carrier]],Main_Log[[#This Row],[Net Weight]])</f>
        <v/>
      </c>
      <c r="O63" s="30"/>
      <c r="P6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3" s="30"/>
      <c r="R63" s="30" t="str" cm="1">
        <f t="array" ref="R63">Main_Log_Ref(Main_Log[[#This Row],[Carrier]])</f>
        <v/>
      </c>
    </row>
    <row r="64" spans="1:18" ht="29.85" customHeight="1" x14ac:dyDescent="0.45">
      <c r="A64" s="30">
        <v>62</v>
      </c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 t="str" cm="1">
        <f t="array" ref="N64">Main_Log_Status(Main_Log[[#This Row],[Carrier]],Main_Log[[#This Row],[Net Weight]])</f>
        <v/>
      </c>
      <c r="O64" s="30"/>
      <c r="P6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4" s="30"/>
      <c r="R64" s="30" t="str" cm="1">
        <f t="array" ref="R64">Main_Log_Ref(Main_Log[[#This Row],[Carrier]])</f>
        <v/>
      </c>
    </row>
    <row r="65" spans="1:18" ht="29.85" customHeight="1" x14ac:dyDescent="0.45">
      <c r="A65" s="30">
        <v>63</v>
      </c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 t="str" cm="1">
        <f t="array" ref="N65">Main_Log_Status(Main_Log[[#This Row],[Carrier]],Main_Log[[#This Row],[Net Weight]])</f>
        <v/>
      </c>
      <c r="O65" s="30"/>
      <c r="P6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5" s="30"/>
      <c r="R65" s="30" t="str" cm="1">
        <f t="array" ref="R65">Main_Log_Ref(Main_Log[[#This Row],[Carrier]])</f>
        <v/>
      </c>
    </row>
    <row r="66" spans="1:18" ht="29.85" customHeight="1" x14ac:dyDescent="0.45">
      <c r="A66" s="30">
        <v>64</v>
      </c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 t="str" cm="1">
        <f t="array" ref="N66">Main_Log_Status(Main_Log[[#This Row],[Carrier]],Main_Log[[#This Row],[Net Weight]])</f>
        <v/>
      </c>
      <c r="O66" s="30"/>
      <c r="P6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6" s="30"/>
      <c r="R66" s="30" t="str" cm="1">
        <f t="array" ref="R66">Main_Log_Ref(Main_Log[[#This Row],[Carrier]])</f>
        <v/>
      </c>
    </row>
    <row r="67" spans="1:18" ht="29.85" customHeight="1" x14ac:dyDescent="0.45">
      <c r="A67" s="30">
        <v>65</v>
      </c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 t="str" cm="1">
        <f t="array" ref="N67">Main_Log_Status(Main_Log[[#This Row],[Carrier]],Main_Log[[#This Row],[Net Weight]])</f>
        <v/>
      </c>
      <c r="O67" s="30"/>
      <c r="P6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7" s="30"/>
      <c r="R67" s="30" t="str" cm="1">
        <f t="array" ref="R67">Main_Log_Ref(Main_Log[[#This Row],[Carrier]])</f>
        <v/>
      </c>
    </row>
    <row r="68" spans="1:18" ht="29.85" customHeight="1" x14ac:dyDescent="0.45">
      <c r="A68" s="30">
        <v>66</v>
      </c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 t="str" cm="1">
        <f t="array" ref="N68">Main_Log_Status(Main_Log[[#This Row],[Carrier]],Main_Log[[#This Row],[Net Weight]])</f>
        <v/>
      </c>
      <c r="O68" s="30"/>
      <c r="P6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8" s="30"/>
      <c r="R68" s="30" t="str" cm="1">
        <f t="array" ref="R68">Main_Log_Ref(Main_Log[[#This Row],[Carrier]])</f>
        <v/>
      </c>
    </row>
    <row r="69" spans="1:18" ht="29.85" customHeight="1" x14ac:dyDescent="0.45">
      <c r="A69" s="30">
        <v>67</v>
      </c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 t="str" cm="1">
        <f t="array" ref="N69">Main_Log_Status(Main_Log[[#This Row],[Carrier]],Main_Log[[#This Row],[Net Weight]])</f>
        <v/>
      </c>
      <c r="O69" s="30"/>
      <c r="P6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9" s="30"/>
      <c r="R69" s="30" t="str" cm="1">
        <f t="array" ref="R69">Main_Log_Ref(Main_Log[[#This Row],[Carrier]])</f>
        <v/>
      </c>
    </row>
    <row r="70" spans="1:18" ht="29.85" customHeight="1" x14ac:dyDescent="0.45">
      <c r="A70" s="30">
        <v>68</v>
      </c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 t="str" cm="1">
        <f t="array" ref="N70">Main_Log_Status(Main_Log[[#This Row],[Carrier]],Main_Log[[#This Row],[Net Weight]])</f>
        <v/>
      </c>
      <c r="O70" s="30"/>
      <c r="P7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0" s="30"/>
      <c r="R70" s="30" t="str" cm="1">
        <f t="array" ref="R70">Main_Log_Ref(Main_Log[[#This Row],[Carrier]])</f>
        <v/>
      </c>
    </row>
    <row r="71" spans="1:18" ht="29.85" customHeight="1" x14ac:dyDescent="0.45">
      <c r="A71" s="30">
        <v>69</v>
      </c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 t="str" cm="1">
        <f t="array" ref="N71">Main_Log_Status(Main_Log[[#This Row],[Carrier]],Main_Log[[#This Row],[Net Weight]])</f>
        <v/>
      </c>
      <c r="O71" s="30"/>
      <c r="P7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1" s="30"/>
      <c r="R71" s="30" t="str" cm="1">
        <f t="array" ref="R71">Main_Log_Ref(Main_Log[[#This Row],[Carrier]])</f>
        <v/>
      </c>
    </row>
    <row r="72" spans="1:18" ht="29.85" customHeight="1" x14ac:dyDescent="0.45">
      <c r="A72" s="30">
        <v>70</v>
      </c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 t="str" cm="1">
        <f t="array" ref="N72">Main_Log_Status(Main_Log[[#This Row],[Carrier]],Main_Log[[#This Row],[Net Weight]])</f>
        <v/>
      </c>
      <c r="O72" s="30"/>
      <c r="P7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2" s="30"/>
      <c r="R72" s="30" t="str" cm="1">
        <f t="array" ref="R72">Main_Log_Ref(Main_Log[[#This Row],[Carrier]])</f>
        <v/>
      </c>
    </row>
    <row r="73" spans="1:18" ht="29.85" customHeight="1" x14ac:dyDescent="0.45">
      <c r="A73" s="30">
        <v>71</v>
      </c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 t="str" cm="1">
        <f t="array" ref="N73">Main_Log_Status(Main_Log[[#This Row],[Carrier]],Main_Log[[#This Row],[Net Weight]])</f>
        <v/>
      </c>
      <c r="O73" s="30"/>
      <c r="P7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3" s="30"/>
      <c r="R73" s="30" t="str" cm="1">
        <f t="array" ref="R73">Main_Log_Ref(Main_Log[[#This Row],[Carrier]])</f>
        <v/>
      </c>
    </row>
    <row r="74" spans="1:18" ht="29.85" customHeight="1" x14ac:dyDescent="0.45">
      <c r="A74" s="30">
        <v>72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 t="str" cm="1">
        <f t="array" ref="N74">Main_Log_Status(Main_Log[[#This Row],[Carrier]],Main_Log[[#This Row],[Net Weight]])</f>
        <v/>
      </c>
      <c r="O74" s="30"/>
      <c r="P7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4" s="30"/>
      <c r="R74" s="30" t="str" cm="1">
        <f t="array" ref="R74">Main_Log_Ref(Main_Log[[#This Row],[Carrier]])</f>
        <v/>
      </c>
    </row>
    <row r="75" spans="1:18" ht="29.85" customHeight="1" x14ac:dyDescent="0.45">
      <c r="A75" s="30">
        <v>73</v>
      </c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 t="str" cm="1">
        <f t="array" ref="N75">Main_Log_Status(Main_Log[[#This Row],[Carrier]],Main_Log[[#This Row],[Net Weight]])</f>
        <v/>
      </c>
      <c r="O75" s="30"/>
      <c r="P7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5" s="30"/>
      <c r="R75" s="30" t="str" cm="1">
        <f t="array" ref="R75">Main_Log_Ref(Main_Log[[#This Row],[Carrier]])</f>
        <v/>
      </c>
    </row>
    <row r="76" spans="1:18" ht="29.85" customHeight="1" x14ac:dyDescent="0.45">
      <c r="A76" s="30">
        <v>74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 t="str" cm="1">
        <f t="array" ref="N76">Main_Log_Status(Main_Log[[#This Row],[Carrier]],Main_Log[[#This Row],[Net Weight]])</f>
        <v/>
      </c>
      <c r="O76" s="30"/>
      <c r="P7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6" s="30"/>
      <c r="R76" s="30" t="str" cm="1">
        <f t="array" ref="R76">Main_Log_Ref(Main_Log[[#This Row],[Carrier]])</f>
        <v/>
      </c>
    </row>
    <row r="77" spans="1:18" ht="29.85" customHeight="1" x14ac:dyDescent="0.45">
      <c r="A77" s="30">
        <v>75</v>
      </c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 t="str" cm="1">
        <f t="array" ref="N77">Main_Log_Status(Main_Log[[#This Row],[Carrier]],Main_Log[[#This Row],[Net Weight]])</f>
        <v/>
      </c>
      <c r="O77" s="30"/>
      <c r="P7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7" s="30"/>
      <c r="R77" s="30" t="str" cm="1">
        <f t="array" ref="R77">Main_Log_Ref(Main_Log[[#This Row],[Carrier]])</f>
        <v/>
      </c>
    </row>
    <row r="78" spans="1:18" ht="29.85" customHeight="1" x14ac:dyDescent="0.45">
      <c r="A78" s="30">
        <v>76</v>
      </c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 t="str" cm="1">
        <f t="array" ref="N78">Main_Log_Status(Main_Log[[#This Row],[Carrier]],Main_Log[[#This Row],[Net Weight]])</f>
        <v/>
      </c>
      <c r="O78" s="30"/>
      <c r="P7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8" s="30"/>
      <c r="R78" s="30" t="str" cm="1">
        <f t="array" ref="R78">Main_Log_Ref(Main_Log[[#This Row],[Carrier]])</f>
        <v/>
      </c>
    </row>
    <row r="79" spans="1:18" ht="29.85" customHeight="1" x14ac:dyDescent="0.45">
      <c r="A79" s="30">
        <v>77</v>
      </c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 t="str" cm="1">
        <f t="array" ref="N79">Main_Log_Status(Main_Log[[#This Row],[Carrier]],Main_Log[[#This Row],[Net Weight]])</f>
        <v/>
      </c>
      <c r="O79" s="30"/>
      <c r="P7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9" s="30"/>
      <c r="R79" s="30" t="str" cm="1">
        <f t="array" ref="R79">Main_Log_Ref(Main_Log[[#This Row],[Carrier]])</f>
        <v/>
      </c>
    </row>
    <row r="80" spans="1:18" ht="29.85" customHeight="1" x14ac:dyDescent="0.45">
      <c r="A80" s="30">
        <v>78</v>
      </c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 t="str" cm="1">
        <f t="array" ref="N80">Main_Log_Status(Main_Log[[#This Row],[Carrier]],Main_Log[[#This Row],[Net Weight]])</f>
        <v/>
      </c>
      <c r="O80" s="30"/>
      <c r="P8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0" s="30"/>
      <c r="R80" s="30" t="str" cm="1">
        <f t="array" ref="R80">Main_Log_Ref(Main_Log[[#This Row],[Carrier]])</f>
        <v/>
      </c>
    </row>
    <row r="81" spans="1:18" ht="29.85" customHeight="1" x14ac:dyDescent="0.45">
      <c r="A81" s="30">
        <v>79</v>
      </c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 t="str" cm="1">
        <f t="array" ref="N81">Main_Log_Status(Main_Log[[#This Row],[Carrier]],Main_Log[[#This Row],[Net Weight]])</f>
        <v/>
      </c>
      <c r="O81" s="30"/>
      <c r="P8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1" s="30"/>
      <c r="R81" s="30" t="str" cm="1">
        <f t="array" ref="R81">Main_Log_Ref(Main_Log[[#This Row],[Carrier]])</f>
        <v/>
      </c>
    </row>
    <row r="82" spans="1:18" ht="29.85" customHeight="1" x14ac:dyDescent="0.45">
      <c r="A82" s="30">
        <v>80</v>
      </c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 t="str" cm="1">
        <f t="array" ref="N82">Main_Log_Status(Main_Log[[#This Row],[Carrier]],Main_Log[[#This Row],[Net Weight]])</f>
        <v/>
      </c>
      <c r="O82" s="30"/>
      <c r="P8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2" s="30"/>
      <c r="R82" s="30" t="str" cm="1">
        <f t="array" ref="R82">Main_Log_Ref(Main_Log[[#This Row],[Carrier]])</f>
        <v/>
      </c>
    </row>
    <row r="83" spans="1:18" ht="29.85" customHeight="1" x14ac:dyDescent="0.45">
      <c r="A83" s="30">
        <v>81</v>
      </c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 t="str" cm="1">
        <f t="array" ref="N83">Main_Log_Status(Main_Log[[#This Row],[Carrier]],Main_Log[[#This Row],[Net Weight]])</f>
        <v/>
      </c>
      <c r="O83" s="30"/>
      <c r="P8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3" s="30"/>
      <c r="R83" s="30" t="str" cm="1">
        <f t="array" ref="R83">Main_Log_Ref(Main_Log[[#This Row],[Carrier]])</f>
        <v/>
      </c>
    </row>
    <row r="84" spans="1:18" ht="29.85" customHeight="1" x14ac:dyDescent="0.45">
      <c r="A84" s="30">
        <v>82</v>
      </c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 t="str" cm="1">
        <f t="array" ref="N84">Main_Log_Status(Main_Log[[#This Row],[Carrier]],Main_Log[[#This Row],[Net Weight]])</f>
        <v/>
      </c>
      <c r="O84" s="30"/>
      <c r="P8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4" s="30"/>
      <c r="R84" s="30" t="str" cm="1">
        <f t="array" ref="R84">Main_Log_Ref(Main_Log[[#This Row],[Carrier]])</f>
        <v/>
      </c>
    </row>
    <row r="85" spans="1:18" ht="29.85" customHeight="1" x14ac:dyDescent="0.45">
      <c r="A85" s="30">
        <v>83</v>
      </c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 t="str" cm="1">
        <f t="array" ref="N85">Main_Log_Status(Main_Log[[#This Row],[Carrier]],Main_Log[[#This Row],[Net Weight]])</f>
        <v/>
      </c>
      <c r="O85" s="30"/>
      <c r="P8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5" s="30"/>
      <c r="R85" s="30" t="str" cm="1">
        <f t="array" ref="R85">Main_Log_Ref(Main_Log[[#This Row],[Carrier]])</f>
        <v/>
      </c>
    </row>
    <row r="86" spans="1:18" ht="29.85" customHeight="1" x14ac:dyDescent="0.45">
      <c r="A86" s="30">
        <v>84</v>
      </c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 t="str" cm="1">
        <f t="array" ref="N86">Main_Log_Status(Main_Log[[#This Row],[Carrier]],Main_Log[[#This Row],[Net Weight]])</f>
        <v/>
      </c>
      <c r="O86" s="30"/>
      <c r="P8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6" s="30"/>
      <c r="R86" s="30" t="str" cm="1">
        <f t="array" ref="R86">Main_Log_Ref(Main_Log[[#This Row],[Carrier]])</f>
        <v/>
      </c>
    </row>
    <row r="87" spans="1:18" ht="29.85" customHeight="1" x14ac:dyDescent="0.45">
      <c r="A87" s="30">
        <v>85</v>
      </c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 t="str" cm="1">
        <f t="array" ref="N87">Main_Log_Status(Main_Log[[#This Row],[Carrier]],Main_Log[[#This Row],[Net Weight]])</f>
        <v/>
      </c>
      <c r="O87" s="30"/>
      <c r="P8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7" s="30"/>
      <c r="R87" s="30" t="str" cm="1">
        <f t="array" ref="R87">Main_Log_Ref(Main_Log[[#This Row],[Carrier]])</f>
        <v/>
      </c>
    </row>
    <row r="88" spans="1:18" ht="29.85" customHeight="1" x14ac:dyDescent="0.45">
      <c r="A88" s="30">
        <v>86</v>
      </c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 t="str" cm="1">
        <f t="array" ref="N88">Main_Log_Status(Main_Log[[#This Row],[Carrier]],Main_Log[[#This Row],[Net Weight]])</f>
        <v/>
      </c>
      <c r="O88" s="30"/>
      <c r="P8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8" s="30"/>
      <c r="R88" s="30" t="str" cm="1">
        <f t="array" ref="R88">Main_Log_Ref(Main_Log[[#This Row],[Carrier]])</f>
        <v/>
      </c>
    </row>
    <row r="89" spans="1:18" ht="29.85" customHeight="1" x14ac:dyDescent="0.45">
      <c r="A89" s="30">
        <v>87</v>
      </c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 t="str" cm="1">
        <f t="array" ref="N89">Main_Log_Status(Main_Log[[#This Row],[Carrier]],Main_Log[[#This Row],[Net Weight]])</f>
        <v/>
      </c>
      <c r="O89" s="30"/>
      <c r="P8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9" s="30"/>
      <c r="R89" s="30" t="str" cm="1">
        <f t="array" ref="R89">Main_Log_Ref(Main_Log[[#This Row],[Carrier]])</f>
        <v/>
      </c>
    </row>
    <row r="90" spans="1:18" ht="29.85" customHeight="1" x14ac:dyDescent="0.45">
      <c r="A90" s="30">
        <v>88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 t="str" cm="1">
        <f t="array" ref="N90">Main_Log_Status(Main_Log[[#This Row],[Carrier]],Main_Log[[#This Row],[Net Weight]])</f>
        <v/>
      </c>
      <c r="O90" s="30"/>
      <c r="P9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0" s="30"/>
      <c r="R90" s="30" t="str" cm="1">
        <f t="array" ref="R90">Main_Log_Ref(Main_Log[[#This Row],[Carrier]])</f>
        <v/>
      </c>
    </row>
    <row r="91" spans="1:18" ht="29.85" customHeight="1" x14ac:dyDescent="0.45">
      <c r="A91" s="30">
        <v>89</v>
      </c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 t="str" cm="1">
        <f t="array" ref="N91">Main_Log_Status(Main_Log[[#This Row],[Carrier]],Main_Log[[#This Row],[Net Weight]])</f>
        <v/>
      </c>
      <c r="O91" s="30"/>
      <c r="P9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1" s="30"/>
      <c r="R91" s="30" t="str" cm="1">
        <f t="array" ref="R91">Main_Log_Ref(Main_Log[[#This Row],[Carrier]])</f>
        <v/>
      </c>
    </row>
    <row r="92" spans="1:18" ht="29.85" customHeight="1" x14ac:dyDescent="0.45">
      <c r="A92" s="30">
        <v>90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 t="str" cm="1">
        <f t="array" ref="N92">Main_Log_Status(Main_Log[[#This Row],[Carrier]],Main_Log[[#This Row],[Net Weight]])</f>
        <v/>
      </c>
      <c r="O92" s="30"/>
      <c r="P9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2" s="30"/>
      <c r="R92" s="30" t="str" cm="1">
        <f t="array" ref="R92">Main_Log_Ref(Main_Log[[#This Row],[Carrier]])</f>
        <v/>
      </c>
    </row>
    <row r="93" spans="1:18" ht="29.85" customHeight="1" x14ac:dyDescent="0.45">
      <c r="A93" s="30">
        <v>91</v>
      </c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 t="str" cm="1">
        <f t="array" ref="N93">Main_Log_Status(Main_Log[[#This Row],[Carrier]],Main_Log[[#This Row],[Net Weight]])</f>
        <v/>
      </c>
      <c r="O93" s="30"/>
      <c r="P9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3" s="30"/>
      <c r="R93" s="30" t="str" cm="1">
        <f t="array" ref="R93">Main_Log_Ref(Main_Log[[#This Row],[Carrier]])</f>
        <v/>
      </c>
    </row>
    <row r="94" spans="1:18" ht="29.85" customHeight="1" x14ac:dyDescent="0.45">
      <c r="A94" s="30">
        <v>92</v>
      </c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 t="str" cm="1">
        <f t="array" ref="N94">Main_Log_Status(Main_Log[[#This Row],[Carrier]],Main_Log[[#This Row],[Net Weight]])</f>
        <v/>
      </c>
      <c r="O94" s="30"/>
      <c r="P9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4" s="30"/>
      <c r="R94" s="30" t="str" cm="1">
        <f t="array" ref="R94">Main_Log_Ref(Main_Log[[#This Row],[Carrier]])</f>
        <v/>
      </c>
    </row>
    <row r="95" spans="1:18" ht="29.85" customHeight="1" x14ac:dyDescent="0.45">
      <c r="A95" s="30">
        <v>93</v>
      </c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 t="str" cm="1">
        <f t="array" ref="N95">Main_Log_Status(Main_Log[[#This Row],[Carrier]],Main_Log[[#This Row],[Net Weight]])</f>
        <v/>
      </c>
      <c r="O95" s="30"/>
      <c r="P9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5" s="30"/>
      <c r="R95" s="30" t="str" cm="1">
        <f t="array" ref="R95">Main_Log_Ref(Main_Log[[#This Row],[Carrier]])</f>
        <v/>
      </c>
    </row>
    <row r="96" spans="1:18" ht="29.85" customHeight="1" x14ac:dyDescent="0.45">
      <c r="A96" s="30">
        <v>94</v>
      </c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 t="str" cm="1">
        <f t="array" ref="N96">Main_Log_Status(Main_Log[[#This Row],[Carrier]],Main_Log[[#This Row],[Net Weight]])</f>
        <v/>
      </c>
      <c r="O96" s="30"/>
      <c r="P9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6" s="30"/>
      <c r="R96" s="30" t="str" cm="1">
        <f t="array" ref="R96">Main_Log_Ref(Main_Log[[#This Row],[Carrier]])</f>
        <v/>
      </c>
    </row>
    <row r="97" spans="1:18" ht="29.85" customHeight="1" x14ac:dyDescent="0.45">
      <c r="A97" s="30">
        <v>95</v>
      </c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 t="str" cm="1">
        <f t="array" ref="N97">Main_Log_Status(Main_Log[[#This Row],[Carrier]],Main_Log[[#This Row],[Net Weight]])</f>
        <v/>
      </c>
      <c r="O97" s="30"/>
      <c r="P9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7" s="30"/>
      <c r="R97" s="30" t="str" cm="1">
        <f t="array" ref="R97">Main_Log_Ref(Main_Log[[#This Row],[Carrier]])</f>
        <v/>
      </c>
    </row>
    <row r="98" spans="1:18" ht="29.85" customHeight="1" x14ac:dyDescent="0.45">
      <c r="A98" s="30">
        <v>96</v>
      </c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 t="str" cm="1">
        <f t="array" ref="N98">Main_Log_Status(Main_Log[[#This Row],[Carrier]],Main_Log[[#This Row],[Net Weight]])</f>
        <v/>
      </c>
      <c r="O98" s="30"/>
      <c r="P9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8" s="30"/>
      <c r="R98" s="30" t="str" cm="1">
        <f t="array" ref="R98">Main_Log_Ref(Main_Log[[#This Row],[Carrier]])</f>
        <v/>
      </c>
    </row>
    <row r="99" spans="1:18" ht="29.85" customHeight="1" x14ac:dyDescent="0.45">
      <c r="A99" s="30">
        <v>97</v>
      </c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 t="str" cm="1">
        <f t="array" ref="N99">Main_Log_Status(Main_Log[[#This Row],[Carrier]],Main_Log[[#This Row],[Net Weight]])</f>
        <v/>
      </c>
      <c r="O99" s="30"/>
      <c r="P9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9" s="30"/>
      <c r="R99" s="30" t="str" cm="1">
        <f t="array" ref="R99">Main_Log_Ref(Main_Log[[#This Row],[Carrier]])</f>
        <v/>
      </c>
    </row>
    <row r="100" spans="1:18" ht="29.85" customHeight="1" x14ac:dyDescent="0.45">
      <c r="A100" s="30">
        <v>98</v>
      </c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 t="str" cm="1">
        <f t="array" ref="N100">Main_Log_Status(Main_Log[[#This Row],[Carrier]],Main_Log[[#This Row],[Net Weight]])</f>
        <v/>
      </c>
      <c r="O100" s="30"/>
      <c r="P10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0" s="30"/>
      <c r="R100" s="30" t="str" cm="1">
        <f t="array" ref="R100">Main_Log_Ref(Main_Log[[#This Row],[Carrier]])</f>
        <v/>
      </c>
    </row>
    <row r="101" spans="1:18" ht="29.85" customHeight="1" x14ac:dyDescent="0.45">
      <c r="A101" s="30">
        <v>99</v>
      </c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 t="str" cm="1">
        <f t="array" ref="N101">Main_Log_Status(Main_Log[[#This Row],[Carrier]],Main_Log[[#This Row],[Net Weight]])</f>
        <v/>
      </c>
      <c r="O101" s="30"/>
      <c r="P10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1" s="30"/>
      <c r="R101" s="30" t="str" cm="1">
        <f t="array" ref="R101">Main_Log_Ref(Main_Log[[#This Row],[Carrier]])</f>
        <v/>
      </c>
    </row>
    <row r="102" spans="1:18" ht="29.85" customHeight="1" x14ac:dyDescent="0.45">
      <c r="A102" s="30">
        <v>1</v>
      </c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 t="str" cm="1">
        <f t="array" ref="N102">Main_Log_Status(Main_Log[[#This Row],[Carrier]],Main_Log[[#This Row],[Net Weight]])</f>
        <v/>
      </c>
      <c r="O102" s="30"/>
      <c r="P10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2" s="30"/>
      <c r="R102" s="30" t="str" cm="1">
        <f t="array" ref="R102">Main_Log_Ref(Main_Log[[#This Row],[Carrier]])</f>
        <v/>
      </c>
    </row>
    <row r="103" spans="1:18" ht="29.85" customHeight="1" x14ac:dyDescent="0.45">
      <c r="A103" s="30">
        <v>2</v>
      </c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 t="str" cm="1">
        <f t="array" ref="N103">Main_Log_Status(Main_Log[[#This Row],[Carrier]],Main_Log[[#This Row],[Net Weight]])</f>
        <v/>
      </c>
      <c r="O103" s="30"/>
      <c r="P10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3" s="30"/>
      <c r="R103" s="30" t="str" cm="1">
        <f t="array" ref="R103">Main_Log_Ref(Main_Log[[#This Row],[Carrier]])</f>
        <v/>
      </c>
    </row>
    <row r="104" spans="1:18" ht="29.85" customHeight="1" x14ac:dyDescent="0.45">
      <c r="A104" s="30">
        <v>3</v>
      </c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 t="str" cm="1">
        <f t="array" ref="N104">Main_Log_Status(Main_Log[[#This Row],[Carrier]],Main_Log[[#This Row],[Net Weight]])</f>
        <v/>
      </c>
      <c r="O104" s="30"/>
      <c r="P10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4" s="30"/>
      <c r="R104" s="30" t="str" cm="1">
        <f t="array" ref="R104">Main_Log_Ref(Main_Log[[#This Row],[Carrier]])</f>
        <v/>
      </c>
    </row>
    <row r="105" spans="1:18" ht="29.85" customHeight="1" x14ac:dyDescent="0.45">
      <c r="A105" s="30">
        <v>4</v>
      </c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 t="str" cm="1">
        <f t="array" ref="N105">Main_Log_Status(Main_Log[[#This Row],[Carrier]],Main_Log[[#This Row],[Net Weight]])</f>
        <v/>
      </c>
      <c r="O105" s="30"/>
      <c r="P10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5" s="30"/>
      <c r="R105" s="30" t="str" cm="1">
        <f t="array" ref="R105">Main_Log_Ref(Main_Log[[#This Row],[Carrier]])</f>
        <v/>
      </c>
    </row>
    <row r="106" spans="1:18" ht="29.85" customHeight="1" x14ac:dyDescent="0.45">
      <c r="A106" s="30">
        <v>5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 t="str" cm="1">
        <f t="array" ref="N106">Main_Log_Status(Main_Log[[#This Row],[Carrier]],Main_Log[[#This Row],[Net Weight]])</f>
        <v/>
      </c>
      <c r="O106" s="30"/>
      <c r="P10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6" s="30"/>
      <c r="R106" s="30" t="str" cm="1">
        <f t="array" ref="R106">Main_Log_Ref(Main_Log[[#This Row],[Carrier]])</f>
        <v/>
      </c>
    </row>
    <row r="107" spans="1:18" ht="29.85" customHeight="1" x14ac:dyDescent="0.45">
      <c r="A107" s="30">
        <v>6</v>
      </c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 t="str" cm="1">
        <f t="array" ref="N107">Main_Log_Status(Main_Log[[#This Row],[Carrier]],Main_Log[[#This Row],[Net Weight]])</f>
        <v/>
      </c>
      <c r="O107" s="30"/>
      <c r="P10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7" s="30"/>
      <c r="R107" s="30" t="str" cm="1">
        <f t="array" ref="R107">Main_Log_Ref(Main_Log[[#This Row],[Carrier]])</f>
        <v/>
      </c>
    </row>
    <row r="108" spans="1:18" ht="29.85" customHeight="1" x14ac:dyDescent="0.45">
      <c r="A108" s="30">
        <v>7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 t="str" cm="1">
        <f t="array" ref="N108">Main_Log_Status(Main_Log[[#This Row],[Carrier]],Main_Log[[#This Row],[Net Weight]])</f>
        <v/>
      </c>
      <c r="O108" s="30"/>
      <c r="P10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8" s="30"/>
      <c r="R108" s="30" t="str" cm="1">
        <f t="array" ref="R108">Main_Log_Ref(Main_Log[[#This Row],[Carrier]])</f>
        <v/>
      </c>
    </row>
    <row r="109" spans="1:18" ht="29.85" customHeight="1" x14ac:dyDescent="0.45">
      <c r="A109" s="30">
        <v>8</v>
      </c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 t="str" cm="1">
        <f t="array" ref="N109">Main_Log_Status(Main_Log[[#This Row],[Carrier]],Main_Log[[#This Row],[Net Weight]])</f>
        <v/>
      </c>
      <c r="O109" s="30"/>
      <c r="P10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9" s="30"/>
      <c r="R109" s="30" t="str" cm="1">
        <f t="array" ref="R109">Main_Log_Ref(Main_Log[[#This Row],[Carrier]])</f>
        <v/>
      </c>
    </row>
    <row r="110" spans="1:18" ht="29.85" customHeight="1" x14ac:dyDescent="0.45">
      <c r="A110" s="30">
        <v>9</v>
      </c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 t="str" cm="1">
        <f t="array" ref="N110">Main_Log_Status(Main_Log[[#This Row],[Carrier]],Main_Log[[#This Row],[Net Weight]])</f>
        <v/>
      </c>
      <c r="O110" s="30"/>
      <c r="P11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0" s="30"/>
      <c r="R110" s="30" t="str" cm="1">
        <f t="array" ref="R110">Main_Log_Ref(Main_Log[[#This Row],[Carrier]])</f>
        <v/>
      </c>
    </row>
    <row r="111" spans="1:18" ht="29.85" customHeight="1" x14ac:dyDescent="0.45">
      <c r="A111" s="30">
        <v>10</v>
      </c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 t="str" cm="1">
        <f t="array" ref="N111">Main_Log_Status(Main_Log[[#This Row],[Carrier]],Main_Log[[#This Row],[Net Weight]])</f>
        <v/>
      </c>
      <c r="O111" s="30"/>
      <c r="P11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1" s="30"/>
      <c r="R111" s="30" t="str" cm="1">
        <f t="array" ref="R111">Main_Log_Ref(Main_Log[[#This Row],[Carrier]])</f>
        <v/>
      </c>
    </row>
    <row r="112" spans="1:18" ht="29.85" customHeight="1" x14ac:dyDescent="0.45">
      <c r="A112" s="30">
        <v>11</v>
      </c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 t="str" cm="1">
        <f t="array" ref="N112">Main_Log_Status(Main_Log[[#This Row],[Carrier]],Main_Log[[#This Row],[Net Weight]])</f>
        <v/>
      </c>
      <c r="O112" s="30"/>
      <c r="P11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2" s="30"/>
      <c r="R112" s="30" t="str" cm="1">
        <f t="array" ref="R112">Main_Log_Ref(Main_Log[[#This Row],[Carrier]])</f>
        <v/>
      </c>
    </row>
    <row r="113" spans="1:18" ht="29.85" customHeight="1" x14ac:dyDescent="0.45">
      <c r="A113" s="30">
        <v>12</v>
      </c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 t="str" cm="1">
        <f t="array" ref="N113">Main_Log_Status(Main_Log[[#This Row],[Carrier]],Main_Log[[#This Row],[Net Weight]])</f>
        <v/>
      </c>
      <c r="O113" s="30"/>
      <c r="P11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3" s="30"/>
      <c r="R113" s="30" t="str" cm="1">
        <f t="array" ref="R113">Main_Log_Ref(Main_Log[[#This Row],[Carrier]])</f>
        <v/>
      </c>
    </row>
    <row r="114" spans="1:18" ht="29.85" customHeight="1" x14ac:dyDescent="0.45">
      <c r="A114" s="30">
        <v>13</v>
      </c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 t="str" cm="1">
        <f t="array" ref="N114">Main_Log_Status(Main_Log[[#This Row],[Carrier]],Main_Log[[#This Row],[Net Weight]])</f>
        <v/>
      </c>
      <c r="O114" s="30"/>
      <c r="P11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4" s="30"/>
      <c r="R114" s="30" t="str" cm="1">
        <f t="array" ref="R114">Main_Log_Ref(Main_Log[[#This Row],[Carrier]])</f>
        <v/>
      </c>
    </row>
    <row r="115" spans="1:18" ht="29.85" customHeight="1" x14ac:dyDescent="0.45">
      <c r="A115" s="30">
        <v>14</v>
      </c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 t="str" cm="1">
        <f t="array" ref="N115">Main_Log_Status(Main_Log[[#This Row],[Carrier]],Main_Log[[#This Row],[Net Weight]])</f>
        <v/>
      </c>
      <c r="O115" s="30"/>
      <c r="P11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5" s="30"/>
      <c r="R115" s="30" t="str" cm="1">
        <f t="array" ref="R115">Main_Log_Ref(Main_Log[[#This Row],[Carrier]])</f>
        <v/>
      </c>
    </row>
    <row r="116" spans="1:18" ht="29.85" customHeight="1" x14ac:dyDescent="0.45">
      <c r="A116" s="30">
        <v>15</v>
      </c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 t="str" cm="1">
        <f t="array" ref="N116">Main_Log_Status(Main_Log[[#This Row],[Carrier]],Main_Log[[#This Row],[Net Weight]])</f>
        <v/>
      </c>
      <c r="O116" s="30"/>
      <c r="P11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6" s="30"/>
      <c r="R116" s="30" t="str" cm="1">
        <f t="array" ref="R116">Main_Log_Ref(Main_Log[[#This Row],[Carrier]])</f>
        <v/>
      </c>
    </row>
    <row r="117" spans="1:18" ht="29.85" customHeight="1" x14ac:dyDescent="0.45">
      <c r="A117" s="30">
        <v>16</v>
      </c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 t="str" cm="1">
        <f t="array" ref="N117">Main_Log_Status(Main_Log[[#This Row],[Carrier]],Main_Log[[#This Row],[Net Weight]])</f>
        <v/>
      </c>
      <c r="O117" s="30"/>
      <c r="P11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7" s="30"/>
      <c r="R117" s="30" t="str" cm="1">
        <f t="array" ref="R117">Main_Log_Ref(Main_Log[[#This Row],[Carrier]])</f>
        <v/>
      </c>
    </row>
    <row r="118" spans="1:18" ht="29.85" customHeight="1" x14ac:dyDescent="0.45">
      <c r="A118" s="30">
        <v>17</v>
      </c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 t="str" cm="1">
        <f t="array" ref="N118">Main_Log_Status(Main_Log[[#This Row],[Carrier]],Main_Log[[#This Row],[Net Weight]])</f>
        <v/>
      </c>
      <c r="O118" s="30"/>
      <c r="P11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8" s="30"/>
      <c r="R118" s="30" t="str" cm="1">
        <f t="array" ref="R118">Main_Log_Ref(Main_Log[[#This Row],[Carrier]])</f>
        <v/>
      </c>
    </row>
    <row r="119" spans="1:18" ht="29.85" customHeight="1" x14ac:dyDescent="0.45">
      <c r="A119" s="30">
        <v>18</v>
      </c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 t="str" cm="1">
        <f t="array" ref="N119">Main_Log_Status(Main_Log[[#This Row],[Carrier]],Main_Log[[#This Row],[Net Weight]])</f>
        <v/>
      </c>
      <c r="O119" s="30"/>
      <c r="P11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9" s="30"/>
      <c r="R119" s="30" t="str" cm="1">
        <f t="array" ref="R119">Main_Log_Ref(Main_Log[[#This Row],[Carrier]])</f>
        <v/>
      </c>
    </row>
    <row r="120" spans="1:18" ht="29.85" customHeight="1" x14ac:dyDescent="0.45">
      <c r="A120" s="30">
        <v>19</v>
      </c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 t="str" cm="1">
        <f t="array" ref="N120">Main_Log_Status(Main_Log[[#This Row],[Carrier]],Main_Log[[#This Row],[Net Weight]])</f>
        <v/>
      </c>
      <c r="O120" s="30"/>
      <c r="P12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0" s="30"/>
      <c r="R120" s="30" t="str" cm="1">
        <f t="array" ref="R120">Main_Log_Ref(Main_Log[[#This Row],[Carrier]])</f>
        <v/>
      </c>
    </row>
    <row r="121" spans="1:18" ht="29.85" customHeight="1" x14ac:dyDescent="0.45">
      <c r="A121" s="30">
        <v>20</v>
      </c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 t="str" cm="1">
        <f t="array" ref="N121">Main_Log_Status(Main_Log[[#This Row],[Carrier]],Main_Log[[#This Row],[Net Weight]])</f>
        <v/>
      </c>
      <c r="O121" s="30"/>
      <c r="P12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1" s="30"/>
      <c r="R121" s="30" t="str" cm="1">
        <f t="array" ref="R121">Main_Log_Ref(Main_Log[[#This Row],[Carrier]])</f>
        <v/>
      </c>
    </row>
    <row r="122" spans="1:18" ht="29.85" customHeight="1" x14ac:dyDescent="0.45">
      <c r="A122" s="30">
        <v>21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 t="str" cm="1">
        <f t="array" ref="N122">Main_Log_Status(Main_Log[[#This Row],[Carrier]],Main_Log[[#This Row],[Net Weight]])</f>
        <v/>
      </c>
      <c r="O122" s="30"/>
      <c r="P12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2" s="30"/>
      <c r="R122" s="30" t="str" cm="1">
        <f t="array" ref="R122">Main_Log_Ref(Main_Log[[#This Row],[Carrier]])</f>
        <v/>
      </c>
    </row>
    <row r="123" spans="1:18" ht="29.85" customHeight="1" x14ac:dyDescent="0.45">
      <c r="A123" s="30">
        <v>22</v>
      </c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 t="str" cm="1">
        <f t="array" ref="N123">Main_Log_Status(Main_Log[[#This Row],[Carrier]],Main_Log[[#This Row],[Net Weight]])</f>
        <v/>
      </c>
      <c r="O123" s="30"/>
      <c r="P12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3" s="30"/>
      <c r="R123" s="30" t="str" cm="1">
        <f t="array" ref="R123">Main_Log_Ref(Main_Log[[#This Row],[Carrier]])</f>
        <v/>
      </c>
    </row>
    <row r="124" spans="1:18" ht="29.85" customHeight="1" x14ac:dyDescent="0.45">
      <c r="A124" s="30">
        <v>23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 t="str" cm="1">
        <f t="array" ref="N124">Main_Log_Status(Main_Log[[#This Row],[Carrier]],Main_Log[[#This Row],[Net Weight]])</f>
        <v/>
      </c>
      <c r="O124" s="30"/>
      <c r="P12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4" s="30"/>
      <c r="R124" s="30" t="str" cm="1">
        <f t="array" ref="R124">Main_Log_Ref(Main_Log[[#This Row],[Carrier]])</f>
        <v/>
      </c>
    </row>
    <row r="125" spans="1:18" ht="29.85" customHeight="1" x14ac:dyDescent="0.45">
      <c r="A125" s="30">
        <v>24</v>
      </c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 t="str" cm="1">
        <f t="array" ref="N125">Main_Log_Status(Main_Log[[#This Row],[Carrier]],Main_Log[[#This Row],[Net Weight]])</f>
        <v/>
      </c>
      <c r="O125" s="30"/>
      <c r="P12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5" s="30"/>
      <c r="R125" s="30" t="str" cm="1">
        <f t="array" ref="R125">Main_Log_Ref(Main_Log[[#This Row],[Carrier]])</f>
        <v/>
      </c>
    </row>
    <row r="126" spans="1:18" ht="29.85" customHeight="1" x14ac:dyDescent="0.45">
      <c r="A126" s="30">
        <v>25</v>
      </c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 t="str" cm="1">
        <f t="array" ref="N126">Main_Log_Status(Main_Log[[#This Row],[Carrier]],Main_Log[[#This Row],[Net Weight]])</f>
        <v/>
      </c>
      <c r="O126" s="30"/>
      <c r="P12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6" s="30"/>
      <c r="R126" s="30" t="str" cm="1">
        <f t="array" ref="R126">Main_Log_Ref(Main_Log[[#This Row],[Carrier]])</f>
        <v/>
      </c>
    </row>
    <row r="127" spans="1:18" ht="29.85" customHeight="1" x14ac:dyDescent="0.45">
      <c r="A127" s="30">
        <v>26</v>
      </c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 t="str" cm="1">
        <f t="array" ref="N127">Main_Log_Status(Main_Log[[#This Row],[Carrier]],Main_Log[[#This Row],[Net Weight]])</f>
        <v/>
      </c>
      <c r="O127" s="30"/>
      <c r="P12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7" s="30"/>
      <c r="R127" s="30" t="str" cm="1">
        <f t="array" ref="R127">Main_Log_Ref(Main_Log[[#This Row],[Carrier]])</f>
        <v/>
      </c>
    </row>
    <row r="128" spans="1:18" ht="29.85" customHeight="1" x14ac:dyDescent="0.45">
      <c r="A128" s="30">
        <v>27</v>
      </c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 t="str" cm="1">
        <f t="array" ref="N128">Main_Log_Status(Main_Log[[#This Row],[Carrier]],Main_Log[[#This Row],[Net Weight]])</f>
        <v/>
      </c>
      <c r="O128" s="30"/>
      <c r="P12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8" s="30"/>
      <c r="R128" s="30" t="str" cm="1">
        <f t="array" ref="R128">Main_Log_Ref(Main_Log[[#This Row],[Carrier]])</f>
        <v/>
      </c>
    </row>
    <row r="129" spans="1:18" ht="29.85" customHeight="1" x14ac:dyDescent="0.45">
      <c r="A129" s="30">
        <v>28</v>
      </c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 t="str" cm="1">
        <f t="array" ref="N129">Main_Log_Status(Main_Log[[#This Row],[Carrier]],Main_Log[[#This Row],[Net Weight]])</f>
        <v/>
      </c>
      <c r="O129" s="30"/>
      <c r="P12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9" s="30"/>
      <c r="R129" s="30" t="str" cm="1">
        <f t="array" ref="R129">Main_Log_Ref(Main_Log[[#This Row],[Carrier]])</f>
        <v/>
      </c>
    </row>
    <row r="130" spans="1:18" ht="29.85" customHeight="1" x14ac:dyDescent="0.45">
      <c r="A130" s="30">
        <v>29</v>
      </c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 t="str" cm="1">
        <f t="array" ref="N130">Main_Log_Status(Main_Log[[#This Row],[Carrier]],Main_Log[[#This Row],[Net Weight]])</f>
        <v/>
      </c>
      <c r="O130" s="30"/>
      <c r="P13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0" s="30"/>
      <c r="R130" s="30" t="str" cm="1">
        <f t="array" ref="R130">Main_Log_Ref(Main_Log[[#This Row],[Carrier]])</f>
        <v/>
      </c>
    </row>
    <row r="131" spans="1:18" ht="29.85" customHeight="1" x14ac:dyDescent="0.45">
      <c r="A131" s="30">
        <v>30</v>
      </c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 t="str" cm="1">
        <f t="array" ref="N131">Main_Log_Status(Main_Log[[#This Row],[Carrier]],Main_Log[[#This Row],[Net Weight]])</f>
        <v/>
      </c>
      <c r="O131" s="30"/>
      <c r="P13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1" s="30"/>
      <c r="R131" s="30" t="str" cm="1">
        <f t="array" ref="R131">Main_Log_Ref(Main_Log[[#This Row],[Carrier]])</f>
        <v/>
      </c>
    </row>
    <row r="132" spans="1:18" ht="29.85" customHeight="1" x14ac:dyDescent="0.45">
      <c r="A132" s="30">
        <v>31</v>
      </c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 t="str" cm="1">
        <f t="array" ref="N132">Main_Log_Status(Main_Log[[#This Row],[Carrier]],Main_Log[[#This Row],[Net Weight]])</f>
        <v/>
      </c>
      <c r="O132" s="30"/>
      <c r="P13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2" s="30"/>
      <c r="R132" s="30" t="str" cm="1">
        <f t="array" ref="R132">Main_Log_Ref(Main_Log[[#This Row],[Carrier]])</f>
        <v/>
      </c>
    </row>
    <row r="133" spans="1:18" ht="29.85" customHeight="1" x14ac:dyDescent="0.45">
      <c r="A133" s="30">
        <v>32</v>
      </c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 t="str" cm="1">
        <f t="array" ref="N133">Main_Log_Status(Main_Log[[#This Row],[Carrier]],Main_Log[[#This Row],[Net Weight]])</f>
        <v/>
      </c>
      <c r="O133" s="30"/>
      <c r="P13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3" s="30"/>
      <c r="R133" s="30" t="str" cm="1">
        <f t="array" ref="R133">Main_Log_Ref(Main_Log[[#This Row],[Carrier]])</f>
        <v/>
      </c>
    </row>
    <row r="134" spans="1:18" ht="29.85" customHeight="1" x14ac:dyDescent="0.45">
      <c r="A134" s="30">
        <v>33</v>
      </c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 t="str" cm="1">
        <f t="array" ref="N134">Main_Log_Status(Main_Log[[#This Row],[Carrier]],Main_Log[[#This Row],[Net Weight]])</f>
        <v/>
      </c>
      <c r="O134" s="30"/>
      <c r="P13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4" s="30"/>
      <c r="R134" s="30" t="str" cm="1">
        <f t="array" ref="R134">Main_Log_Ref(Main_Log[[#This Row],[Carrier]])</f>
        <v/>
      </c>
    </row>
    <row r="135" spans="1:18" ht="29.85" customHeight="1" x14ac:dyDescent="0.45">
      <c r="A135" s="30">
        <v>34</v>
      </c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 t="str" cm="1">
        <f t="array" ref="N135">Main_Log_Status(Main_Log[[#This Row],[Carrier]],Main_Log[[#This Row],[Net Weight]])</f>
        <v/>
      </c>
      <c r="O135" s="30"/>
      <c r="P13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5" s="30"/>
      <c r="R135" s="30" t="str" cm="1">
        <f t="array" ref="R135">Main_Log_Ref(Main_Log[[#This Row],[Carrier]])</f>
        <v/>
      </c>
    </row>
    <row r="136" spans="1:18" ht="29.85" customHeight="1" x14ac:dyDescent="0.45">
      <c r="A136" s="30">
        <v>35</v>
      </c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 t="str" cm="1">
        <f t="array" ref="N136">Main_Log_Status(Main_Log[[#This Row],[Carrier]],Main_Log[[#This Row],[Net Weight]])</f>
        <v/>
      </c>
      <c r="O136" s="30"/>
      <c r="P13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6" s="30"/>
      <c r="R136" s="30" t="str" cm="1">
        <f t="array" ref="R136">Main_Log_Ref(Main_Log[[#This Row],[Carrier]])</f>
        <v/>
      </c>
    </row>
    <row r="137" spans="1:18" ht="29.85" customHeight="1" x14ac:dyDescent="0.45">
      <c r="A137" s="30">
        <v>36</v>
      </c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 t="str" cm="1">
        <f t="array" ref="N137">Main_Log_Status(Main_Log[[#This Row],[Carrier]],Main_Log[[#This Row],[Net Weight]])</f>
        <v/>
      </c>
      <c r="O137" s="30"/>
      <c r="P13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7" s="30"/>
      <c r="R137" s="30" t="str" cm="1">
        <f t="array" ref="R137">Main_Log_Ref(Main_Log[[#This Row],[Carrier]])</f>
        <v/>
      </c>
    </row>
    <row r="138" spans="1:18" ht="29.85" customHeight="1" x14ac:dyDescent="0.45">
      <c r="A138" s="30">
        <v>37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 t="str" cm="1">
        <f t="array" ref="N138">Main_Log_Status(Main_Log[[#This Row],[Carrier]],Main_Log[[#This Row],[Net Weight]])</f>
        <v/>
      </c>
      <c r="O138" s="30"/>
      <c r="P13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8" s="30"/>
      <c r="R138" s="30" t="str" cm="1">
        <f t="array" ref="R138">Main_Log_Ref(Main_Log[[#This Row],[Carrier]])</f>
        <v/>
      </c>
    </row>
    <row r="139" spans="1:18" ht="29.85" customHeight="1" x14ac:dyDescent="0.45">
      <c r="A139" s="30">
        <v>38</v>
      </c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 t="str" cm="1">
        <f t="array" ref="N139">Main_Log_Status(Main_Log[[#This Row],[Carrier]],Main_Log[[#This Row],[Net Weight]])</f>
        <v/>
      </c>
      <c r="O139" s="30"/>
      <c r="P13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9" s="30"/>
      <c r="R139" s="30" t="str" cm="1">
        <f t="array" ref="R139">Main_Log_Ref(Main_Log[[#This Row],[Carrier]])</f>
        <v/>
      </c>
    </row>
    <row r="140" spans="1:18" ht="29.85" customHeight="1" x14ac:dyDescent="0.45">
      <c r="A140" s="30">
        <v>39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 t="str" cm="1">
        <f t="array" ref="N140">Main_Log_Status(Main_Log[[#This Row],[Carrier]],Main_Log[[#This Row],[Net Weight]])</f>
        <v/>
      </c>
      <c r="O140" s="30"/>
      <c r="P14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0" s="30"/>
      <c r="R140" s="30" t="str" cm="1">
        <f t="array" ref="R140">Main_Log_Ref(Main_Log[[#This Row],[Carrier]])</f>
        <v/>
      </c>
    </row>
    <row r="141" spans="1:18" ht="29.85" customHeight="1" x14ac:dyDescent="0.45">
      <c r="A141" s="30">
        <v>40</v>
      </c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 t="str" cm="1">
        <f t="array" ref="N141">Main_Log_Status(Main_Log[[#This Row],[Carrier]],Main_Log[[#This Row],[Net Weight]])</f>
        <v/>
      </c>
      <c r="O141" s="30"/>
      <c r="P14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1" s="30"/>
      <c r="R141" s="30" t="str" cm="1">
        <f t="array" ref="R141">Main_Log_Ref(Main_Log[[#This Row],[Carrier]])</f>
        <v/>
      </c>
    </row>
    <row r="142" spans="1:18" ht="29.85" customHeight="1" x14ac:dyDescent="0.45">
      <c r="A142" s="30">
        <v>41</v>
      </c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 t="str" cm="1">
        <f t="array" ref="N142">Main_Log_Status(Main_Log[[#This Row],[Carrier]],Main_Log[[#This Row],[Net Weight]])</f>
        <v/>
      </c>
      <c r="O142" s="30"/>
      <c r="P14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2" s="30"/>
      <c r="R142" s="30" t="str" cm="1">
        <f t="array" ref="R142">Main_Log_Ref(Main_Log[[#This Row],[Carrier]])</f>
        <v/>
      </c>
    </row>
    <row r="143" spans="1:18" ht="29.85" customHeight="1" x14ac:dyDescent="0.45">
      <c r="A143" s="30">
        <v>42</v>
      </c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 t="str" cm="1">
        <f t="array" ref="N143">Main_Log_Status(Main_Log[[#This Row],[Carrier]],Main_Log[[#This Row],[Net Weight]])</f>
        <v/>
      </c>
      <c r="O143" s="30"/>
      <c r="P14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3" s="30"/>
      <c r="R143" s="30" t="str" cm="1">
        <f t="array" ref="R143">Main_Log_Ref(Main_Log[[#This Row],[Carrier]])</f>
        <v/>
      </c>
    </row>
    <row r="144" spans="1:18" ht="29.85" customHeight="1" x14ac:dyDescent="0.45">
      <c r="A144" s="30">
        <v>43</v>
      </c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 t="str" cm="1">
        <f t="array" ref="N144">Main_Log_Status(Main_Log[[#This Row],[Carrier]],Main_Log[[#This Row],[Net Weight]])</f>
        <v/>
      </c>
      <c r="O144" s="30"/>
      <c r="P14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4" s="30"/>
      <c r="R144" s="30" t="str" cm="1">
        <f t="array" ref="R144">Main_Log_Ref(Main_Log[[#This Row],[Carrier]])</f>
        <v/>
      </c>
    </row>
    <row r="145" spans="1:18" ht="29.85" customHeight="1" x14ac:dyDescent="0.45">
      <c r="A145" s="30">
        <v>44</v>
      </c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 t="str" cm="1">
        <f t="array" ref="N145">Main_Log_Status(Main_Log[[#This Row],[Carrier]],Main_Log[[#This Row],[Net Weight]])</f>
        <v/>
      </c>
      <c r="O145" s="30"/>
      <c r="P14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5" s="30"/>
      <c r="R145" s="30" t="str" cm="1">
        <f t="array" ref="R145">Main_Log_Ref(Main_Log[[#This Row],[Carrier]])</f>
        <v/>
      </c>
    </row>
    <row r="146" spans="1:18" ht="29.85" customHeight="1" x14ac:dyDescent="0.45">
      <c r="A146" s="30">
        <v>45</v>
      </c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 t="str" cm="1">
        <f t="array" ref="N146">Main_Log_Status(Main_Log[[#This Row],[Carrier]],Main_Log[[#This Row],[Net Weight]])</f>
        <v/>
      </c>
      <c r="O146" s="30"/>
      <c r="P14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6" s="30"/>
      <c r="R146" s="30" t="str" cm="1">
        <f t="array" ref="R146">Main_Log_Ref(Main_Log[[#This Row],[Carrier]])</f>
        <v/>
      </c>
    </row>
    <row r="147" spans="1:18" ht="29.85" customHeight="1" x14ac:dyDescent="0.45">
      <c r="A147" s="30">
        <v>46</v>
      </c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 t="str" cm="1">
        <f t="array" ref="N147">Main_Log_Status(Main_Log[[#This Row],[Carrier]],Main_Log[[#This Row],[Net Weight]])</f>
        <v/>
      </c>
      <c r="O147" s="30"/>
      <c r="P14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7" s="30"/>
      <c r="R147" s="30" t="str" cm="1">
        <f t="array" ref="R147">Main_Log_Ref(Main_Log[[#This Row],[Carrier]])</f>
        <v/>
      </c>
    </row>
    <row r="148" spans="1:18" ht="29.85" customHeight="1" x14ac:dyDescent="0.45">
      <c r="A148" s="30">
        <v>47</v>
      </c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 t="str" cm="1">
        <f t="array" ref="N148">Main_Log_Status(Main_Log[[#This Row],[Carrier]],Main_Log[[#This Row],[Net Weight]])</f>
        <v/>
      </c>
      <c r="O148" s="30"/>
      <c r="P14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8" s="30"/>
      <c r="R148" s="30" t="str" cm="1">
        <f t="array" ref="R148">Main_Log_Ref(Main_Log[[#This Row],[Carrier]])</f>
        <v/>
      </c>
    </row>
    <row r="149" spans="1:18" ht="29.85" customHeight="1" x14ac:dyDescent="0.45">
      <c r="A149" s="30">
        <v>48</v>
      </c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 t="str" cm="1">
        <f t="array" ref="N149">Main_Log_Status(Main_Log[[#This Row],[Carrier]],Main_Log[[#This Row],[Net Weight]])</f>
        <v/>
      </c>
      <c r="O149" s="30"/>
      <c r="P14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9" s="30"/>
      <c r="R149" s="30" t="str" cm="1">
        <f t="array" ref="R149">Main_Log_Ref(Main_Log[[#This Row],[Carrier]])</f>
        <v/>
      </c>
    </row>
    <row r="150" spans="1:18" ht="29.85" customHeight="1" x14ac:dyDescent="0.45">
      <c r="A150" s="30">
        <v>49</v>
      </c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 t="str" cm="1">
        <f t="array" ref="N150">Main_Log_Status(Main_Log[[#This Row],[Carrier]],Main_Log[[#This Row],[Net Weight]])</f>
        <v/>
      </c>
      <c r="O150" s="30"/>
      <c r="P15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0" s="30"/>
      <c r="R150" s="30" t="str" cm="1">
        <f t="array" ref="R150">Main_Log_Ref(Main_Log[[#This Row],[Carrier]])</f>
        <v/>
      </c>
    </row>
    <row r="151" spans="1:18" ht="29.85" customHeight="1" x14ac:dyDescent="0.45">
      <c r="A151" s="30">
        <v>50</v>
      </c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 t="str" cm="1">
        <f t="array" ref="N151">Main_Log_Status(Main_Log[[#This Row],[Carrier]],Main_Log[[#This Row],[Net Weight]])</f>
        <v/>
      </c>
      <c r="O151" s="30"/>
      <c r="P15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1" s="30"/>
      <c r="R151" s="30" t="str" cm="1">
        <f t="array" ref="R151">Main_Log_Ref(Main_Log[[#This Row],[Carrier]])</f>
        <v/>
      </c>
    </row>
    <row r="152" spans="1:18" ht="29.85" customHeight="1" x14ac:dyDescent="0.45">
      <c r="A152" s="30">
        <v>51</v>
      </c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 t="str" cm="1">
        <f t="array" ref="N152">Main_Log_Status(Main_Log[[#This Row],[Carrier]],Main_Log[[#This Row],[Net Weight]])</f>
        <v/>
      </c>
      <c r="O152" s="30"/>
      <c r="P15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2" s="30"/>
      <c r="R152" s="30" t="str" cm="1">
        <f t="array" ref="R152">Main_Log_Ref(Main_Log[[#This Row],[Carrier]])</f>
        <v/>
      </c>
    </row>
    <row r="153" spans="1:18" ht="29.85" customHeight="1" x14ac:dyDescent="0.45">
      <c r="A153" s="30">
        <v>52</v>
      </c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 t="str" cm="1">
        <f t="array" ref="N153">Main_Log_Status(Main_Log[[#This Row],[Carrier]],Main_Log[[#This Row],[Net Weight]])</f>
        <v/>
      </c>
      <c r="O153" s="30"/>
      <c r="P15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3" s="30"/>
      <c r="R153" s="30" t="str" cm="1">
        <f t="array" ref="R153">Main_Log_Ref(Main_Log[[#This Row],[Carrier]])</f>
        <v/>
      </c>
    </row>
    <row r="154" spans="1:18" ht="29.85" customHeight="1" x14ac:dyDescent="0.45">
      <c r="A154" s="30">
        <v>53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 t="str" cm="1">
        <f t="array" ref="N154">Main_Log_Status(Main_Log[[#This Row],[Carrier]],Main_Log[[#This Row],[Net Weight]])</f>
        <v/>
      </c>
      <c r="O154" s="30"/>
      <c r="P15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4" s="30"/>
      <c r="R154" s="30" t="str" cm="1">
        <f t="array" ref="R154">Main_Log_Ref(Main_Log[[#This Row],[Carrier]])</f>
        <v/>
      </c>
    </row>
    <row r="155" spans="1:18" ht="29.85" customHeight="1" x14ac:dyDescent="0.45">
      <c r="A155" s="30">
        <v>54</v>
      </c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 t="str" cm="1">
        <f t="array" ref="N155">Main_Log_Status(Main_Log[[#This Row],[Carrier]],Main_Log[[#This Row],[Net Weight]])</f>
        <v/>
      </c>
      <c r="O155" s="30"/>
      <c r="P15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5" s="30"/>
      <c r="R155" s="30" t="str" cm="1">
        <f t="array" ref="R155">Main_Log_Ref(Main_Log[[#This Row],[Carrier]])</f>
        <v/>
      </c>
    </row>
    <row r="156" spans="1:18" ht="29.85" customHeight="1" x14ac:dyDescent="0.45">
      <c r="A156" s="30">
        <v>55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 t="str" cm="1">
        <f t="array" ref="N156">Main_Log_Status(Main_Log[[#This Row],[Carrier]],Main_Log[[#This Row],[Net Weight]])</f>
        <v/>
      </c>
      <c r="O156" s="30"/>
      <c r="P15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6" s="30"/>
      <c r="R156" s="30" t="str" cm="1">
        <f t="array" ref="R156">Main_Log_Ref(Main_Log[[#This Row],[Carrier]])</f>
        <v/>
      </c>
    </row>
    <row r="157" spans="1:18" ht="29.85" customHeight="1" x14ac:dyDescent="0.45">
      <c r="A157" s="30">
        <v>56</v>
      </c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 t="str" cm="1">
        <f t="array" ref="N157">Main_Log_Status(Main_Log[[#This Row],[Carrier]],Main_Log[[#This Row],[Net Weight]])</f>
        <v/>
      </c>
      <c r="O157" s="30"/>
      <c r="P15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7" s="30"/>
      <c r="R157" s="30" t="str" cm="1">
        <f t="array" ref="R157">Main_Log_Ref(Main_Log[[#This Row],[Carrier]])</f>
        <v/>
      </c>
    </row>
    <row r="158" spans="1:18" ht="29.85" customHeight="1" x14ac:dyDescent="0.45">
      <c r="A158" s="30">
        <v>57</v>
      </c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 t="str" cm="1">
        <f t="array" ref="N158">Main_Log_Status(Main_Log[[#This Row],[Carrier]],Main_Log[[#This Row],[Net Weight]])</f>
        <v/>
      </c>
      <c r="O158" s="30"/>
      <c r="P15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8" s="30"/>
      <c r="R158" s="30" t="str" cm="1">
        <f t="array" ref="R158">Main_Log_Ref(Main_Log[[#This Row],[Carrier]])</f>
        <v/>
      </c>
    </row>
    <row r="159" spans="1:18" ht="29.85" customHeight="1" x14ac:dyDescent="0.45">
      <c r="A159" s="30">
        <v>58</v>
      </c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 t="str" cm="1">
        <f t="array" ref="N159">Main_Log_Status(Main_Log[[#This Row],[Carrier]],Main_Log[[#This Row],[Net Weight]])</f>
        <v/>
      </c>
      <c r="O159" s="30"/>
      <c r="P15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9" s="30"/>
      <c r="R159" s="30" t="str" cm="1">
        <f t="array" ref="R159">Main_Log_Ref(Main_Log[[#This Row],[Carrier]])</f>
        <v/>
      </c>
    </row>
    <row r="160" spans="1:18" ht="29.85" customHeight="1" x14ac:dyDescent="0.45">
      <c r="A160" s="30">
        <v>59</v>
      </c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 t="str" cm="1">
        <f t="array" ref="N160">Main_Log_Status(Main_Log[[#This Row],[Carrier]],Main_Log[[#This Row],[Net Weight]])</f>
        <v/>
      </c>
      <c r="O160" s="30"/>
      <c r="P16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0" s="30"/>
      <c r="R160" s="30" t="str" cm="1">
        <f t="array" ref="R160">Main_Log_Ref(Main_Log[[#This Row],[Carrier]])</f>
        <v/>
      </c>
    </row>
    <row r="161" spans="1:18" ht="29.85" customHeight="1" x14ac:dyDescent="0.45">
      <c r="A161" s="30">
        <v>60</v>
      </c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 t="str" cm="1">
        <f t="array" ref="N161">Main_Log_Status(Main_Log[[#This Row],[Carrier]],Main_Log[[#This Row],[Net Weight]])</f>
        <v/>
      </c>
      <c r="O161" s="30"/>
      <c r="P16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1" s="30"/>
      <c r="R161" s="30" t="str" cm="1">
        <f t="array" ref="R161">Main_Log_Ref(Main_Log[[#This Row],[Carrier]])</f>
        <v/>
      </c>
    </row>
    <row r="162" spans="1:18" ht="29.85" customHeight="1" x14ac:dyDescent="0.45">
      <c r="A162" s="30">
        <v>61</v>
      </c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 t="str" cm="1">
        <f t="array" ref="N162">Main_Log_Status(Main_Log[[#This Row],[Carrier]],Main_Log[[#This Row],[Net Weight]])</f>
        <v/>
      </c>
      <c r="O162" s="30"/>
      <c r="P16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2" s="30"/>
      <c r="R162" s="30" t="str" cm="1">
        <f t="array" ref="R162">Main_Log_Ref(Main_Log[[#This Row],[Carrier]])</f>
        <v/>
      </c>
    </row>
    <row r="163" spans="1:18" ht="29.85" customHeight="1" x14ac:dyDescent="0.45">
      <c r="A163" s="30">
        <v>62</v>
      </c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 t="str" cm="1">
        <f t="array" ref="N163">Main_Log_Status(Main_Log[[#This Row],[Carrier]],Main_Log[[#This Row],[Net Weight]])</f>
        <v/>
      </c>
      <c r="O163" s="30"/>
      <c r="P16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3" s="30"/>
      <c r="R163" s="30" t="str" cm="1">
        <f t="array" ref="R163">Main_Log_Ref(Main_Log[[#This Row],[Carrier]])</f>
        <v/>
      </c>
    </row>
    <row r="164" spans="1:18" ht="29.85" customHeight="1" x14ac:dyDescent="0.45">
      <c r="A164" s="30">
        <v>63</v>
      </c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 t="str" cm="1">
        <f t="array" ref="N164">Main_Log_Status(Main_Log[[#This Row],[Carrier]],Main_Log[[#This Row],[Net Weight]])</f>
        <v/>
      </c>
      <c r="O164" s="30"/>
      <c r="P16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4" s="30"/>
      <c r="R164" s="30" t="str" cm="1">
        <f t="array" ref="R164">Main_Log_Ref(Main_Log[[#This Row],[Carrier]])</f>
        <v/>
      </c>
    </row>
    <row r="165" spans="1:18" ht="29.85" customHeight="1" x14ac:dyDescent="0.45">
      <c r="A165" s="30">
        <v>64</v>
      </c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 t="str" cm="1">
        <f t="array" ref="N165">Main_Log_Status(Main_Log[[#This Row],[Carrier]],Main_Log[[#This Row],[Net Weight]])</f>
        <v/>
      </c>
      <c r="O165" s="30"/>
      <c r="P16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5" s="30"/>
      <c r="R165" s="30" t="str" cm="1">
        <f t="array" ref="R165">Main_Log_Ref(Main_Log[[#This Row],[Carrier]])</f>
        <v/>
      </c>
    </row>
    <row r="166" spans="1:18" ht="29.85" customHeight="1" x14ac:dyDescent="0.45">
      <c r="A166" s="30">
        <v>65</v>
      </c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 t="str" cm="1">
        <f t="array" ref="N166">Main_Log_Status(Main_Log[[#This Row],[Carrier]],Main_Log[[#This Row],[Net Weight]])</f>
        <v/>
      </c>
      <c r="O166" s="30"/>
      <c r="P16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6" s="30"/>
      <c r="R166" s="30" t="str" cm="1">
        <f t="array" ref="R166">Main_Log_Ref(Main_Log[[#This Row],[Carrier]])</f>
        <v/>
      </c>
    </row>
    <row r="167" spans="1:18" ht="29.85" customHeight="1" x14ac:dyDescent="0.45">
      <c r="A167" s="30">
        <v>66</v>
      </c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 t="str" cm="1">
        <f t="array" ref="N167">Main_Log_Status(Main_Log[[#This Row],[Carrier]],Main_Log[[#This Row],[Net Weight]])</f>
        <v/>
      </c>
      <c r="O167" s="30"/>
      <c r="P16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7" s="30"/>
      <c r="R167" s="30" t="str" cm="1">
        <f t="array" ref="R167">Main_Log_Ref(Main_Log[[#This Row],[Carrier]])</f>
        <v/>
      </c>
    </row>
    <row r="168" spans="1:18" ht="29.85" customHeight="1" x14ac:dyDescent="0.45">
      <c r="A168" s="30">
        <v>67</v>
      </c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 t="str" cm="1">
        <f t="array" ref="N168">Main_Log_Status(Main_Log[[#This Row],[Carrier]],Main_Log[[#This Row],[Net Weight]])</f>
        <v/>
      </c>
      <c r="O168" s="30"/>
      <c r="P16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8" s="30"/>
      <c r="R168" s="30" t="str" cm="1">
        <f t="array" ref="R168">Main_Log_Ref(Main_Log[[#This Row],[Carrier]])</f>
        <v/>
      </c>
    </row>
    <row r="169" spans="1:18" ht="29.85" customHeight="1" x14ac:dyDescent="0.45">
      <c r="A169" s="30">
        <v>68</v>
      </c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 t="str" cm="1">
        <f t="array" ref="N169">Main_Log_Status(Main_Log[[#This Row],[Carrier]],Main_Log[[#This Row],[Net Weight]])</f>
        <v/>
      </c>
      <c r="O169" s="30"/>
      <c r="P16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9" s="30"/>
      <c r="R169" s="30" t="str" cm="1">
        <f t="array" ref="R169">Main_Log_Ref(Main_Log[[#This Row],[Carrier]])</f>
        <v/>
      </c>
    </row>
    <row r="170" spans="1:18" ht="29.85" customHeight="1" x14ac:dyDescent="0.45">
      <c r="A170" s="30">
        <v>69</v>
      </c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 t="str" cm="1">
        <f t="array" ref="N170">Main_Log_Status(Main_Log[[#This Row],[Carrier]],Main_Log[[#This Row],[Net Weight]])</f>
        <v/>
      </c>
      <c r="O170" s="30"/>
      <c r="P17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0" s="30"/>
      <c r="R170" s="30" t="str" cm="1">
        <f t="array" ref="R170">Main_Log_Ref(Main_Log[[#This Row],[Carrier]])</f>
        <v/>
      </c>
    </row>
    <row r="171" spans="1:18" ht="29.85" customHeight="1" x14ac:dyDescent="0.45">
      <c r="A171" s="30">
        <v>70</v>
      </c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 t="str" cm="1">
        <f t="array" ref="N171">Main_Log_Status(Main_Log[[#This Row],[Carrier]],Main_Log[[#This Row],[Net Weight]])</f>
        <v/>
      </c>
      <c r="O171" s="30"/>
      <c r="P17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1" s="30"/>
      <c r="R171" s="30" t="str" cm="1">
        <f t="array" ref="R171">Main_Log_Ref(Main_Log[[#This Row],[Carrier]])</f>
        <v/>
      </c>
    </row>
    <row r="172" spans="1:18" ht="29.85" customHeight="1" x14ac:dyDescent="0.45">
      <c r="A172" s="30">
        <v>71</v>
      </c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 t="str" cm="1">
        <f t="array" ref="N172">Main_Log_Status(Main_Log[[#This Row],[Carrier]],Main_Log[[#This Row],[Net Weight]])</f>
        <v/>
      </c>
      <c r="O172" s="30"/>
      <c r="P17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2" s="30"/>
      <c r="R172" s="30" t="str" cm="1">
        <f t="array" ref="R172">Main_Log_Ref(Main_Log[[#This Row],[Carrier]])</f>
        <v/>
      </c>
    </row>
    <row r="173" spans="1:18" ht="29.85" customHeight="1" x14ac:dyDescent="0.45">
      <c r="A173" s="30">
        <v>72</v>
      </c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 t="str" cm="1">
        <f t="array" ref="N173">Main_Log_Status(Main_Log[[#This Row],[Carrier]],Main_Log[[#This Row],[Net Weight]])</f>
        <v/>
      </c>
      <c r="O173" s="30"/>
      <c r="P17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3" s="30"/>
      <c r="R173" s="30" t="str" cm="1">
        <f t="array" ref="R173">Main_Log_Ref(Main_Log[[#This Row],[Carrier]])</f>
        <v/>
      </c>
    </row>
    <row r="174" spans="1:18" ht="29.85" customHeight="1" x14ac:dyDescent="0.45">
      <c r="A174" s="30">
        <v>73</v>
      </c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 t="str" cm="1">
        <f t="array" ref="N174">Main_Log_Status(Main_Log[[#This Row],[Carrier]],Main_Log[[#This Row],[Net Weight]])</f>
        <v/>
      </c>
      <c r="O174" s="30"/>
      <c r="P17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4" s="30"/>
      <c r="R174" s="30" t="str" cm="1">
        <f t="array" ref="R174">Main_Log_Ref(Main_Log[[#This Row],[Carrier]])</f>
        <v/>
      </c>
    </row>
    <row r="175" spans="1:18" ht="29.85" customHeight="1" x14ac:dyDescent="0.45">
      <c r="A175" s="30">
        <v>74</v>
      </c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 t="str" cm="1">
        <f t="array" ref="N175">Main_Log_Status(Main_Log[[#This Row],[Carrier]],Main_Log[[#This Row],[Net Weight]])</f>
        <v/>
      </c>
      <c r="O175" s="30"/>
      <c r="P17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5" s="30"/>
      <c r="R175" s="30" t="str" cm="1">
        <f t="array" ref="R175">Main_Log_Ref(Main_Log[[#This Row],[Carrier]])</f>
        <v/>
      </c>
    </row>
    <row r="176" spans="1:18" ht="29.85" customHeight="1" x14ac:dyDescent="0.45">
      <c r="A176" s="30">
        <v>75</v>
      </c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 t="str" cm="1">
        <f t="array" ref="N176">Main_Log_Status(Main_Log[[#This Row],[Carrier]],Main_Log[[#This Row],[Net Weight]])</f>
        <v/>
      </c>
      <c r="O176" s="30"/>
      <c r="P17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6" s="30"/>
      <c r="R176" s="30" t="str" cm="1">
        <f t="array" ref="R176">Main_Log_Ref(Main_Log[[#This Row],[Carrier]])</f>
        <v/>
      </c>
    </row>
    <row r="177" spans="1:18" ht="29.85" customHeight="1" x14ac:dyDescent="0.45">
      <c r="A177" s="30">
        <v>76</v>
      </c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 t="str" cm="1">
        <f t="array" ref="N177">Main_Log_Status(Main_Log[[#This Row],[Carrier]],Main_Log[[#This Row],[Net Weight]])</f>
        <v/>
      </c>
      <c r="O177" s="30"/>
      <c r="P17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7" s="30"/>
      <c r="R177" s="30" t="str" cm="1">
        <f t="array" ref="R177">Main_Log_Ref(Main_Log[[#This Row],[Carrier]])</f>
        <v/>
      </c>
    </row>
    <row r="178" spans="1:18" ht="29.85" customHeight="1" x14ac:dyDescent="0.45">
      <c r="A178" s="30">
        <v>77</v>
      </c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 t="str" cm="1">
        <f t="array" ref="N178">Main_Log_Status(Main_Log[[#This Row],[Carrier]],Main_Log[[#This Row],[Net Weight]])</f>
        <v/>
      </c>
      <c r="O178" s="30"/>
      <c r="P17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8" s="30"/>
      <c r="R178" s="30" t="e" cm="1">
        <f t="array" ref="R178">Main_Log_Ref(Main_Log[[#This Row],[Carrier]])</f>
        <v>#VALUE!</v>
      </c>
    </row>
    <row r="179" spans="1:18" ht="29.85" customHeight="1" x14ac:dyDescent="0.45">
      <c r="A179" s="30">
        <v>78</v>
      </c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 t="str" cm="1">
        <f t="array" ref="N179">Main_Log_Status(Main_Log[[#This Row],[Carrier]],Main_Log[[#This Row],[Net Weight]])</f>
        <v/>
      </c>
      <c r="O179" s="30"/>
      <c r="P17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9" s="30"/>
      <c r="R179" s="30" t="str" cm="1">
        <f t="array" ref="R179">Main_Log_Ref(Main_Log[[#This Row],[Carrier]])</f>
        <v/>
      </c>
    </row>
    <row r="180" spans="1:18" ht="29.85" customHeight="1" x14ac:dyDescent="0.45">
      <c r="A180" s="30">
        <v>79</v>
      </c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 t="str" cm="1">
        <f t="array" ref="N180">Main_Log_Status(Main_Log[[#This Row],[Carrier]],Main_Log[[#This Row],[Net Weight]])</f>
        <v/>
      </c>
      <c r="O180" s="30"/>
      <c r="P18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0" s="30"/>
      <c r="R180" s="30" t="str" cm="1">
        <f t="array" ref="R180">Main_Log_Ref(Main_Log[[#This Row],[Carrier]])</f>
        <v/>
      </c>
    </row>
    <row r="181" spans="1:18" ht="29.85" customHeight="1" x14ac:dyDescent="0.45">
      <c r="A181" s="30">
        <v>80</v>
      </c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 t="str" cm="1">
        <f t="array" ref="N181">Main_Log_Status(Main_Log[[#This Row],[Carrier]],Main_Log[[#This Row],[Net Weight]])</f>
        <v/>
      </c>
      <c r="O181" s="30"/>
      <c r="P18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1" s="30"/>
      <c r="R181" s="30" t="str" cm="1">
        <f t="array" ref="R181">Main_Log_Ref(Main_Log[[#This Row],[Carrier]])</f>
        <v/>
      </c>
    </row>
    <row r="182" spans="1:18" ht="29.85" customHeight="1" x14ac:dyDescent="0.45">
      <c r="A182" s="30">
        <v>81</v>
      </c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 t="str" cm="1">
        <f t="array" ref="N182">Main_Log_Status(Main_Log[[#This Row],[Carrier]],Main_Log[[#This Row],[Net Weight]])</f>
        <v/>
      </c>
      <c r="O182" s="30"/>
      <c r="P18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2" s="30"/>
      <c r="R182" s="30" t="str" cm="1">
        <f t="array" ref="R182">Main_Log_Ref(Main_Log[[#This Row],[Carrier]])</f>
        <v/>
      </c>
    </row>
    <row r="183" spans="1:18" ht="29.85" customHeight="1" x14ac:dyDescent="0.45">
      <c r="A183" s="30">
        <v>82</v>
      </c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 t="str" cm="1">
        <f t="array" ref="N183">Main_Log_Status(Main_Log[[#This Row],[Carrier]],Main_Log[[#This Row],[Net Weight]])</f>
        <v/>
      </c>
      <c r="O183" s="30"/>
      <c r="P18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3" s="30"/>
      <c r="R183" s="30" t="str" cm="1">
        <f t="array" ref="R183">Main_Log_Ref(Main_Log[[#This Row],[Carrier]])</f>
        <v/>
      </c>
    </row>
    <row r="184" spans="1:18" ht="29.85" customHeight="1" x14ac:dyDescent="0.45">
      <c r="A184" s="30">
        <v>83</v>
      </c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 t="str" cm="1">
        <f t="array" ref="N184">Main_Log_Status(Main_Log[[#This Row],[Carrier]],Main_Log[[#This Row],[Net Weight]])</f>
        <v/>
      </c>
      <c r="O184" s="30"/>
      <c r="P18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4" s="30"/>
      <c r="R184" s="30" t="str" cm="1">
        <f t="array" ref="R184">Main_Log_Ref(Main_Log[[#This Row],[Carrier]])</f>
        <v/>
      </c>
    </row>
    <row r="185" spans="1:18" ht="29.85" customHeight="1" x14ac:dyDescent="0.45">
      <c r="A185" s="30">
        <v>84</v>
      </c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 t="str" cm="1">
        <f t="array" ref="N185">Main_Log_Status(Main_Log[[#This Row],[Carrier]],Main_Log[[#This Row],[Net Weight]])</f>
        <v/>
      </c>
      <c r="O185" s="30"/>
      <c r="P18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5" s="30"/>
      <c r="R185" s="30" t="str" cm="1">
        <f t="array" ref="R185">Main_Log_Ref(Main_Log[[#This Row],[Carrier]])</f>
        <v/>
      </c>
    </row>
    <row r="186" spans="1:18" ht="29.85" customHeight="1" x14ac:dyDescent="0.45">
      <c r="A186" s="30">
        <v>85</v>
      </c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 t="str" cm="1">
        <f t="array" ref="N186">Main_Log_Status(Main_Log[[#This Row],[Carrier]],Main_Log[[#This Row],[Net Weight]])</f>
        <v/>
      </c>
      <c r="O186" s="30"/>
      <c r="P18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6" s="30"/>
      <c r="R186" s="30" t="str" cm="1">
        <f t="array" ref="R186">Main_Log_Ref(Main_Log[[#This Row],[Carrier]])</f>
        <v/>
      </c>
    </row>
    <row r="187" spans="1:18" ht="29.85" customHeight="1" x14ac:dyDescent="0.45">
      <c r="A187" s="30">
        <v>86</v>
      </c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 t="str" cm="1">
        <f t="array" ref="N187">Main_Log_Status(Main_Log[[#This Row],[Carrier]],Main_Log[[#This Row],[Net Weight]])</f>
        <v/>
      </c>
      <c r="O187" s="30"/>
      <c r="P18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7" s="30"/>
      <c r="R187" s="30" t="str" cm="1">
        <f t="array" ref="R187">Main_Log_Ref(Main_Log[[#This Row],[Carrier]])</f>
        <v/>
      </c>
    </row>
    <row r="188" spans="1:18" ht="29.85" customHeight="1" x14ac:dyDescent="0.45">
      <c r="A188" s="30">
        <v>87</v>
      </c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 t="str" cm="1">
        <f t="array" ref="N188">Main_Log_Status(Main_Log[[#This Row],[Carrier]],Main_Log[[#This Row],[Net Weight]])</f>
        <v/>
      </c>
      <c r="O188" s="30"/>
      <c r="P18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8" s="30"/>
      <c r="R188" s="30" t="str" cm="1">
        <f t="array" ref="R188">Main_Log_Ref(Main_Log[[#This Row],[Carrier]])</f>
        <v/>
      </c>
    </row>
    <row r="189" spans="1:18" ht="29.85" customHeight="1" x14ac:dyDescent="0.45">
      <c r="A189" s="30">
        <v>88</v>
      </c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 t="str" cm="1">
        <f t="array" ref="N189">Main_Log_Status(Main_Log[[#This Row],[Carrier]],Main_Log[[#This Row],[Net Weight]])</f>
        <v/>
      </c>
      <c r="O189" s="30"/>
      <c r="P18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9" s="30"/>
      <c r="R189" s="30" t="str" cm="1">
        <f t="array" ref="R189">Main_Log_Ref(Main_Log[[#This Row],[Carrier]])</f>
        <v/>
      </c>
    </row>
    <row r="190" spans="1:18" ht="29.85" customHeight="1" x14ac:dyDescent="0.45">
      <c r="A190" s="30">
        <v>89</v>
      </c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 t="str" cm="1">
        <f t="array" ref="N190">Main_Log_Status(Main_Log[[#This Row],[Carrier]],Main_Log[[#This Row],[Net Weight]])</f>
        <v/>
      </c>
      <c r="O190" s="30"/>
      <c r="P19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0" s="30"/>
      <c r="R190" s="30" t="str" cm="1">
        <f t="array" ref="R190">Main_Log_Ref(Main_Log[[#This Row],[Carrier]])</f>
        <v/>
      </c>
    </row>
    <row r="191" spans="1:18" ht="29.85" customHeight="1" x14ac:dyDescent="0.45">
      <c r="A191" s="30">
        <v>90</v>
      </c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 t="str" cm="1">
        <f t="array" ref="N191">Main_Log_Status(Main_Log[[#This Row],[Carrier]],Main_Log[[#This Row],[Net Weight]])</f>
        <v/>
      </c>
      <c r="O191" s="30"/>
      <c r="P19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1" s="30"/>
      <c r="R191" s="30" t="str" cm="1">
        <f t="array" ref="R191">Main_Log_Ref(Main_Log[[#This Row],[Carrier]])</f>
        <v/>
      </c>
    </row>
    <row r="192" spans="1:18" ht="29.85" customHeight="1" x14ac:dyDescent="0.45">
      <c r="A192" s="30">
        <v>91</v>
      </c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 t="str" cm="1">
        <f t="array" ref="N192">Main_Log_Status(Main_Log[[#This Row],[Carrier]],Main_Log[[#This Row],[Net Weight]])</f>
        <v/>
      </c>
      <c r="O192" s="30"/>
      <c r="P19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2" s="30"/>
      <c r="R192" s="30" t="str" cm="1">
        <f t="array" ref="R192">Main_Log_Ref(Main_Log[[#This Row],[Carrier]])</f>
        <v/>
      </c>
    </row>
    <row r="193" spans="1:18" ht="29.85" customHeight="1" x14ac:dyDescent="0.45">
      <c r="A193" s="30">
        <v>92</v>
      </c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 t="str" cm="1">
        <f t="array" ref="N193">Main_Log_Status(Main_Log[[#This Row],[Carrier]],Main_Log[[#This Row],[Net Weight]])</f>
        <v/>
      </c>
      <c r="O193" s="30"/>
      <c r="P19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3" s="30"/>
      <c r="R193" s="30" t="str" cm="1">
        <f t="array" ref="R193">Main_Log_Ref(Main_Log[[#This Row],[Carrier]])</f>
        <v/>
      </c>
    </row>
    <row r="194" spans="1:18" ht="29.85" customHeight="1" x14ac:dyDescent="0.45">
      <c r="A194" s="30">
        <v>93</v>
      </c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 t="str" cm="1">
        <f t="array" ref="N194">Main_Log_Status(Main_Log[[#This Row],[Carrier]],Main_Log[[#This Row],[Net Weight]])</f>
        <v/>
      </c>
      <c r="O194" s="30"/>
      <c r="P19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4" s="30"/>
      <c r="R194" s="30" t="str" cm="1">
        <f t="array" ref="R194">Main_Log_Ref(Main_Log[[#This Row],[Carrier]])</f>
        <v/>
      </c>
    </row>
    <row r="195" spans="1:18" ht="29.85" customHeight="1" x14ac:dyDescent="0.45">
      <c r="A195" s="30">
        <v>94</v>
      </c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 t="str" cm="1">
        <f t="array" ref="N195">Main_Log_Status(Main_Log[[#This Row],[Carrier]],Main_Log[[#This Row],[Net Weight]])</f>
        <v/>
      </c>
      <c r="O195" s="30"/>
      <c r="P19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5" s="30"/>
      <c r="R195" s="30" t="str" cm="1">
        <f t="array" ref="R195">Main_Log_Ref(Main_Log[[#This Row],[Carrier]])</f>
        <v/>
      </c>
    </row>
    <row r="196" spans="1:18" ht="29.85" customHeight="1" x14ac:dyDescent="0.45">
      <c r="A196" s="30">
        <v>95</v>
      </c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 t="str" cm="1">
        <f t="array" ref="N196">Main_Log_Status(Main_Log[[#This Row],[Carrier]],Main_Log[[#This Row],[Net Weight]])</f>
        <v/>
      </c>
      <c r="O196" s="30"/>
      <c r="P19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6" s="30"/>
      <c r="R196" s="30" t="str" cm="1">
        <f t="array" ref="R196">Main_Log_Ref(Main_Log[[#This Row],[Carrier]])</f>
        <v/>
      </c>
    </row>
    <row r="197" spans="1:18" ht="29.85" customHeight="1" x14ac:dyDescent="0.45">
      <c r="A197" s="30">
        <v>96</v>
      </c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 t="str" cm="1">
        <f t="array" ref="N197">Main_Log_Status(Main_Log[[#This Row],[Carrier]],Main_Log[[#This Row],[Net Weight]])</f>
        <v/>
      </c>
      <c r="O197" s="30"/>
      <c r="P19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7" s="30"/>
      <c r="R197" s="30" t="str" cm="1">
        <f t="array" ref="R197">Main_Log_Ref(Main_Log[[#This Row],[Carrier]])</f>
        <v/>
      </c>
    </row>
    <row r="198" spans="1:18" ht="29.85" customHeight="1" x14ac:dyDescent="0.45">
      <c r="A198" s="30">
        <v>97</v>
      </c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 t="str" cm="1">
        <f t="array" ref="N198">Main_Log_Status(Main_Log[[#This Row],[Carrier]],Main_Log[[#This Row],[Net Weight]])</f>
        <v/>
      </c>
      <c r="O198" s="30"/>
      <c r="P19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8" s="30"/>
      <c r="R198" s="30" t="str" cm="1">
        <f t="array" ref="R198">Main_Log_Ref(Main_Log[[#This Row],[Carrier]])</f>
        <v/>
      </c>
    </row>
    <row r="199" spans="1:18" ht="29.85" customHeight="1" x14ac:dyDescent="0.45">
      <c r="A199" s="30">
        <v>98</v>
      </c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 t="str" cm="1">
        <f t="array" ref="N199">Main_Log_Status(Main_Log[[#This Row],[Carrier]],Main_Log[[#This Row],[Net Weight]])</f>
        <v/>
      </c>
      <c r="O199" s="30"/>
      <c r="P19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9" s="30"/>
      <c r="R199" s="30" t="str" cm="1">
        <f t="array" ref="R199">Main_Log_Ref(Main_Log[[#This Row],[Carrier]])</f>
        <v/>
      </c>
    </row>
    <row r="200" spans="1:18" ht="29.85" customHeight="1" x14ac:dyDescent="0.45">
      <c r="A200" s="30">
        <v>99</v>
      </c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 t="str" cm="1">
        <f t="array" ref="N200">Main_Log_Status(Main_Log[[#This Row],[Carrier]],Main_Log[[#This Row],[Net Weight]])</f>
        <v/>
      </c>
      <c r="O200" s="30"/>
      <c r="P20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0" s="30"/>
      <c r="R200" s="30" t="str" cm="1">
        <f t="array" ref="R200">Main_Log_Ref(Main_Log[[#This Row],[Carrier]])</f>
        <v/>
      </c>
    </row>
    <row r="201" spans="1:18" ht="29.85" customHeight="1" x14ac:dyDescent="0.45">
      <c r="A201" s="30">
        <v>1</v>
      </c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 t="str" cm="1">
        <f t="array" ref="N201">Main_Log_Status(Main_Log[[#This Row],[Carrier]],Main_Log[[#This Row],[Net Weight]])</f>
        <v/>
      </c>
      <c r="O201" s="30"/>
      <c r="P20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1" s="30"/>
      <c r="R201" s="30" t="str" cm="1">
        <f t="array" ref="R201">Main_Log_Ref(Main_Log[[#This Row],[Carrier]])</f>
        <v/>
      </c>
    </row>
    <row r="202" spans="1:18" ht="29.85" customHeight="1" x14ac:dyDescent="0.45">
      <c r="A202" s="30">
        <v>2</v>
      </c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 t="str" cm="1">
        <f t="array" ref="N202">Main_Log_Status(Main_Log[[#This Row],[Carrier]],Main_Log[[#This Row],[Net Weight]])</f>
        <v/>
      </c>
      <c r="O202" s="30"/>
      <c r="P20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2" s="30"/>
      <c r="R202" s="30" t="str" cm="1">
        <f t="array" ref="R202">Main_Log_Ref(Main_Log[[#This Row],[Carrier]])</f>
        <v/>
      </c>
    </row>
    <row r="203" spans="1:18" ht="29.85" customHeight="1" x14ac:dyDescent="0.45">
      <c r="A203" s="30">
        <v>3</v>
      </c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 t="str" cm="1">
        <f t="array" ref="N203">Main_Log_Status(Main_Log[[#This Row],[Carrier]],Main_Log[[#This Row],[Net Weight]])</f>
        <v/>
      </c>
      <c r="O203" s="30"/>
      <c r="P20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3" s="30"/>
      <c r="R203" s="30" t="str" cm="1">
        <f t="array" ref="R203">Main_Log_Ref(Main_Log[[#This Row],[Carrier]])</f>
        <v/>
      </c>
    </row>
    <row r="204" spans="1:18" ht="29.85" customHeight="1" x14ac:dyDescent="0.45">
      <c r="A204" s="30">
        <v>4</v>
      </c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 t="str" cm="1">
        <f t="array" ref="N204">Main_Log_Status(Main_Log[[#This Row],[Carrier]],Main_Log[[#This Row],[Net Weight]])</f>
        <v/>
      </c>
      <c r="O204" s="30"/>
      <c r="P20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4" s="30"/>
      <c r="R204" s="30" t="str" cm="1">
        <f t="array" ref="R204">Main_Log_Ref(Main_Log[[#This Row],[Carrier]])</f>
        <v/>
      </c>
    </row>
    <row r="205" spans="1:18" ht="29.85" customHeight="1" x14ac:dyDescent="0.45">
      <c r="A205" s="30">
        <v>5</v>
      </c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 t="str" cm="1">
        <f t="array" ref="N205">Main_Log_Status(Main_Log[[#This Row],[Carrier]],Main_Log[[#This Row],[Net Weight]])</f>
        <v/>
      </c>
      <c r="O205" s="30"/>
      <c r="P20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5" s="30"/>
      <c r="R205" s="30" t="str" cm="1">
        <f t="array" ref="R205">Main_Log_Ref(Main_Log[[#This Row],[Carrier]])</f>
        <v/>
      </c>
    </row>
    <row r="206" spans="1:18" ht="29.85" customHeight="1" x14ac:dyDescent="0.45">
      <c r="A206" s="30">
        <v>6</v>
      </c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 t="str" cm="1">
        <f t="array" ref="N206">Main_Log_Status(Main_Log[[#This Row],[Carrier]],Main_Log[[#This Row],[Net Weight]])</f>
        <v/>
      </c>
      <c r="O206" s="30"/>
      <c r="P20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6" s="30"/>
      <c r="R206" s="30" t="str" cm="1">
        <f t="array" ref="R206">Main_Log_Ref(Main_Log[[#This Row],[Carrier]])</f>
        <v/>
      </c>
    </row>
    <row r="207" spans="1:18" ht="29.85" customHeight="1" x14ac:dyDescent="0.45">
      <c r="A207" s="30">
        <v>7</v>
      </c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 t="str" cm="1">
        <f t="array" ref="N207">Main_Log_Status(Main_Log[[#This Row],[Carrier]],Main_Log[[#This Row],[Net Weight]])</f>
        <v/>
      </c>
      <c r="O207" s="30"/>
      <c r="P20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7" s="30"/>
      <c r="R207" s="30" t="str" cm="1">
        <f t="array" ref="R207">Main_Log_Ref(Main_Log[[#This Row],[Carrier]])</f>
        <v/>
      </c>
    </row>
    <row r="208" spans="1:18" ht="29.85" customHeight="1" x14ac:dyDescent="0.45">
      <c r="A208" s="30">
        <v>8</v>
      </c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 t="str" cm="1">
        <f t="array" ref="N208">Main_Log_Status(Main_Log[[#This Row],[Carrier]],Main_Log[[#This Row],[Net Weight]])</f>
        <v/>
      </c>
      <c r="O208" s="30"/>
      <c r="P20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8" s="30"/>
      <c r="R208" s="30" t="str" cm="1">
        <f t="array" ref="R208">Main_Log_Ref(Main_Log[[#This Row],[Carrier]])</f>
        <v/>
      </c>
    </row>
    <row r="209" spans="1:18" ht="29.85" customHeight="1" x14ac:dyDescent="0.45">
      <c r="A209" s="30">
        <v>9</v>
      </c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 t="str" cm="1">
        <f t="array" ref="N209">Main_Log_Status(Main_Log[[#This Row],[Carrier]],Main_Log[[#This Row],[Net Weight]])</f>
        <v/>
      </c>
      <c r="O209" s="30"/>
      <c r="P20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9" s="30"/>
      <c r="R209" s="30" t="str" cm="1">
        <f t="array" ref="R209">Main_Log_Ref(Main_Log[[#This Row],[Carrier]])</f>
        <v/>
      </c>
    </row>
    <row r="210" spans="1:18" ht="29.85" customHeight="1" x14ac:dyDescent="0.45">
      <c r="A210" s="30">
        <v>10</v>
      </c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 t="str" cm="1">
        <f t="array" ref="N210">Main_Log_Status(Main_Log[[#This Row],[Carrier]],Main_Log[[#This Row],[Net Weight]])</f>
        <v/>
      </c>
      <c r="O210" s="30"/>
      <c r="P21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0" s="30"/>
      <c r="R210" s="30" t="str" cm="1">
        <f t="array" ref="R210">Main_Log_Ref(Main_Log[[#This Row],[Carrier]])</f>
        <v/>
      </c>
    </row>
    <row r="211" spans="1:18" ht="29.85" customHeight="1" x14ac:dyDescent="0.45">
      <c r="A211" s="30">
        <v>11</v>
      </c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 t="str" cm="1">
        <f t="array" ref="N211">Main_Log_Status(Main_Log[[#This Row],[Carrier]],Main_Log[[#This Row],[Net Weight]])</f>
        <v/>
      </c>
      <c r="O211" s="30"/>
      <c r="P21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1" s="30"/>
      <c r="R211" s="30" t="str" cm="1">
        <f t="array" ref="R211">Main_Log_Ref(Main_Log[[#This Row],[Carrier]])</f>
        <v/>
      </c>
    </row>
    <row r="212" spans="1:18" ht="29.85" customHeight="1" x14ac:dyDescent="0.45">
      <c r="A212" s="30">
        <v>12</v>
      </c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 t="str" cm="1">
        <f t="array" ref="N212">Main_Log_Status(Main_Log[[#This Row],[Carrier]],Main_Log[[#This Row],[Net Weight]])</f>
        <v/>
      </c>
      <c r="O212" s="30"/>
      <c r="P21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2" s="30"/>
      <c r="R212" s="30" t="str" cm="1">
        <f t="array" ref="R212">Main_Log_Ref(Main_Log[[#This Row],[Carrier]])</f>
        <v/>
      </c>
    </row>
    <row r="213" spans="1:18" ht="29.85" customHeight="1" x14ac:dyDescent="0.45">
      <c r="A213" s="30">
        <v>13</v>
      </c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 t="str" cm="1">
        <f t="array" ref="N213">Main_Log_Status(Main_Log[[#This Row],[Carrier]],Main_Log[[#This Row],[Net Weight]])</f>
        <v/>
      </c>
      <c r="O213" s="30"/>
      <c r="P21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3" s="30"/>
      <c r="R213" s="30" t="str" cm="1">
        <f t="array" ref="R213">Main_Log_Ref(Main_Log[[#This Row],[Carrier]])</f>
        <v/>
      </c>
    </row>
    <row r="214" spans="1:18" ht="29.85" customHeight="1" x14ac:dyDescent="0.45">
      <c r="A214" s="30">
        <v>14</v>
      </c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 t="str" cm="1">
        <f t="array" ref="N214">Main_Log_Status(Main_Log[[#This Row],[Carrier]],Main_Log[[#This Row],[Net Weight]])</f>
        <v/>
      </c>
      <c r="O214" s="30"/>
      <c r="P21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4" s="30"/>
      <c r="R214" s="30" t="str" cm="1">
        <f t="array" ref="R214">Main_Log_Ref(Main_Log[[#This Row],[Carrier]])</f>
        <v/>
      </c>
    </row>
    <row r="215" spans="1:18" ht="29.85" customHeight="1" x14ac:dyDescent="0.45">
      <c r="A215" s="30">
        <v>15</v>
      </c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 t="str" cm="1">
        <f t="array" ref="N215">Main_Log_Status(Main_Log[[#This Row],[Carrier]],Main_Log[[#This Row],[Net Weight]])</f>
        <v/>
      </c>
      <c r="O215" s="30"/>
      <c r="P21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5" s="30"/>
      <c r="R215" s="30" t="str" cm="1">
        <f t="array" ref="R215">Main_Log_Ref(Main_Log[[#This Row],[Carrier]])</f>
        <v/>
      </c>
    </row>
    <row r="216" spans="1:18" ht="29.85" customHeight="1" x14ac:dyDescent="0.45">
      <c r="A216" s="30">
        <v>16</v>
      </c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 t="str" cm="1">
        <f t="array" ref="N216">Main_Log_Status(Main_Log[[#This Row],[Carrier]],Main_Log[[#This Row],[Net Weight]])</f>
        <v/>
      </c>
      <c r="O216" s="30"/>
      <c r="P21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6" s="30"/>
      <c r="R216" s="30" t="str" cm="1">
        <f t="array" ref="R216">Main_Log_Ref(Main_Log[[#This Row],[Carrier]])</f>
        <v/>
      </c>
    </row>
    <row r="217" spans="1:18" ht="29.85" customHeight="1" x14ac:dyDescent="0.45">
      <c r="A217" s="30">
        <v>17</v>
      </c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 t="str" cm="1">
        <f t="array" ref="N217">Main_Log_Status(Main_Log[[#This Row],[Carrier]],Main_Log[[#This Row],[Net Weight]])</f>
        <v/>
      </c>
      <c r="O217" s="30"/>
      <c r="P21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7" s="30"/>
      <c r="R217" s="30" t="str" cm="1">
        <f t="array" ref="R217">Main_Log_Ref(Main_Log[[#This Row],[Carrier]])</f>
        <v/>
      </c>
    </row>
    <row r="218" spans="1:18" ht="29.85" customHeight="1" x14ac:dyDescent="0.45">
      <c r="A218" s="30">
        <v>18</v>
      </c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 t="str" cm="1">
        <f t="array" ref="N218">Main_Log_Status(Main_Log[[#This Row],[Carrier]],Main_Log[[#This Row],[Net Weight]])</f>
        <v/>
      </c>
      <c r="O218" s="30"/>
      <c r="P21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8" s="30"/>
      <c r="R218" s="30" t="str" cm="1">
        <f t="array" ref="R218">Main_Log_Ref(Main_Log[[#This Row],[Carrier]])</f>
        <v/>
      </c>
    </row>
    <row r="219" spans="1:18" ht="29.85" customHeight="1" x14ac:dyDescent="0.45">
      <c r="A219" s="30">
        <v>19</v>
      </c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 t="str" cm="1">
        <f t="array" ref="N219">Main_Log_Status(Main_Log[[#This Row],[Carrier]],Main_Log[[#This Row],[Net Weight]])</f>
        <v/>
      </c>
      <c r="O219" s="30"/>
      <c r="P21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9" s="30"/>
      <c r="R219" s="30" t="str" cm="1">
        <f t="array" ref="R219">Main_Log_Ref(Main_Log[[#This Row],[Carrier]])</f>
        <v/>
      </c>
    </row>
    <row r="220" spans="1:18" ht="29.85" customHeight="1" x14ac:dyDescent="0.45">
      <c r="A220" s="30">
        <v>20</v>
      </c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 t="str" cm="1">
        <f t="array" ref="N220">Main_Log_Status(Main_Log[[#This Row],[Carrier]],Main_Log[[#This Row],[Net Weight]])</f>
        <v/>
      </c>
      <c r="O220" s="30"/>
      <c r="P22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0" s="30"/>
      <c r="R220" s="30" t="str" cm="1">
        <f t="array" ref="R220">Main_Log_Ref(Main_Log[[#This Row],[Carrier]])</f>
        <v/>
      </c>
    </row>
    <row r="221" spans="1:18" ht="29.85" customHeight="1" x14ac:dyDescent="0.45">
      <c r="A221" s="30">
        <v>21</v>
      </c>
      <c r="B221" s="30"/>
      <c r="C221" s="30"/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 t="str" cm="1">
        <f t="array" ref="N221">Main_Log_Status(Main_Log[[#This Row],[Carrier]],Main_Log[[#This Row],[Net Weight]])</f>
        <v/>
      </c>
      <c r="O221" s="30"/>
      <c r="P22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1" s="30"/>
      <c r="R221" s="30" t="str" cm="1">
        <f t="array" ref="R221">Main_Log_Ref(Main_Log[[#This Row],[Carrier]])</f>
        <v/>
      </c>
    </row>
    <row r="222" spans="1:18" ht="29.85" customHeight="1" x14ac:dyDescent="0.45">
      <c r="A222" s="30">
        <v>22</v>
      </c>
      <c r="B222" s="30"/>
      <c r="C222" s="30"/>
      <c r="D222" s="30"/>
      <c r="E222" s="30"/>
      <c r="F222" s="30"/>
      <c r="G222" s="30"/>
      <c r="H222" s="30"/>
      <c r="I222" s="30"/>
      <c r="J222" s="30"/>
      <c r="K222" s="30"/>
      <c r="L222" s="30"/>
      <c r="M222" s="30"/>
      <c r="N222" s="30" t="str" cm="1">
        <f t="array" ref="N222">Main_Log_Status(Main_Log[[#This Row],[Carrier]],Main_Log[[#This Row],[Net Weight]])</f>
        <v/>
      </c>
      <c r="O222" s="30"/>
      <c r="P22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2" s="30"/>
      <c r="R222" s="30" t="str" cm="1">
        <f t="array" ref="R222">Main_Log_Ref(Main_Log[[#This Row],[Carrier]])</f>
        <v/>
      </c>
    </row>
    <row r="223" spans="1:18" ht="29.85" customHeight="1" x14ac:dyDescent="0.45">
      <c r="A223" s="30">
        <v>23</v>
      </c>
      <c r="B223" s="30"/>
      <c r="C223" s="30"/>
      <c r="D223" s="30"/>
      <c r="E223" s="30"/>
      <c r="F223" s="30"/>
      <c r="G223" s="30"/>
      <c r="H223" s="30"/>
      <c r="I223" s="30"/>
      <c r="J223" s="30"/>
      <c r="K223" s="30"/>
      <c r="L223" s="30"/>
      <c r="M223" s="30"/>
      <c r="N223" s="30" t="str" cm="1">
        <f t="array" ref="N223">Main_Log_Status(Main_Log[[#This Row],[Carrier]],Main_Log[[#This Row],[Net Weight]])</f>
        <v/>
      </c>
      <c r="O223" s="30"/>
      <c r="P22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3" s="30"/>
      <c r="R223" s="30" t="str" cm="1">
        <f t="array" ref="R223">Main_Log_Ref(Main_Log[[#This Row],[Carrier]])</f>
        <v/>
      </c>
    </row>
    <row r="224" spans="1:18" ht="29.85" customHeight="1" x14ac:dyDescent="0.45">
      <c r="A224" s="30">
        <v>24</v>
      </c>
      <c r="B224" s="30"/>
      <c r="C224" s="30"/>
      <c r="D224" s="30"/>
      <c r="E224" s="30"/>
      <c r="F224" s="30"/>
      <c r="G224" s="30"/>
      <c r="H224" s="30"/>
      <c r="I224" s="30"/>
      <c r="J224" s="30"/>
      <c r="K224" s="30"/>
      <c r="L224" s="30"/>
      <c r="M224" s="30"/>
      <c r="N224" s="30" t="str" cm="1">
        <f t="array" ref="N224">Main_Log_Status(Main_Log[[#This Row],[Carrier]],Main_Log[[#This Row],[Net Weight]])</f>
        <v/>
      </c>
      <c r="O224" s="30"/>
      <c r="P22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4" s="30"/>
      <c r="R224" s="30" t="str" cm="1">
        <f t="array" ref="R224">Main_Log_Ref(Main_Log[[#This Row],[Carrier]])</f>
        <v/>
      </c>
    </row>
    <row r="225" spans="1:18" ht="29.85" customHeight="1" x14ac:dyDescent="0.45">
      <c r="A225" s="30">
        <v>25</v>
      </c>
      <c r="B225" s="30"/>
      <c r="C225" s="30"/>
      <c r="D225" s="30"/>
      <c r="E225" s="30"/>
      <c r="F225" s="30"/>
      <c r="G225" s="30"/>
      <c r="H225" s="30"/>
      <c r="I225" s="30"/>
      <c r="J225" s="30"/>
      <c r="K225" s="30"/>
      <c r="L225" s="30"/>
      <c r="M225" s="30"/>
      <c r="N225" s="30" t="str" cm="1">
        <f t="array" ref="N225">Main_Log_Status(Main_Log[[#This Row],[Carrier]],Main_Log[[#This Row],[Net Weight]])</f>
        <v/>
      </c>
      <c r="O225" s="30"/>
      <c r="P22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5" s="30"/>
      <c r="R225" s="30" t="str" cm="1">
        <f t="array" ref="R225">Main_Log_Ref(Main_Log[[#This Row],[Carrier]])</f>
        <v/>
      </c>
    </row>
    <row r="226" spans="1:18" ht="29.85" customHeight="1" x14ac:dyDescent="0.45">
      <c r="A226" s="30">
        <v>26</v>
      </c>
      <c r="B226" s="30"/>
      <c r="C226" s="30"/>
      <c r="D226" s="30"/>
      <c r="E226" s="30"/>
      <c r="F226" s="30"/>
      <c r="G226" s="30"/>
      <c r="H226" s="30"/>
      <c r="I226" s="30"/>
      <c r="J226" s="30"/>
      <c r="K226" s="30"/>
      <c r="L226" s="30"/>
      <c r="M226" s="30"/>
      <c r="N226" s="30" t="str" cm="1">
        <f t="array" ref="N226">Main_Log_Status(Main_Log[[#This Row],[Carrier]],Main_Log[[#This Row],[Net Weight]])</f>
        <v/>
      </c>
      <c r="O226" s="30"/>
      <c r="P22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6" s="30"/>
      <c r="R226" s="30" t="str" cm="1">
        <f t="array" ref="R226">Main_Log_Ref(Main_Log[[#This Row],[Carrier]])</f>
        <v/>
      </c>
    </row>
    <row r="227" spans="1:18" ht="29.85" customHeight="1" x14ac:dyDescent="0.45">
      <c r="A227" s="30">
        <v>27</v>
      </c>
      <c r="B227" s="30"/>
      <c r="C227" s="30"/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 t="str" cm="1">
        <f t="array" ref="N227">Main_Log_Status(Main_Log[[#This Row],[Carrier]],Main_Log[[#This Row],[Net Weight]])</f>
        <v/>
      </c>
      <c r="O227" s="30"/>
      <c r="P22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7" s="30"/>
      <c r="R227" s="30" t="str" cm="1">
        <f t="array" ref="R227">Main_Log_Ref(Main_Log[[#This Row],[Carrier]])</f>
        <v/>
      </c>
    </row>
    <row r="228" spans="1:18" ht="29.85" customHeight="1" x14ac:dyDescent="0.45">
      <c r="A228" s="30">
        <v>28</v>
      </c>
      <c r="B228" s="30"/>
      <c r="C228" s="30"/>
      <c r="D228" s="30"/>
      <c r="E228" s="30"/>
      <c r="F228" s="30"/>
      <c r="G228" s="30"/>
      <c r="H228" s="30"/>
      <c r="I228" s="30"/>
      <c r="J228" s="30"/>
      <c r="K228" s="30"/>
      <c r="L228" s="30"/>
      <c r="M228" s="30"/>
      <c r="N228" s="30" t="str" cm="1">
        <f t="array" ref="N228">Main_Log_Status(Main_Log[[#This Row],[Carrier]],Main_Log[[#This Row],[Net Weight]])</f>
        <v/>
      </c>
      <c r="O228" s="30"/>
      <c r="P22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8" s="30"/>
      <c r="R228" s="30" t="str" cm="1">
        <f t="array" ref="R228">Main_Log_Ref(Main_Log[[#This Row],[Carrier]])</f>
        <v/>
      </c>
    </row>
    <row r="229" spans="1:18" ht="29.85" customHeight="1" x14ac:dyDescent="0.45">
      <c r="A229" s="30">
        <v>29</v>
      </c>
      <c r="B229" s="30"/>
      <c r="C229" s="30"/>
      <c r="D229" s="30"/>
      <c r="E229" s="30"/>
      <c r="F229" s="30"/>
      <c r="G229" s="30"/>
      <c r="H229" s="30"/>
      <c r="I229" s="30"/>
      <c r="J229" s="30"/>
      <c r="K229" s="30"/>
      <c r="L229" s="30"/>
      <c r="M229" s="30"/>
      <c r="N229" s="30" t="str" cm="1">
        <f t="array" ref="N229">Main_Log_Status(Main_Log[[#This Row],[Carrier]],Main_Log[[#This Row],[Net Weight]])</f>
        <v/>
      </c>
      <c r="O229" s="30"/>
      <c r="P22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9" s="30"/>
      <c r="R229" s="30" t="str" cm="1">
        <f t="array" ref="R229">Main_Log_Ref(Main_Log[[#This Row],[Carrier]])</f>
        <v/>
      </c>
    </row>
    <row r="230" spans="1:18" ht="29.85" customHeight="1" x14ac:dyDescent="0.45">
      <c r="A230" s="30">
        <v>30</v>
      </c>
      <c r="B230" s="30"/>
      <c r="C230" s="30"/>
      <c r="D230" s="30"/>
      <c r="E230" s="30"/>
      <c r="F230" s="30"/>
      <c r="G230" s="30"/>
      <c r="H230" s="30"/>
      <c r="I230" s="30"/>
      <c r="J230" s="30"/>
      <c r="K230" s="30"/>
      <c r="L230" s="30"/>
      <c r="M230" s="30"/>
      <c r="N230" s="30" t="str" cm="1">
        <f t="array" ref="N230">Main_Log_Status(Main_Log[[#This Row],[Carrier]],Main_Log[[#This Row],[Net Weight]])</f>
        <v/>
      </c>
      <c r="O230" s="30"/>
      <c r="P23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0" s="30"/>
      <c r="R230" s="30" t="str" cm="1">
        <f t="array" ref="R230">Main_Log_Ref(Main_Log[[#This Row],[Carrier]])</f>
        <v/>
      </c>
    </row>
    <row r="231" spans="1:18" ht="29.85" customHeight="1" x14ac:dyDescent="0.45">
      <c r="A231" s="30">
        <v>31</v>
      </c>
      <c r="B231" s="30"/>
      <c r="C231" s="30"/>
      <c r="D231" s="30"/>
      <c r="E231" s="30"/>
      <c r="F231" s="30"/>
      <c r="G231" s="30"/>
      <c r="H231" s="30"/>
      <c r="I231" s="30"/>
      <c r="J231" s="30"/>
      <c r="K231" s="30"/>
      <c r="L231" s="30"/>
      <c r="M231" s="30"/>
      <c r="N231" s="30" t="str" cm="1">
        <f t="array" ref="N231">Main_Log_Status(Main_Log[[#This Row],[Carrier]],Main_Log[[#This Row],[Net Weight]])</f>
        <v/>
      </c>
      <c r="O231" s="30"/>
      <c r="P23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1" s="30"/>
      <c r="R231" s="30" t="str" cm="1">
        <f t="array" ref="R231">Main_Log_Ref(Main_Log[[#This Row],[Carrier]])</f>
        <v/>
      </c>
    </row>
    <row r="232" spans="1:18" ht="29.85" customHeight="1" x14ac:dyDescent="0.45">
      <c r="A232" s="30">
        <v>32</v>
      </c>
      <c r="B232" s="30"/>
      <c r="C232" s="30"/>
      <c r="D232" s="30"/>
      <c r="E232" s="30"/>
      <c r="F232" s="30"/>
      <c r="G232" s="30"/>
      <c r="H232" s="30"/>
      <c r="I232" s="30"/>
      <c r="J232" s="30"/>
      <c r="K232" s="30"/>
      <c r="L232" s="30"/>
      <c r="M232" s="30"/>
      <c r="N232" s="30" t="str" cm="1">
        <f t="array" ref="N232">Main_Log_Status(Main_Log[[#This Row],[Carrier]],Main_Log[[#This Row],[Net Weight]])</f>
        <v/>
      </c>
      <c r="O232" s="30"/>
      <c r="P23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2" s="30"/>
      <c r="R232" s="30" t="str" cm="1">
        <f t="array" ref="R232">Main_Log_Ref(Main_Log[[#This Row],[Carrier]])</f>
        <v/>
      </c>
    </row>
    <row r="233" spans="1:18" ht="29.85" customHeight="1" x14ac:dyDescent="0.45">
      <c r="A233" s="30">
        <v>33</v>
      </c>
      <c r="B233" s="30"/>
      <c r="C233" s="30"/>
      <c r="D233" s="30"/>
      <c r="E233" s="30"/>
      <c r="F233" s="30"/>
      <c r="G233" s="30"/>
      <c r="H233" s="30"/>
      <c r="I233" s="30"/>
      <c r="J233" s="30"/>
      <c r="K233" s="30"/>
      <c r="L233" s="30"/>
      <c r="M233" s="30"/>
      <c r="N233" s="30" t="str" cm="1">
        <f t="array" ref="N233">Main_Log_Status(Main_Log[[#This Row],[Carrier]],Main_Log[[#This Row],[Net Weight]])</f>
        <v/>
      </c>
      <c r="O233" s="30"/>
      <c r="P23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3" s="30"/>
      <c r="R233" s="30" t="str" cm="1">
        <f t="array" ref="R233">Main_Log_Ref(Main_Log[[#This Row],[Carrier]])</f>
        <v/>
      </c>
    </row>
    <row r="234" spans="1:18" ht="29.85" customHeight="1" x14ac:dyDescent="0.45">
      <c r="A234" s="30">
        <v>34</v>
      </c>
      <c r="B234" s="30"/>
      <c r="C234" s="30"/>
      <c r="D234" s="30"/>
      <c r="E234" s="30"/>
      <c r="F234" s="30"/>
      <c r="G234" s="30"/>
      <c r="H234" s="30"/>
      <c r="I234" s="30"/>
      <c r="J234" s="30"/>
      <c r="K234" s="30"/>
      <c r="L234" s="30"/>
      <c r="M234" s="30"/>
      <c r="N234" s="30" t="str" cm="1">
        <f t="array" ref="N234">Main_Log_Status(Main_Log[[#This Row],[Carrier]],Main_Log[[#This Row],[Net Weight]])</f>
        <v/>
      </c>
      <c r="O234" s="30"/>
      <c r="P23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4" s="30"/>
      <c r="R234" s="30" t="str" cm="1">
        <f t="array" ref="R234">Main_Log_Ref(Main_Log[[#This Row],[Carrier]])</f>
        <v/>
      </c>
    </row>
    <row r="235" spans="1:18" ht="29.85" customHeight="1" x14ac:dyDescent="0.45">
      <c r="A235" s="30">
        <v>35</v>
      </c>
      <c r="B235" s="30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 t="str" cm="1">
        <f t="array" ref="N235">Main_Log_Status(Main_Log[[#This Row],[Carrier]],Main_Log[[#This Row],[Net Weight]])</f>
        <v/>
      </c>
      <c r="O235" s="30"/>
      <c r="P23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5" s="30"/>
      <c r="R235" s="30" t="str" cm="1">
        <f t="array" ref="R235">Main_Log_Ref(Main_Log[[#This Row],[Carrier]])</f>
        <v/>
      </c>
    </row>
    <row r="236" spans="1:18" ht="29.85" customHeight="1" x14ac:dyDescent="0.45">
      <c r="A236" s="30">
        <v>36</v>
      </c>
      <c r="B236" s="30"/>
      <c r="C236" s="30"/>
      <c r="D236" s="30"/>
      <c r="E236" s="30"/>
      <c r="F236" s="30"/>
      <c r="G236" s="30"/>
      <c r="H236" s="30"/>
      <c r="I236" s="30"/>
      <c r="J236" s="30"/>
      <c r="K236" s="30"/>
      <c r="L236" s="30"/>
      <c r="M236" s="30"/>
      <c r="N236" s="30" t="str" cm="1">
        <f t="array" ref="N236">Main_Log_Status(Main_Log[[#This Row],[Carrier]],Main_Log[[#This Row],[Net Weight]])</f>
        <v/>
      </c>
      <c r="O236" s="30"/>
      <c r="P23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6" s="30"/>
      <c r="R236" s="30" t="str" cm="1">
        <f t="array" ref="R236">Main_Log_Ref(Main_Log[[#This Row],[Carrier]])</f>
        <v/>
      </c>
    </row>
    <row r="237" spans="1:18" ht="29.85" customHeight="1" x14ac:dyDescent="0.45">
      <c r="A237" s="30">
        <v>37</v>
      </c>
      <c r="B237" s="30"/>
      <c r="C237" s="30"/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 t="str" cm="1">
        <f t="array" ref="N237">Main_Log_Status(Main_Log[[#This Row],[Carrier]],Main_Log[[#This Row],[Net Weight]])</f>
        <v/>
      </c>
      <c r="O237" s="30"/>
      <c r="P23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7" s="30"/>
      <c r="R237" s="30" t="str" cm="1">
        <f t="array" ref="R237">Main_Log_Ref(Main_Log[[#This Row],[Carrier]])</f>
        <v/>
      </c>
    </row>
    <row r="238" spans="1:18" ht="29.85" customHeight="1" x14ac:dyDescent="0.45">
      <c r="A238" s="30">
        <v>38</v>
      </c>
      <c r="B238" s="30"/>
      <c r="C238" s="30"/>
      <c r="D238" s="30"/>
      <c r="E238" s="30"/>
      <c r="F238" s="30"/>
      <c r="G238" s="30"/>
      <c r="H238" s="30"/>
      <c r="I238" s="30"/>
      <c r="J238" s="30"/>
      <c r="K238" s="30"/>
      <c r="L238" s="30"/>
      <c r="M238" s="30"/>
      <c r="N238" s="30" t="str" cm="1">
        <f t="array" ref="N238">Main_Log_Status(Main_Log[[#This Row],[Carrier]],Main_Log[[#This Row],[Net Weight]])</f>
        <v/>
      </c>
      <c r="O238" s="30"/>
      <c r="P23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8" s="30"/>
      <c r="R238" s="30" t="str" cm="1">
        <f t="array" ref="R238">Main_Log_Ref(Main_Log[[#This Row],[Carrier]])</f>
        <v/>
      </c>
    </row>
    <row r="239" spans="1:18" ht="29.85" customHeight="1" x14ac:dyDescent="0.45">
      <c r="A239" s="30">
        <v>39</v>
      </c>
      <c r="B239" s="30"/>
      <c r="C239" s="30"/>
      <c r="D239" s="30"/>
      <c r="E239" s="30"/>
      <c r="F239" s="30"/>
      <c r="G239" s="30"/>
      <c r="H239" s="30"/>
      <c r="I239" s="30"/>
      <c r="J239" s="30"/>
      <c r="K239" s="30"/>
      <c r="L239" s="30"/>
      <c r="M239" s="30"/>
      <c r="N239" s="30" t="str" cm="1">
        <f t="array" ref="N239">Main_Log_Status(Main_Log[[#This Row],[Carrier]],Main_Log[[#This Row],[Net Weight]])</f>
        <v/>
      </c>
      <c r="O239" s="30"/>
      <c r="P23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9" s="30"/>
      <c r="R239" s="30" t="str" cm="1">
        <f t="array" ref="R239">Main_Log_Ref(Main_Log[[#This Row],[Carrier]])</f>
        <v/>
      </c>
    </row>
    <row r="240" spans="1:18" ht="29.85" customHeight="1" x14ac:dyDescent="0.45">
      <c r="A240" s="30">
        <v>40</v>
      </c>
      <c r="B240" s="30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 t="str" cm="1">
        <f t="array" ref="N240">Main_Log_Status(Main_Log[[#This Row],[Carrier]],Main_Log[[#This Row],[Net Weight]])</f>
        <v/>
      </c>
      <c r="O240" s="30"/>
      <c r="P24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40" s="30"/>
      <c r="R240" s="30" t="str" cm="1">
        <f t="array" ref="R240">Main_Log_Ref(Main_Log[[#This Row],[Carrier]])</f>
        <v/>
      </c>
    </row>
    <row r="241" spans="1:18" ht="29.85" customHeight="1" x14ac:dyDescent="0.45">
      <c r="A241" s="30">
        <v>41</v>
      </c>
      <c r="B241" s="30"/>
      <c r="C241" s="30"/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 t="str" cm="1">
        <f t="array" ref="N241">Main_Log_Status(Main_Log[[#This Row],[Carrier]],Main_Log[[#This Row],[Net Weight]])</f>
        <v/>
      </c>
      <c r="O241" s="30"/>
      <c r="P24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41" s="30"/>
      <c r="R241" s="30" t="str" cm="1">
        <f t="array" ref="R241">Main_Log_Ref(Main_Log[[#This Row],[Carrier]])</f>
        <v/>
      </c>
    </row>
    <row r="242" spans="1:18" ht="29.85" customHeight="1" x14ac:dyDescent="0.45">
      <c r="A242" s="30">
        <v>42</v>
      </c>
      <c r="B242" s="30"/>
      <c r="C242" s="30"/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 t="str" cm="1">
        <f t="array" ref="N242">Main_Log_Status(Main_Log[[#This Row],[Carrier]],Main_Log[[#This Row],[Net Weight]])</f>
        <v/>
      </c>
      <c r="O242" s="30"/>
      <c r="P24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42" s="30"/>
      <c r="R242" s="30" t="str" cm="1">
        <f t="array" ref="R242">Main_Log_Ref(Main_Log[[#This Row],[Carrier]])</f>
        <v/>
      </c>
    </row>
    <row r="243" spans="1:18" ht="29.85" customHeight="1" x14ac:dyDescent="0.45">
      <c r="A243" s="30">
        <v>43</v>
      </c>
      <c r="B243" s="30"/>
      <c r="C243" s="30"/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 t="str" cm="1">
        <f t="array" ref="N243">Main_Log_Status(Main_Log[[#This Row],[Carrier]],Main_Log[[#This Row],[Net Weight]])</f>
        <v/>
      </c>
      <c r="O243" s="30"/>
      <c r="P24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43" s="30"/>
      <c r="R243" s="30" t="str" cm="1">
        <f t="array" ref="R243">Main_Log_Ref(Main_Log[[#This Row],[Carrier]])</f>
        <v/>
      </c>
    </row>
    <row r="244" spans="1:18" ht="29.85" customHeight="1" x14ac:dyDescent="0.45">
      <c r="A244" s="30">
        <v>44</v>
      </c>
      <c r="B244" s="30"/>
      <c r="C244" s="30"/>
      <c r="D244" s="30"/>
      <c r="E244" s="30"/>
      <c r="F244" s="30"/>
      <c r="G244" s="30"/>
      <c r="H244" s="30"/>
      <c r="I244" s="30"/>
      <c r="J244" s="30"/>
      <c r="K244" s="30"/>
      <c r="L244" s="30"/>
      <c r="M244" s="30"/>
      <c r="N244" s="30" t="str" cm="1">
        <f t="array" ref="N244">Main_Log_Status(Main_Log[[#This Row],[Carrier]],Main_Log[[#This Row],[Net Weight]])</f>
        <v/>
      </c>
      <c r="O244" s="30"/>
      <c r="P24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44" s="30"/>
      <c r="R244" s="30" t="str" cm="1">
        <f t="array" ref="R244">Main_Log_Ref(Main_Log[[#This Row],[Carrier]])</f>
        <v/>
      </c>
    </row>
    <row r="245" spans="1:18" ht="29.85" customHeight="1" x14ac:dyDescent="0.45">
      <c r="A245" s="30">
        <v>45</v>
      </c>
      <c r="B245" s="30"/>
      <c r="C245" s="30"/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 t="str" cm="1">
        <f t="array" ref="N245">Main_Log_Status(Main_Log[[#This Row],[Carrier]],Main_Log[[#This Row],[Net Weight]])</f>
        <v/>
      </c>
      <c r="O245" s="30"/>
      <c r="P24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45" s="30"/>
      <c r="R245" s="30" t="str" cm="1">
        <f t="array" ref="R245">Main_Log_Ref(Main_Log[[#This Row],[Carrier]])</f>
        <v/>
      </c>
    </row>
    <row r="246" spans="1:18" ht="29.85" customHeight="1" x14ac:dyDescent="0.45">
      <c r="A246" s="30">
        <v>46</v>
      </c>
      <c r="B246" s="30"/>
      <c r="C246" s="30"/>
      <c r="D246" s="30"/>
      <c r="E246" s="30"/>
      <c r="F246" s="30"/>
      <c r="G246" s="30"/>
      <c r="H246" s="30"/>
      <c r="I246" s="30"/>
      <c r="J246" s="30"/>
      <c r="K246" s="30"/>
      <c r="L246" s="30"/>
      <c r="M246" s="30"/>
      <c r="N246" s="30" t="str" cm="1">
        <f t="array" ref="N246">Main_Log_Status(Main_Log[[#This Row],[Carrier]],Main_Log[[#This Row],[Net Weight]])</f>
        <v/>
      </c>
      <c r="O246" s="30"/>
      <c r="P24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46" s="30"/>
      <c r="R246" s="30" t="str" cm="1">
        <f t="array" ref="R246">Main_Log_Ref(Main_Log[[#This Row],[Carrier]])</f>
        <v/>
      </c>
    </row>
    <row r="247" spans="1:18" ht="29.85" customHeight="1" x14ac:dyDescent="0.45">
      <c r="A247" s="30">
        <v>47</v>
      </c>
      <c r="B247" s="30"/>
      <c r="C247" s="30"/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 t="str" cm="1">
        <f t="array" ref="N247">Main_Log_Status(Main_Log[[#This Row],[Carrier]],Main_Log[[#This Row],[Net Weight]])</f>
        <v/>
      </c>
      <c r="O247" s="30"/>
      <c r="P24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47" s="30"/>
      <c r="R247" s="30" t="str" cm="1">
        <f t="array" ref="R247">Main_Log_Ref(Main_Log[[#This Row],[Carrier]])</f>
        <v/>
      </c>
    </row>
    <row r="248" spans="1:18" ht="29.85" customHeight="1" x14ac:dyDescent="0.45">
      <c r="A248" s="30">
        <v>48</v>
      </c>
      <c r="B248" s="30"/>
      <c r="C248" s="30"/>
      <c r="D248" s="30"/>
      <c r="E248" s="30"/>
      <c r="F248" s="30"/>
      <c r="G248" s="30"/>
      <c r="H248" s="30"/>
      <c r="I248" s="30"/>
      <c r="J248" s="30"/>
      <c r="K248" s="30"/>
      <c r="L248" s="30"/>
      <c r="M248" s="30"/>
      <c r="N248" s="30" t="str" cm="1">
        <f t="array" ref="N248">Main_Log_Status(Main_Log[[#This Row],[Carrier]],Main_Log[[#This Row],[Net Weight]])</f>
        <v/>
      </c>
      <c r="O248" s="30"/>
      <c r="P24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48" s="30"/>
      <c r="R248" s="30" t="str" cm="1">
        <f t="array" ref="R248">Main_Log_Ref(Main_Log[[#This Row],[Carrier]])</f>
        <v/>
      </c>
    </row>
    <row r="249" spans="1:18" ht="29.85" customHeight="1" x14ac:dyDescent="0.45">
      <c r="A249" s="30">
        <v>49</v>
      </c>
      <c r="B249" s="30"/>
      <c r="C249" s="30"/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 t="str" cm="1">
        <f t="array" ref="N249">Main_Log_Status(Main_Log[[#This Row],[Carrier]],Main_Log[[#This Row],[Net Weight]])</f>
        <v/>
      </c>
      <c r="O249" s="30"/>
      <c r="P24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49" s="30"/>
      <c r="R249" s="30" t="str" cm="1">
        <f t="array" ref="R249">Main_Log_Ref(Main_Log[[#This Row],[Carrier]])</f>
        <v/>
      </c>
    </row>
    <row r="250" spans="1:18" ht="29.85" customHeight="1" x14ac:dyDescent="0.45">
      <c r="A250" s="30">
        <v>50</v>
      </c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 t="str" cm="1">
        <f t="array" ref="N250">Main_Log_Status(Main_Log[[#This Row],[Carrier]],Main_Log[[#This Row],[Net Weight]])</f>
        <v/>
      </c>
      <c r="O250" s="30"/>
      <c r="P25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50" s="30"/>
      <c r="R250" s="30" t="str" cm="1">
        <f t="array" ref="R250">Main_Log_Ref(Main_Log[[#This Row],[Carrier]])</f>
        <v/>
      </c>
    </row>
    <row r="251" spans="1:18" ht="29.85" customHeight="1" x14ac:dyDescent="0.45">
      <c r="A251" s="30">
        <v>51</v>
      </c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 t="str" cm="1">
        <f t="array" ref="N251">Main_Log_Status(Main_Log[[#This Row],[Carrier]],Main_Log[[#This Row],[Net Weight]])</f>
        <v/>
      </c>
      <c r="O251" s="30"/>
      <c r="P25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51" s="30"/>
      <c r="R251" s="30" t="str" cm="1">
        <f t="array" ref="R251">Main_Log_Ref(Main_Log[[#This Row],[Carrier]])</f>
        <v/>
      </c>
    </row>
    <row r="252" spans="1:18" ht="29.85" customHeight="1" x14ac:dyDescent="0.45">
      <c r="A252" s="30">
        <v>52</v>
      </c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 t="str" cm="1">
        <f t="array" ref="N252">Main_Log_Status(Main_Log[[#This Row],[Carrier]],Main_Log[[#This Row],[Net Weight]])</f>
        <v/>
      </c>
      <c r="O252" s="30"/>
      <c r="P25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52" s="30"/>
      <c r="R252" s="30" t="str" cm="1">
        <f t="array" ref="R252">Main_Log_Ref(Main_Log[[#This Row],[Carrier]])</f>
        <v/>
      </c>
    </row>
    <row r="253" spans="1:18" ht="29.85" customHeight="1" x14ac:dyDescent="0.45">
      <c r="A253" s="30">
        <v>53</v>
      </c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 t="str" cm="1">
        <f t="array" ref="N253">Main_Log_Status(Main_Log[[#This Row],[Carrier]],Main_Log[[#This Row],[Net Weight]])</f>
        <v/>
      </c>
      <c r="O253" s="30"/>
      <c r="P25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53" s="30"/>
      <c r="R253" s="30" t="str" cm="1">
        <f t="array" ref="R253">Main_Log_Ref(Main_Log[[#This Row],[Carrier]])</f>
        <v/>
      </c>
    </row>
    <row r="254" spans="1:18" ht="29.85" customHeight="1" x14ac:dyDescent="0.45">
      <c r="A254" s="30">
        <v>54</v>
      </c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 t="str" cm="1">
        <f t="array" ref="N254">Main_Log_Status(Main_Log[[#This Row],[Carrier]],Main_Log[[#This Row],[Net Weight]])</f>
        <v/>
      </c>
      <c r="O254" s="30"/>
      <c r="P25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54" s="30"/>
      <c r="R254" s="30" t="str" cm="1">
        <f t="array" ref="R254">Main_Log_Ref(Main_Log[[#This Row],[Carrier]])</f>
        <v/>
      </c>
    </row>
    <row r="255" spans="1:18" ht="29.85" customHeight="1" x14ac:dyDescent="0.45">
      <c r="A255" s="30">
        <v>55</v>
      </c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 t="str" cm="1">
        <f t="array" ref="N255">Main_Log_Status(Main_Log[[#This Row],[Carrier]],Main_Log[[#This Row],[Net Weight]])</f>
        <v/>
      </c>
      <c r="O255" s="30"/>
      <c r="P25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55" s="30"/>
      <c r="R255" s="30" t="str" cm="1">
        <f t="array" ref="R255">Main_Log_Ref(Main_Log[[#This Row],[Carrier]])</f>
        <v/>
      </c>
    </row>
    <row r="256" spans="1:18" ht="29.85" customHeight="1" x14ac:dyDescent="0.45">
      <c r="A256" s="30">
        <v>56</v>
      </c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 t="str" cm="1">
        <f t="array" ref="N256">Main_Log_Status(Main_Log[[#This Row],[Carrier]],Main_Log[[#This Row],[Net Weight]])</f>
        <v/>
      </c>
      <c r="O256" s="30"/>
      <c r="P25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56" s="30"/>
      <c r="R256" s="30" t="str" cm="1">
        <f t="array" ref="R256">Main_Log_Ref(Main_Log[[#This Row],[Carrier]])</f>
        <v/>
      </c>
    </row>
    <row r="257" spans="1:18" ht="29.85" customHeight="1" x14ac:dyDescent="0.45">
      <c r="A257" s="30">
        <v>57</v>
      </c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 t="str" cm="1">
        <f t="array" ref="N257">Main_Log_Status(Main_Log[[#This Row],[Carrier]],Main_Log[[#This Row],[Net Weight]])</f>
        <v/>
      </c>
      <c r="O257" s="30"/>
      <c r="P25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57" s="30"/>
      <c r="R257" s="30" t="str" cm="1">
        <f t="array" ref="R257">Main_Log_Ref(Main_Log[[#This Row],[Carrier]])</f>
        <v/>
      </c>
    </row>
    <row r="258" spans="1:18" ht="29.85" customHeight="1" x14ac:dyDescent="0.45">
      <c r="A258" s="30">
        <v>58</v>
      </c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 t="str" cm="1">
        <f t="array" ref="N258">Main_Log_Status(Main_Log[[#This Row],[Carrier]],Main_Log[[#This Row],[Net Weight]])</f>
        <v/>
      </c>
      <c r="O258" s="30"/>
      <c r="P25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58" s="30"/>
      <c r="R258" s="30" t="str" cm="1">
        <f t="array" ref="R258">Main_Log_Ref(Main_Log[[#This Row],[Carrier]])</f>
        <v/>
      </c>
    </row>
    <row r="259" spans="1:18" ht="29.85" customHeight="1" x14ac:dyDescent="0.45">
      <c r="A259" s="30">
        <v>59</v>
      </c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 t="str" cm="1">
        <f t="array" ref="N259">Main_Log_Status(Main_Log[[#This Row],[Carrier]],Main_Log[[#This Row],[Net Weight]])</f>
        <v/>
      </c>
      <c r="O259" s="30"/>
      <c r="P25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59" s="30"/>
      <c r="R259" s="30" t="str" cm="1">
        <f t="array" ref="R259">Main_Log_Ref(Main_Log[[#This Row],[Carrier]])</f>
        <v/>
      </c>
    </row>
    <row r="260" spans="1:18" ht="29.85" customHeight="1" x14ac:dyDescent="0.45">
      <c r="A260" s="30">
        <v>60</v>
      </c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 t="str" cm="1">
        <f t="array" ref="N260">Main_Log_Status(Main_Log[[#This Row],[Carrier]],Main_Log[[#This Row],[Net Weight]])</f>
        <v/>
      </c>
      <c r="O260" s="30"/>
      <c r="P26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60" s="30"/>
      <c r="R260" s="30" t="str" cm="1">
        <f t="array" ref="R260">Main_Log_Ref(Main_Log[[#This Row],[Carrier]])</f>
        <v/>
      </c>
    </row>
    <row r="261" spans="1:18" ht="29.85" customHeight="1" x14ac:dyDescent="0.45">
      <c r="A261" s="30">
        <v>61</v>
      </c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 t="str" cm="1">
        <f t="array" ref="N261">Main_Log_Status(Main_Log[[#This Row],[Carrier]],Main_Log[[#This Row],[Net Weight]])</f>
        <v/>
      </c>
      <c r="O261" s="30"/>
      <c r="P26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61" s="30"/>
      <c r="R261" s="30" t="str" cm="1">
        <f t="array" ref="R261">Main_Log_Ref(Main_Log[[#This Row],[Carrier]])</f>
        <v/>
      </c>
    </row>
    <row r="262" spans="1:18" ht="29.85" customHeight="1" x14ac:dyDescent="0.45">
      <c r="A262" s="30">
        <v>62</v>
      </c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 t="str" cm="1">
        <f t="array" ref="N262">Main_Log_Status(Main_Log[[#This Row],[Carrier]],Main_Log[[#This Row],[Net Weight]])</f>
        <v/>
      </c>
      <c r="O262" s="30"/>
      <c r="P26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62" s="30"/>
      <c r="R262" s="30" t="str" cm="1">
        <f t="array" ref="R262">Main_Log_Ref(Main_Log[[#This Row],[Carrier]])</f>
        <v/>
      </c>
    </row>
    <row r="263" spans="1:18" ht="29.85" customHeight="1" x14ac:dyDescent="0.45">
      <c r="A263" s="30">
        <v>63</v>
      </c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 t="str" cm="1">
        <f t="array" ref="N263">Main_Log_Status(Main_Log[[#This Row],[Carrier]],Main_Log[[#This Row],[Net Weight]])</f>
        <v/>
      </c>
      <c r="O263" s="30"/>
      <c r="P26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63" s="30"/>
      <c r="R263" s="30" t="str" cm="1">
        <f t="array" ref="R263">Main_Log_Ref(Main_Log[[#This Row],[Carrier]])</f>
        <v/>
      </c>
    </row>
    <row r="264" spans="1:18" ht="29.85" customHeight="1" x14ac:dyDescent="0.45">
      <c r="A264" s="30">
        <v>64</v>
      </c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 t="str" cm="1">
        <f t="array" ref="N264">Main_Log_Status(Main_Log[[#This Row],[Carrier]],Main_Log[[#This Row],[Net Weight]])</f>
        <v/>
      </c>
      <c r="O264" s="30"/>
      <c r="P26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64" s="30"/>
      <c r="R264" s="30" t="str" cm="1">
        <f t="array" ref="R264">Main_Log_Ref(Main_Log[[#This Row],[Carrier]])</f>
        <v/>
      </c>
    </row>
    <row r="265" spans="1:18" ht="29.85" customHeight="1" x14ac:dyDescent="0.45">
      <c r="A265" s="30">
        <v>65</v>
      </c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 t="str" cm="1">
        <f t="array" ref="N265">Main_Log_Status(Main_Log[[#This Row],[Carrier]],Main_Log[[#This Row],[Net Weight]])</f>
        <v/>
      </c>
      <c r="O265" s="30"/>
      <c r="P26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65" s="30"/>
      <c r="R265" s="30" t="str" cm="1">
        <f t="array" ref="R265">Main_Log_Ref(Main_Log[[#This Row],[Carrier]])</f>
        <v/>
      </c>
    </row>
    <row r="266" spans="1:18" ht="29.85" customHeight="1" x14ac:dyDescent="0.45">
      <c r="A266" s="30">
        <v>66</v>
      </c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 t="str" cm="1">
        <f t="array" ref="N266">Main_Log_Status(Main_Log[[#This Row],[Carrier]],Main_Log[[#This Row],[Net Weight]])</f>
        <v/>
      </c>
      <c r="O266" s="30"/>
      <c r="P26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66" s="30"/>
      <c r="R266" s="30" t="str" cm="1">
        <f t="array" ref="R266">Main_Log_Ref(Main_Log[[#This Row],[Carrier]])</f>
        <v/>
      </c>
    </row>
    <row r="267" spans="1:18" ht="29.85" customHeight="1" x14ac:dyDescent="0.45">
      <c r="A267" s="30">
        <v>67</v>
      </c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 t="str" cm="1">
        <f t="array" ref="N267">Main_Log_Status(Main_Log[[#This Row],[Carrier]],Main_Log[[#This Row],[Net Weight]])</f>
        <v/>
      </c>
      <c r="O267" s="30"/>
      <c r="P26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67" s="30"/>
      <c r="R267" s="30" t="str" cm="1">
        <f t="array" ref="R267">Main_Log_Ref(Main_Log[[#This Row],[Carrier]])</f>
        <v/>
      </c>
    </row>
    <row r="268" spans="1:18" ht="29.85" customHeight="1" x14ac:dyDescent="0.45">
      <c r="A268" s="30">
        <v>68</v>
      </c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 t="str" cm="1">
        <f t="array" ref="N268">Main_Log_Status(Main_Log[[#This Row],[Carrier]],Main_Log[[#This Row],[Net Weight]])</f>
        <v/>
      </c>
      <c r="O268" s="30"/>
      <c r="P26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68" s="30"/>
      <c r="R268" s="30" t="str" cm="1">
        <f t="array" ref="R268">Main_Log_Ref(Main_Log[[#This Row],[Carrier]])</f>
        <v/>
      </c>
    </row>
    <row r="269" spans="1:18" ht="29.85" customHeight="1" x14ac:dyDescent="0.45">
      <c r="A269" s="30">
        <v>69</v>
      </c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 t="str" cm="1">
        <f t="array" ref="N269">Main_Log_Status(Main_Log[[#This Row],[Carrier]],Main_Log[[#This Row],[Net Weight]])</f>
        <v/>
      </c>
      <c r="O269" s="30"/>
      <c r="P26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69" s="30"/>
      <c r="R269" s="30" t="str" cm="1">
        <f t="array" ref="R269">Main_Log_Ref(Main_Log[[#This Row],[Carrier]])</f>
        <v/>
      </c>
    </row>
    <row r="270" spans="1:18" ht="29.85" customHeight="1" x14ac:dyDescent="0.45">
      <c r="A270" s="30">
        <v>70</v>
      </c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 t="str" cm="1">
        <f t="array" ref="N270">Main_Log_Status(Main_Log[[#This Row],[Carrier]],Main_Log[[#This Row],[Net Weight]])</f>
        <v/>
      </c>
      <c r="O270" s="30"/>
      <c r="P27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70" s="30"/>
      <c r="R270" s="30" t="str" cm="1">
        <f t="array" ref="R270">Main_Log_Ref(Main_Log[[#This Row],[Carrier]])</f>
        <v/>
      </c>
    </row>
    <row r="271" spans="1:18" ht="29.85" customHeight="1" x14ac:dyDescent="0.45">
      <c r="A271" s="30">
        <v>71</v>
      </c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 t="str" cm="1">
        <f t="array" ref="N271">Main_Log_Status(Main_Log[[#This Row],[Carrier]],Main_Log[[#This Row],[Net Weight]])</f>
        <v/>
      </c>
      <c r="O271" s="30"/>
      <c r="P27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71" s="30"/>
      <c r="R271" s="30" t="str" cm="1">
        <f t="array" ref="R271">Main_Log_Ref(Main_Log[[#This Row],[Carrier]])</f>
        <v/>
      </c>
    </row>
    <row r="272" spans="1:18" ht="29.85" customHeight="1" x14ac:dyDescent="0.45">
      <c r="A272" s="30">
        <v>72</v>
      </c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 t="str" cm="1">
        <f t="array" ref="N272">Main_Log_Status(Main_Log[[#This Row],[Carrier]],Main_Log[[#This Row],[Net Weight]])</f>
        <v/>
      </c>
      <c r="O272" s="30"/>
      <c r="P27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72" s="30"/>
      <c r="R272" s="30" t="str" cm="1">
        <f t="array" ref="R272">Main_Log_Ref(Main_Log[[#This Row],[Carrier]])</f>
        <v/>
      </c>
    </row>
    <row r="273" spans="1:18" ht="29.85" customHeight="1" x14ac:dyDescent="0.45">
      <c r="A273" s="30">
        <v>73</v>
      </c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 t="str" cm="1">
        <f t="array" ref="N273">Main_Log_Status(Main_Log[[#This Row],[Carrier]],Main_Log[[#This Row],[Net Weight]])</f>
        <v/>
      </c>
      <c r="O273" s="30"/>
      <c r="P27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73" s="30"/>
      <c r="R273" s="30" t="str" cm="1">
        <f t="array" ref="R273">Main_Log_Ref(Main_Log[[#This Row],[Carrier]])</f>
        <v/>
      </c>
    </row>
    <row r="274" spans="1:18" ht="29.85" customHeight="1" x14ac:dyDescent="0.45">
      <c r="A274" s="30">
        <v>74</v>
      </c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 t="str" cm="1">
        <f t="array" ref="N274">Main_Log_Status(Main_Log[[#This Row],[Carrier]],Main_Log[[#This Row],[Net Weight]])</f>
        <v/>
      </c>
      <c r="O274" s="30"/>
      <c r="P27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74" s="30"/>
      <c r="R274" s="30" t="str" cm="1">
        <f t="array" ref="R274">Main_Log_Ref(Main_Log[[#This Row],[Carrier]])</f>
        <v/>
      </c>
    </row>
    <row r="275" spans="1:18" ht="29.85" customHeight="1" x14ac:dyDescent="0.45">
      <c r="A275" s="30">
        <v>75</v>
      </c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 t="str" cm="1">
        <f t="array" ref="N275">Main_Log_Status(Main_Log[[#This Row],[Carrier]],Main_Log[[#This Row],[Net Weight]])</f>
        <v/>
      </c>
      <c r="O275" s="30"/>
      <c r="P27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75" s="30"/>
      <c r="R275" s="30" t="str" cm="1">
        <f t="array" ref="R275">Main_Log_Ref(Main_Log[[#This Row],[Carrier]])</f>
        <v/>
      </c>
    </row>
    <row r="276" spans="1:18" ht="29.85" customHeight="1" x14ac:dyDescent="0.45">
      <c r="A276" s="30">
        <v>76</v>
      </c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 t="str" cm="1">
        <f t="array" ref="N276">Main_Log_Status(Main_Log[[#This Row],[Carrier]],Main_Log[[#This Row],[Net Weight]])</f>
        <v/>
      </c>
      <c r="O276" s="30"/>
      <c r="P27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76" s="30"/>
      <c r="R276" s="30" t="str" cm="1">
        <f t="array" ref="R276">Main_Log_Ref(Main_Log[[#This Row],[Carrier]])</f>
        <v/>
      </c>
    </row>
    <row r="277" spans="1:18" ht="29.85" customHeight="1" x14ac:dyDescent="0.45">
      <c r="A277" s="30">
        <v>77</v>
      </c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 t="str" cm="1">
        <f t="array" ref="N277">Main_Log_Status(Main_Log[[#This Row],[Carrier]],Main_Log[[#This Row],[Net Weight]])</f>
        <v/>
      </c>
      <c r="O277" s="30"/>
      <c r="P27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77" s="30"/>
      <c r="R277" s="30" t="str" cm="1">
        <f t="array" ref="R277">Main_Log_Ref(Main_Log[[#This Row],[Carrier]])</f>
        <v/>
      </c>
    </row>
    <row r="278" spans="1:18" ht="29.85" customHeight="1" x14ac:dyDescent="0.45">
      <c r="A278" s="30">
        <v>78</v>
      </c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 t="str" cm="1">
        <f t="array" ref="N278">Main_Log_Status(Main_Log[[#This Row],[Carrier]],Main_Log[[#This Row],[Net Weight]])</f>
        <v/>
      </c>
      <c r="O278" s="30"/>
      <c r="P27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78" s="30"/>
      <c r="R278" s="30" t="str" cm="1">
        <f t="array" ref="R278">Main_Log_Ref(Main_Log[[#This Row],[Carrier]])</f>
        <v/>
      </c>
    </row>
    <row r="279" spans="1:18" ht="29.85" customHeight="1" x14ac:dyDescent="0.45">
      <c r="A279" s="30">
        <v>79</v>
      </c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 t="str" cm="1">
        <f t="array" ref="N279">Main_Log_Status(Main_Log[[#This Row],[Carrier]],Main_Log[[#This Row],[Net Weight]])</f>
        <v/>
      </c>
      <c r="O279" s="30"/>
      <c r="P27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79" s="30"/>
      <c r="R279" s="30" t="str" cm="1">
        <f t="array" ref="R279">Main_Log_Ref(Main_Log[[#This Row],[Carrier]])</f>
        <v/>
      </c>
    </row>
    <row r="280" spans="1:18" ht="29.85" customHeight="1" x14ac:dyDescent="0.45">
      <c r="A280" s="30">
        <v>80</v>
      </c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 t="str" cm="1">
        <f t="array" ref="N280">Main_Log_Status(Main_Log[[#This Row],[Carrier]],Main_Log[[#This Row],[Net Weight]])</f>
        <v/>
      </c>
      <c r="O280" s="30"/>
      <c r="P28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80" s="30"/>
      <c r="R280" s="30" t="str" cm="1">
        <f t="array" ref="R280">Main_Log_Ref(Main_Log[[#This Row],[Carrier]])</f>
        <v/>
      </c>
    </row>
    <row r="281" spans="1:18" ht="29.85" customHeight="1" x14ac:dyDescent="0.45">
      <c r="A281" s="30">
        <v>81</v>
      </c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 t="str" cm="1">
        <f t="array" ref="N281">Main_Log_Status(Main_Log[[#This Row],[Carrier]],Main_Log[[#This Row],[Net Weight]])</f>
        <v/>
      </c>
      <c r="O281" s="30"/>
      <c r="P28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81" s="30"/>
      <c r="R281" s="30" t="str" cm="1">
        <f t="array" ref="R281">Main_Log_Ref(Main_Log[[#This Row],[Carrier]])</f>
        <v/>
      </c>
    </row>
    <row r="282" spans="1:18" ht="29.85" customHeight="1" x14ac:dyDescent="0.45">
      <c r="A282" s="30">
        <v>82</v>
      </c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 t="str" cm="1">
        <f t="array" ref="N282">Main_Log_Status(Main_Log[[#This Row],[Carrier]],Main_Log[[#This Row],[Net Weight]])</f>
        <v/>
      </c>
      <c r="O282" s="30"/>
      <c r="P28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82" s="30"/>
      <c r="R282" s="30" t="str" cm="1">
        <f t="array" ref="R282">Main_Log_Ref(Main_Log[[#This Row],[Carrier]])</f>
        <v/>
      </c>
    </row>
    <row r="283" spans="1:18" ht="29.85" customHeight="1" x14ac:dyDescent="0.45">
      <c r="A283" s="30">
        <v>83</v>
      </c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 t="str" cm="1">
        <f t="array" ref="N283">Main_Log_Status(Main_Log[[#This Row],[Carrier]],Main_Log[[#This Row],[Net Weight]])</f>
        <v/>
      </c>
      <c r="O283" s="30"/>
      <c r="P28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83" s="30"/>
      <c r="R283" s="30" t="str" cm="1">
        <f t="array" ref="R283">Main_Log_Ref(Main_Log[[#This Row],[Carrier]])</f>
        <v/>
      </c>
    </row>
    <row r="284" spans="1:18" ht="29.85" customHeight="1" x14ac:dyDescent="0.45">
      <c r="A284" s="30">
        <v>84</v>
      </c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 t="str" cm="1">
        <f t="array" ref="N284">Main_Log_Status(Main_Log[[#This Row],[Carrier]],Main_Log[[#This Row],[Net Weight]])</f>
        <v/>
      </c>
      <c r="O284" s="30"/>
      <c r="P28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84" s="30"/>
      <c r="R284" s="30" t="str" cm="1">
        <f t="array" ref="R284">Main_Log_Ref(Main_Log[[#This Row],[Carrier]])</f>
        <v/>
      </c>
    </row>
    <row r="285" spans="1:18" ht="29.85" customHeight="1" x14ac:dyDescent="0.45">
      <c r="A285" s="30">
        <v>85</v>
      </c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 t="str" cm="1">
        <f t="array" ref="N285">Main_Log_Status(Main_Log[[#This Row],[Carrier]],Main_Log[[#This Row],[Net Weight]])</f>
        <v/>
      </c>
      <c r="O285" s="30"/>
      <c r="P28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85" s="30"/>
      <c r="R285" s="30" t="str" cm="1">
        <f t="array" ref="R285">Main_Log_Ref(Main_Log[[#This Row],[Carrier]])</f>
        <v/>
      </c>
    </row>
    <row r="286" spans="1:18" ht="29.85" customHeight="1" x14ac:dyDescent="0.45">
      <c r="A286" s="30">
        <v>86</v>
      </c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 t="str" cm="1">
        <f t="array" ref="N286">Main_Log_Status(Main_Log[[#This Row],[Carrier]],Main_Log[[#This Row],[Net Weight]])</f>
        <v/>
      </c>
      <c r="O286" s="30"/>
      <c r="P28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86" s="30"/>
      <c r="R286" s="30" t="str" cm="1">
        <f t="array" ref="R286">Main_Log_Ref(Main_Log[[#This Row],[Carrier]])</f>
        <v/>
      </c>
    </row>
    <row r="287" spans="1:18" ht="29.85" customHeight="1" x14ac:dyDescent="0.45">
      <c r="A287" s="30">
        <v>87</v>
      </c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 t="str" cm="1">
        <f t="array" ref="N287">Main_Log_Status(Main_Log[[#This Row],[Carrier]],Main_Log[[#This Row],[Net Weight]])</f>
        <v/>
      </c>
      <c r="O287" s="30"/>
      <c r="P28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87" s="30"/>
      <c r="R287" s="30" t="str" cm="1">
        <f t="array" ref="R287">Main_Log_Ref(Main_Log[[#This Row],[Carrier]])</f>
        <v/>
      </c>
    </row>
    <row r="288" spans="1:18" ht="29.85" customHeight="1" x14ac:dyDescent="0.45">
      <c r="A288" s="30">
        <v>88</v>
      </c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 t="str" cm="1">
        <f t="array" ref="N288">Main_Log_Status(Main_Log[[#This Row],[Carrier]],Main_Log[[#This Row],[Net Weight]])</f>
        <v/>
      </c>
      <c r="O288" s="30"/>
      <c r="P28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88" s="30"/>
      <c r="R288" s="30" t="str" cm="1">
        <f t="array" ref="R288">Main_Log_Ref(Main_Log[[#This Row],[Carrier]])</f>
        <v/>
      </c>
    </row>
    <row r="289" spans="1:18" ht="29.85" customHeight="1" x14ac:dyDescent="0.45">
      <c r="A289" s="30">
        <v>89</v>
      </c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 t="str" cm="1">
        <f t="array" ref="N289">Main_Log_Status(Main_Log[[#This Row],[Carrier]],Main_Log[[#This Row],[Net Weight]])</f>
        <v/>
      </c>
      <c r="O289" s="30"/>
      <c r="P28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89" s="30"/>
      <c r="R289" s="30" t="str" cm="1">
        <f t="array" ref="R289">Main_Log_Ref(Main_Log[[#This Row],[Carrier]])</f>
        <v/>
      </c>
    </row>
    <row r="290" spans="1:18" ht="29.85" customHeight="1" x14ac:dyDescent="0.45">
      <c r="A290" s="30">
        <v>90</v>
      </c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 t="str" cm="1">
        <f t="array" ref="N290">Main_Log_Status(Main_Log[[#This Row],[Carrier]],Main_Log[[#This Row],[Net Weight]])</f>
        <v/>
      </c>
      <c r="O290" s="30"/>
      <c r="P29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90" s="30"/>
      <c r="R290" s="30" t="str" cm="1">
        <f t="array" ref="R290">Main_Log_Ref(Main_Log[[#This Row],[Carrier]])</f>
        <v/>
      </c>
    </row>
    <row r="291" spans="1:18" ht="29.85" customHeight="1" x14ac:dyDescent="0.45">
      <c r="A291" s="30">
        <v>91</v>
      </c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 t="str" cm="1">
        <f t="array" ref="N291">Main_Log_Status(Main_Log[[#This Row],[Carrier]],Main_Log[[#This Row],[Net Weight]])</f>
        <v/>
      </c>
      <c r="O291" s="30"/>
      <c r="P29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91" s="30"/>
      <c r="R291" s="30" t="str" cm="1">
        <f t="array" ref="R291">Main_Log_Ref(Main_Log[[#This Row],[Carrier]])</f>
        <v/>
      </c>
    </row>
    <row r="292" spans="1:18" ht="29.85" customHeight="1" x14ac:dyDescent="0.45">
      <c r="A292" s="30">
        <v>92</v>
      </c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 t="str" cm="1">
        <f t="array" ref="N292">Main_Log_Status(Main_Log[[#This Row],[Carrier]],Main_Log[[#This Row],[Net Weight]])</f>
        <v/>
      </c>
      <c r="O292" s="30"/>
      <c r="P29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92" s="30"/>
      <c r="R292" s="30" t="str" cm="1">
        <f t="array" ref="R292">Main_Log_Ref(Main_Log[[#This Row],[Carrier]])</f>
        <v/>
      </c>
    </row>
    <row r="293" spans="1:18" ht="29.85" customHeight="1" x14ac:dyDescent="0.45">
      <c r="A293" s="30">
        <v>93</v>
      </c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 t="str" cm="1">
        <f t="array" ref="N293">Main_Log_Status(Main_Log[[#This Row],[Carrier]],Main_Log[[#This Row],[Net Weight]])</f>
        <v/>
      </c>
      <c r="O293" s="30"/>
      <c r="P29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93" s="30"/>
      <c r="R293" s="30" t="str" cm="1">
        <f t="array" ref="R293">Main_Log_Ref(Main_Log[[#This Row],[Carrier]])</f>
        <v/>
      </c>
    </row>
    <row r="294" spans="1:18" ht="29.85" customHeight="1" x14ac:dyDescent="0.45">
      <c r="A294" s="30">
        <v>94</v>
      </c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 t="str" cm="1">
        <f t="array" ref="N294">Main_Log_Status(Main_Log[[#This Row],[Carrier]],Main_Log[[#This Row],[Net Weight]])</f>
        <v/>
      </c>
      <c r="O294" s="30"/>
      <c r="P29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94" s="30"/>
      <c r="R294" s="30" t="str" cm="1">
        <f t="array" ref="R294">Main_Log_Ref(Main_Log[[#This Row],[Carrier]])</f>
        <v/>
      </c>
    </row>
    <row r="295" spans="1:18" ht="29.85" customHeight="1" x14ac:dyDescent="0.45">
      <c r="A295" s="30">
        <v>95</v>
      </c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 t="str" cm="1">
        <f t="array" ref="N295">Main_Log_Status(Main_Log[[#This Row],[Carrier]],Main_Log[[#This Row],[Net Weight]])</f>
        <v/>
      </c>
      <c r="O295" s="30"/>
      <c r="P29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95" s="30"/>
      <c r="R295" s="30" t="str" cm="1">
        <f t="array" ref="R295">Main_Log_Ref(Main_Log[[#This Row],[Carrier]])</f>
        <v/>
      </c>
    </row>
    <row r="296" spans="1:18" ht="29.85" customHeight="1" x14ac:dyDescent="0.45">
      <c r="A296" s="30">
        <v>96</v>
      </c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 t="str" cm="1">
        <f t="array" ref="N296">Main_Log_Status(Main_Log[[#This Row],[Carrier]],Main_Log[[#This Row],[Net Weight]])</f>
        <v/>
      </c>
      <c r="O296" s="30"/>
      <c r="P29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96" s="30"/>
      <c r="R296" s="30" t="str" cm="1">
        <f t="array" ref="R296">Main_Log_Ref(Main_Log[[#This Row],[Carrier]])</f>
        <v/>
      </c>
    </row>
    <row r="297" spans="1:18" ht="29.85" customHeight="1" x14ac:dyDescent="0.45">
      <c r="A297" s="30">
        <v>97</v>
      </c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 t="str" cm="1">
        <f t="array" ref="N297">Main_Log_Status(Main_Log[[#This Row],[Carrier]],Main_Log[[#This Row],[Net Weight]])</f>
        <v/>
      </c>
      <c r="O297" s="30"/>
      <c r="P29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97" s="30"/>
      <c r="R297" s="30" t="str" cm="1">
        <f t="array" ref="R297">Main_Log_Ref(Main_Log[[#This Row],[Carrier]])</f>
        <v/>
      </c>
    </row>
    <row r="298" spans="1:18" ht="29.85" customHeight="1" x14ac:dyDescent="0.45">
      <c r="A298" s="30">
        <v>98</v>
      </c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 t="str" cm="1">
        <f t="array" ref="N298">Main_Log_Status(Main_Log[[#This Row],[Carrier]],Main_Log[[#This Row],[Net Weight]])</f>
        <v/>
      </c>
      <c r="O298" s="30"/>
      <c r="P29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98" s="30"/>
      <c r="R298" s="30" t="str" cm="1">
        <f t="array" ref="R298">Main_Log_Ref(Main_Log[[#This Row],[Carrier]])</f>
        <v/>
      </c>
    </row>
    <row r="299" spans="1:18" ht="29.85" customHeight="1" x14ac:dyDescent="0.45">
      <c r="A299" s="30">
        <v>99</v>
      </c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 t="str" cm="1">
        <f t="array" ref="N299">Main_Log_Status(Main_Log[[#This Row],[Carrier]],Main_Log[[#This Row],[Net Weight]])</f>
        <v/>
      </c>
      <c r="O299" s="30"/>
      <c r="P29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99" s="30"/>
      <c r="R299" s="30" t="str" cm="1">
        <f t="array" ref="R299">Main_Log_Ref(Main_Log[[#This Row],[Carrier]])</f>
        <v/>
      </c>
    </row>
    <row r="300" spans="1:18" ht="29.85" customHeight="1" x14ac:dyDescent="0.45">
      <c r="A300" s="30">
        <v>1</v>
      </c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 t="str" cm="1">
        <f t="array" ref="N300">Main_Log_Status(Main_Log[[#This Row],[Carrier]],Main_Log[[#This Row],[Net Weight]])</f>
        <v/>
      </c>
      <c r="O300" s="30"/>
      <c r="P30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00" s="30"/>
      <c r="R300" s="30" t="str" cm="1">
        <f t="array" ref="R300">Main_Log_Ref(Main_Log[[#This Row],[Carrier]])</f>
        <v/>
      </c>
    </row>
    <row r="301" spans="1:18" ht="29.85" customHeight="1" x14ac:dyDescent="0.45">
      <c r="A301" s="30">
        <v>2</v>
      </c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 t="str" cm="1">
        <f t="array" ref="N301">Main_Log_Status(Main_Log[[#This Row],[Carrier]],Main_Log[[#This Row],[Net Weight]])</f>
        <v/>
      </c>
      <c r="O301" s="30"/>
      <c r="P30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01" s="30"/>
      <c r="R301" s="30" t="str" cm="1">
        <f t="array" ref="R301">Main_Log_Ref(Main_Log[[#This Row],[Carrier]])</f>
        <v/>
      </c>
    </row>
    <row r="302" spans="1:18" ht="29.85" customHeight="1" x14ac:dyDescent="0.45">
      <c r="A302" s="30">
        <v>3</v>
      </c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 t="str" cm="1">
        <f t="array" ref="N302">Main_Log_Status(Main_Log[[#This Row],[Carrier]],Main_Log[[#This Row],[Net Weight]])</f>
        <v/>
      </c>
      <c r="O302" s="30"/>
      <c r="P30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02" s="30"/>
      <c r="R302" s="30" t="str" cm="1">
        <f t="array" ref="R302">Main_Log_Ref(Main_Log[[#This Row],[Carrier]])</f>
        <v/>
      </c>
    </row>
    <row r="303" spans="1:18" ht="29.85" customHeight="1" x14ac:dyDescent="0.45">
      <c r="A303" s="30">
        <v>4</v>
      </c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 t="str" cm="1">
        <f t="array" ref="N303">Main_Log_Status(Main_Log[[#This Row],[Carrier]],Main_Log[[#This Row],[Net Weight]])</f>
        <v/>
      </c>
      <c r="O303" s="30"/>
      <c r="P30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03" s="30"/>
      <c r="R303" s="30" t="str" cm="1">
        <f t="array" ref="R303">Main_Log_Ref(Main_Log[[#This Row],[Carrier]])</f>
        <v/>
      </c>
    </row>
    <row r="304" spans="1:18" ht="29.85" customHeight="1" x14ac:dyDescent="0.45">
      <c r="A304" s="30">
        <v>5</v>
      </c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 t="str" cm="1">
        <f t="array" ref="N304">Main_Log_Status(Main_Log[[#This Row],[Carrier]],Main_Log[[#This Row],[Net Weight]])</f>
        <v/>
      </c>
      <c r="O304" s="30"/>
      <c r="P30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04" s="30"/>
      <c r="R304" s="30" t="str" cm="1">
        <f t="array" ref="R304">Main_Log_Ref(Main_Log[[#This Row],[Carrier]])</f>
        <v/>
      </c>
    </row>
    <row r="305" spans="1:18" ht="29.85" customHeight="1" x14ac:dyDescent="0.45">
      <c r="A305" s="30">
        <v>6</v>
      </c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 t="str" cm="1">
        <f t="array" ref="N305">Main_Log_Status(Main_Log[[#This Row],[Carrier]],Main_Log[[#This Row],[Net Weight]])</f>
        <v/>
      </c>
      <c r="O305" s="30"/>
      <c r="P30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05" s="30"/>
      <c r="R305" s="30" t="str" cm="1">
        <f t="array" ref="R305">Main_Log_Ref(Main_Log[[#This Row],[Carrier]])</f>
        <v/>
      </c>
    </row>
    <row r="306" spans="1:18" ht="29.85" customHeight="1" x14ac:dyDescent="0.45">
      <c r="A306" s="30">
        <v>7</v>
      </c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 t="str" cm="1">
        <f t="array" ref="N306">Main_Log_Status(Main_Log[[#This Row],[Carrier]],Main_Log[[#This Row],[Net Weight]])</f>
        <v/>
      </c>
      <c r="O306" s="30"/>
      <c r="P30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06" s="30"/>
      <c r="R306" s="30" t="str" cm="1">
        <f t="array" ref="R306">Main_Log_Ref(Main_Log[[#This Row],[Carrier]])</f>
        <v/>
      </c>
    </row>
    <row r="307" spans="1:18" ht="29.85" customHeight="1" x14ac:dyDescent="0.45">
      <c r="A307" s="30">
        <v>8</v>
      </c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 t="str" cm="1">
        <f t="array" ref="N307">Main_Log_Status(Main_Log[[#This Row],[Carrier]],Main_Log[[#This Row],[Net Weight]])</f>
        <v/>
      </c>
      <c r="O307" s="30"/>
      <c r="P30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07" s="30"/>
      <c r="R307" s="30" t="str" cm="1">
        <f t="array" ref="R307">Main_Log_Ref(Main_Log[[#This Row],[Carrier]])</f>
        <v/>
      </c>
    </row>
    <row r="308" spans="1:18" ht="29.85" customHeight="1" x14ac:dyDescent="0.45">
      <c r="A308" s="30">
        <v>9</v>
      </c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 t="str" cm="1">
        <f t="array" ref="N308">Main_Log_Status(Main_Log[[#This Row],[Carrier]],Main_Log[[#This Row],[Net Weight]])</f>
        <v/>
      </c>
      <c r="O308" s="30"/>
      <c r="P30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08" s="30"/>
      <c r="R308" s="30" t="str" cm="1">
        <f t="array" ref="R308">Main_Log_Ref(Main_Log[[#This Row],[Carrier]])</f>
        <v/>
      </c>
    </row>
    <row r="309" spans="1:18" ht="29.85" customHeight="1" x14ac:dyDescent="0.45">
      <c r="A309" s="30">
        <v>10</v>
      </c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 t="str" cm="1">
        <f t="array" ref="N309">Main_Log_Status(Main_Log[[#This Row],[Carrier]],Main_Log[[#This Row],[Net Weight]])</f>
        <v/>
      </c>
      <c r="O309" s="30"/>
      <c r="P30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09" s="30"/>
      <c r="R309" s="30" t="str" cm="1">
        <f t="array" ref="R309">Main_Log_Ref(Main_Log[[#This Row],[Carrier]])</f>
        <v/>
      </c>
    </row>
    <row r="310" spans="1:18" ht="29.85" customHeight="1" x14ac:dyDescent="0.45">
      <c r="A310" s="30">
        <v>11</v>
      </c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 t="str" cm="1">
        <f t="array" ref="N310">Main_Log_Status(Main_Log[[#This Row],[Carrier]],Main_Log[[#This Row],[Net Weight]])</f>
        <v/>
      </c>
      <c r="O310" s="30"/>
      <c r="P31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10" s="30"/>
      <c r="R310" s="30" t="str" cm="1">
        <f t="array" ref="R310">Main_Log_Ref(Main_Log[[#This Row],[Carrier]])</f>
        <v/>
      </c>
    </row>
    <row r="311" spans="1:18" ht="29.85" customHeight="1" x14ac:dyDescent="0.45">
      <c r="A311" s="30">
        <v>12</v>
      </c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 t="str" cm="1">
        <f t="array" ref="N311">Main_Log_Status(Main_Log[[#This Row],[Carrier]],Main_Log[[#This Row],[Net Weight]])</f>
        <v/>
      </c>
      <c r="O311" s="30"/>
      <c r="P31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11" s="30"/>
      <c r="R311" s="30" t="str" cm="1">
        <f t="array" ref="R311">Main_Log_Ref(Main_Log[[#This Row],[Carrier]])</f>
        <v/>
      </c>
    </row>
    <row r="312" spans="1:18" ht="29.85" customHeight="1" x14ac:dyDescent="0.45">
      <c r="A312" s="30">
        <v>13</v>
      </c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 t="str" cm="1">
        <f t="array" ref="N312">Main_Log_Status(Main_Log[[#This Row],[Carrier]],Main_Log[[#This Row],[Net Weight]])</f>
        <v/>
      </c>
      <c r="O312" s="30"/>
      <c r="P31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12" s="30"/>
      <c r="R312" s="30" t="str" cm="1">
        <f t="array" ref="R312">Main_Log_Ref(Main_Log[[#This Row],[Carrier]])</f>
        <v/>
      </c>
    </row>
    <row r="313" spans="1:18" ht="29.85" customHeight="1" x14ac:dyDescent="0.45">
      <c r="A313" s="30">
        <v>14</v>
      </c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 t="str" cm="1">
        <f t="array" ref="N313">Main_Log_Status(Main_Log[[#This Row],[Carrier]],Main_Log[[#This Row],[Net Weight]])</f>
        <v/>
      </c>
      <c r="O313" s="30"/>
      <c r="P31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13" s="30"/>
      <c r="R313" s="30" t="str" cm="1">
        <f t="array" ref="R313">Main_Log_Ref(Main_Log[[#This Row],[Carrier]])</f>
        <v/>
      </c>
    </row>
    <row r="314" spans="1:18" ht="29.85" customHeight="1" x14ac:dyDescent="0.45">
      <c r="A314" s="30">
        <v>15</v>
      </c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 t="str" cm="1">
        <f t="array" ref="N314">Main_Log_Status(Main_Log[[#This Row],[Carrier]],Main_Log[[#This Row],[Net Weight]])</f>
        <v/>
      </c>
      <c r="O314" s="30"/>
      <c r="P31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14" s="30"/>
      <c r="R314" s="30" t="str" cm="1">
        <f t="array" ref="R314">Main_Log_Ref(Main_Log[[#This Row],[Carrier]])</f>
        <v/>
      </c>
    </row>
    <row r="315" spans="1:18" ht="29.85" customHeight="1" x14ac:dyDescent="0.45">
      <c r="A315" s="30">
        <v>16</v>
      </c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 t="str" cm="1">
        <f t="array" ref="N315">Main_Log_Status(Main_Log[[#This Row],[Carrier]],Main_Log[[#This Row],[Net Weight]])</f>
        <v/>
      </c>
      <c r="O315" s="30"/>
      <c r="P31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15" s="30"/>
      <c r="R315" s="30" t="str" cm="1">
        <f t="array" ref="R315">Main_Log_Ref(Main_Log[[#This Row],[Carrier]])</f>
        <v/>
      </c>
    </row>
    <row r="316" spans="1:18" ht="29.85" customHeight="1" x14ac:dyDescent="0.45">
      <c r="A316" s="30">
        <v>17</v>
      </c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 t="str" cm="1">
        <f t="array" ref="N316">Main_Log_Status(Main_Log[[#This Row],[Carrier]],Main_Log[[#This Row],[Net Weight]])</f>
        <v/>
      </c>
      <c r="O316" s="30"/>
      <c r="P31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16" s="30"/>
      <c r="R316" s="30" t="str" cm="1">
        <f t="array" ref="R316">Main_Log_Ref(Main_Log[[#This Row],[Carrier]])</f>
        <v/>
      </c>
    </row>
    <row r="317" spans="1:18" ht="29.85" customHeight="1" x14ac:dyDescent="0.45">
      <c r="A317" s="30">
        <v>18</v>
      </c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 t="str" cm="1">
        <f t="array" ref="N317">Main_Log_Status(Main_Log[[#This Row],[Carrier]],Main_Log[[#This Row],[Net Weight]])</f>
        <v/>
      </c>
      <c r="O317" s="30"/>
      <c r="P31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17" s="30"/>
      <c r="R317" s="30" t="str" cm="1">
        <f t="array" ref="R317">Main_Log_Ref(Main_Log[[#This Row],[Carrier]])</f>
        <v/>
      </c>
    </row>
    <row r="318" spans="1:18" ht="29.85" customHeight="1" x14ac:dyDescent="0.45">
      <c r="A318" s="30">
        <v>19</v>
      </c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 t="str" cm="1">
        <f t="array" ref="N318">Main_Log_Status(Main_Log[[#This Row],[Carrier]],Main_Log[[#This Row],[Net Weight]])</f>
        <v/>
      </c>
      <c r="O318" s="30"/>
      <c r="P31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18" s="30"/>
      <c r="R318" s="30" t="str" cm="1">
        <f t="array" ref="R318">Main_Log_Ref(Main_Log[[#This Row],[Carrier]])</f>
        <v/>
      </c>
    </row>
    <row r="319" spans="1:18" ht="29.85" customHeight="1" x14ac:dyDescent="0.45">
      <c r="A319" s="30">
        <v>20</v>
      </c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 t="str" cm="1">
        <f t="array" ref="N319">Main_Log_Status(Main_Log[[#This Row],[Carrier]],Main_Log[[#This Row],[Net Weight]])</f>
        <v/>
      </c>
      <c r="O319" s="30"/>
      <c r="P31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19" s="30"/>
      <c r="R319" s="30" t="str" cm="1">
        <f t="array" ref="R319">Main_Log_Ref(Main_Log[[#This Row],[Carrier]])</f>
        <v/>
      </c>
    </row>
    <row r="320" spans="1:18" ht="29.85" customHeight="1" x14ac:dyDescent="0.45">
      <c r="A320" s="30">
        <v>21</v>
      </c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 t="str" cm="1">
        <f t="array" ref="N320">Main_Log_Status(Main_Log[[#This Row],[Carrier]],Main_Log[[#This Row],[Net Weight]])</f>
        <v/>
      </c>
      <c r="O320" s="30"/>
      <c r="P32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20" s="30"/>
      <c r="R320" s="30" t="str" cm="1">
        <f t="array" ref="R320">Main_Log_Ref(Main_Log[[#This Row],[Carrier]])</f>
        <v/>
      </c>
    </row>
    <row r="321" spans="1:18" ht="29.85" customHeight="1" x14ac:dyDescent="0.45">
      <c r="A321" s="30">
        <v>22</v>
      </c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 t="str" cm="1">
        <f t="array" ref="N321">Main_Log_Status(Main_Log[[#This Row],[Carrier]],Main_Log[[#This Row],[Net Weight]])</f>
        <v/>
      </c>
      <c r="O321" s="30"/>
      <c r="P32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21" s="30"/>
      <c r="R321" s="30" t="str" cm="1">
        <f t="array" ref="R321">Main_Log_Ref(Main_Log[[#This Row],[Carrier]])</f>
        <v/>
      </c>
    </row>
    <row r="322" spans="1:18" ht="29.85" customHeight="1" x14ac:dyDescent="0.45">
      <c r="A322" s="30">
        <v>23</v>
      </c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 t="str" cm="1">
        <f t="array" ref="N322">Main_Log_Status(Main_Log[[#This Row],[Carrier]],Main_Log[[#This Row],[Net Weight]])</f>
        <v/>
      </c>
      <c r="O322" s="30"/>
      <c r="P32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22" s="30"/>
      <c r="R322" s="30" t="str" cm="1">
        <f t="array" ref="R322">Main_Log_Ref(Main_Log[[#This Row],[Carrier]])</f>
        <v/>
      </c>
    </row>
    <row r="323" spans="1:18" ht="29.85" customHeight="1" x14ac:dyDescent="0.45">
      <c r="A323" s="30">
        <v>24</v>
      </c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 t="str" cm="1">
        <f t="array" ref="N323">Main_Log_Status(Main_Log[[#This Row],[Carrier]],Main_Log[[#This Row],[Net Weight]])</f>
        <v/>
      </c>
      <c r="O323" s="30"/>
      <c r="P32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23" s="30"/>
      <c r="R323" s="30" t="str" cm="1">
        <f t="array" ref="R323">Main_Log_Ref(Main_Log[[#This Row],[Carrier]])</f>
        <v/>
      </c>
    </row>
    <row r="324" spans="1:18" ht="29.85" customHeight="1" x14ac:dyDescent="0.45">
      <c r="A324" s="30">
        <v>25</v>
      </c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 t="str" cm="1">
        <f t="array" ref="N324">Main_Log_Status(Main_Log[[#This Row],[Carrier]],Main_Log[[#This Row],[Net Weight]])</f>
        <v/>
      </c>
      <c r="O324" s="30"/>
      <c r="P32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24" s="30"/>
      <c r="R324" s="30" t="str" cm="1">
        <f t="array" ref="R324">Main_Log_Ref(Main_Log[[#This Row],[Carrier]])</f>
        <v/>
      </c>
    </row>
    <row r="325" spans="1:18" ht="29.85" customHeight="1" x14ac:dyDescent="0.45">
      <c r="A325" s="30">
        <v>26</v>
      </c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 t="str" cm="1">
        <f t="array" ref="N325">Main_Log_Status(Main_Log[[#This Row],[Carrier]],Main_Log[[#This Row],[Net Weight]])</f>
        <v/>
      </c>
      <c r="O325" s="30"/>
      <c r="P32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25" s="30"/>
      <c r="R325" s="30" t="str" cm="1">
        <f t="array" ref="R325">Main_Log_Ref(Main_Log[[#This Row],[Carrier]])</f>
        <v/>
      </c>
    </row>
    <row r="326" spans="1:18" ht="29.85" customHeight="1" x14ac:dyDescent="0.45">
      <c r="A326" s="30">
        <v>27</v>
      </c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 t="str" cm="1">
        <f t="array" ref="N326">Main_Log_Status(Main_Log[[#This Row],[Carrier]],Main_Log[[#This Row],[Net Weight]])</f>
        <v/>
      </c>
      <c r="O326" s="30"/>
      <c r="P32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26" s="30"/>
      <c r="R326" s="30" t="str" cm="1">
        <f t="array" ref="R326">Main_Log_Ref(Main_Log[[#This Row],[Carrier]])</f>
        <v/>
      </c>
    </row>
    <row r="327" spans="1:18" ht="29.85" customHeight="1" x14ac:dyDescent="0.45">
      <c r="A327" s="30">
        <v>28</v>
      </c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 t="str" cm="1">
        <f t="array" ref="N327">Main_Log_Status(Main_Log[[#This Row],[Carrier]],Main_Log[[#This Row],[Net Weight]])</f>
        <v/>
      </c>
      <c r="O327" s="30"/>
      <c r="P32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27" s="30"/>
      <c r="R327" s="30" t="str" cm="1">
        <f t="array" ref="R327">Main_Log_Ref(Main_Log[[#This Row],[Carrier]])</f>
        <v/>
      </c>
    </row>
    <row r="328" spans="1:18" ht="29.85" customHeight="1" x14ac:dyDescent="0.45">
      <c r="A328" s="30">
        <v>29</v>
      </c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 t="str" cm="1">
        <f t="array" ref="N328">Main_Log_Status(Main_Log[[#This Row],[Carrier]],Main_Log[[#This Row],[Net Weight]])</f>
        <v/>
      </c>
      <c r="O328" s="30"/>
      <c r="P32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28" s="30"/>
      <c r="R328" s="30" t="str" cm="1">
        <f t="array" ref="R328">Main_Log_Ref(Main_Log[[#This Row],[Carrier]])</f>
        <v/>
      </c>
    </row>
    <row r="329" spans="1:18" ht="29.85" customHeight="1" x14ac:dyDescent="0.45">
      <c r="A329" s="30">
        <v>30</v>
      </c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 t="str" cm="1">
        <f t="array" ref="N329">Main_Log_Status(Main_Log[[#This Row],[Carrier]],Main_Log[[#This Row],[Net Weight]])</f>
        <v/>
      </c>
      <c r="O329" s="30"/>
      <c r="P32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29" s="30"/>
      <c r="R329" s="30" t="str" cm="1">
        <f t="array" ref="R329">Main_Log_Ref(Main_Log[[#This Row],[Carrier]])</f>
        <v/>
      </c>
    </row>
    <row r="330" spans="1:18" ht="29.85" customHeight="1" x14ac:dyDescent="0.45">
      <c r="A330" s="30">
        <v>31</v>
      </c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 t="str" cm="1">
        <f t="array" ref="N330">Main_Log_Status(Main_Log[[#This Row],[Carrier]],Main_Log[[#This Row],[Net Weight]])</f>
        <v/>
      </c>
      <c r="O330" s="30"/>
      <c r="P33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30" s="30"/>
      <c r="R330" s="30" t="str" cm="1">
        <f t="array" ref="R330">Main_Log_Ref(Main_Log[[#This Row],[Carrier]])</f>
        <v/>
      </c>
    </row>
    <row r="331" spans="1:18" ht="29.85" customHeight="1" x14ac:dyDescent="0.45">
      <c r="A331" s="30">
        <v>32</v>
      </c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 t="str" cm="1">
        <f t="array" ref="N331">Main_Log_Status(Main_Log[[#This Row],[Carrier]],Main_Log[[#This Row],[Net Weight]])</f>
        <v/>
      </c>
      <c r="O331" s="30"/>
      <c r="P33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31" s="30"/>
      <c r="R331" s="30" t="str" cm="1">
        <f t="array" ref="R331">Main_Log_Ref(Main_Log[[#This Row],[Carrier]])</f>
        <v/>
      </c>
    </row>
    <row r="332" spans="1:18" ht="29.85" customHeight="1" x14ac:dyDescent="0.45">
      <c r="A332" s="30">
        <v>33</v>
      </c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 t="str" cm="1">
        <f t="array" ref="N332">Main_Log_Status(Main_Log[[#This Row],[Carrier]],Main_Log[[#This Row],[Net Weight]])</f>
        <v/>
      </c>
      <c r="O332" s="30"/>
      <c r="P33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32" s="30"/>
      <c r="R332" s="30" t="str" cm="1">
        <f t="array" ref="R332">Main_Log_Ref(Main_Log[[#This Row],[Carrier]])</f>
        <v/>
      </c>
    </row>
    <row r="333" spans="1:18" ht="29.85" customHeight="1" x14ac:dyDescent="0.45">
      <c r="A333" s="30">
        <v>34</v>
      </c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 t="str" cm="1">
        <f t="array" ref="N333">Main_Log_Status(Main_Log[[#This Row],[Carrier]],Main_Log[[#This Row],[Net Weight]])</f>
        <v/>
      </c>
      <c r="O333" s="30"/>
      <c r="P33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33" s="30"/>
      <c r="R333" s="30" t="str" cm="1">
        <f t="array" ref="R333">Main_Log_Ref(Main_Log[[#This Row],[Carrier]])</f>
        <v/>
      </c>
    </row>
    <row r="334" spans="1:18" ht="29.85" customHeight="1" x14ac:dyDescent="0.45">
      <c r="A334" s="30">
        <v>35</v>
      </c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 t="str" cm="1">
        <f t="array" ref="N334">Main_Log_Status(Main_Log[[#This Row],[Carrier]],Main_Log[[#This Row],[Net Weight]])</f>
        <v/>
      </c>
      <c r="O334" s="30"/>
      <c r="P33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34" s="30"/>
      <c r="R334" s="30" t="str" cm="1">
        <f t="array" ref="R334">Main_Log_Ref(Main_Log[[#This Row],[Carrier]])</f>
        <v/>
      </c>
    </row>
    <row r="335" spans="1:18" ht="29.85" customHeight="1" x14ac:dyDescent="0.45">
      <c r="A335" s="30">
        <v>36</v>
      </c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 t="str" cm="1">
        <f t="array" ref="N335">Main_Log_Status(Main_Log[[#This Row],[Carrier]],Main_Log[[#This Row],[Net Weight]])</f>
        <v/>
      </c>
      <c r="O335" s="30"/>
      <c r="P33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35" s="30"/>
      <c r="R335" s="30" t="str" cm="1">
        <f t="array" ref="R335">Main_Log_Ref(Main_Log[[#This Row],[Carrier]])</f>
        <v/>
      </c>
    </row>
    <row r="336" spans="1:18" ht="29.85" customHeight="1" x14ac:dyDescent="0.45">
      <c r="A336" s="30">
        <v>37</v>
      </c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 t="str" cm="1">
        <f t="array" ref="N336">Main_Log_Status(Main_Log[[#This Row],[Carrier]],Main_Log[[#This Row],[Net Weight]])</f>
        <v/>
      </c>
      <c r="O336" s="30"/>
      <c r="P33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36" s="30"/>
      <c r="R336" s="30" t="str" cm="1">
        <f t="array" ref="R336">Main_Log_Ref(Main_Log[[#This Row],[Carrier]])</f>
        <v/>
      </c>
    </row>
    <row r="337" spans="1:18" ht="29.85" customHeight="1" x14ac:dyDescent="0.45">
      <c r="A337" s="30">
        <v>38</v>
      </c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 t="str" cm="1">
        <f t="array" ref="N337">Main_Log_Status(Main_Log[[#This Row],[Carrier]],Main_Log[[#This Row],[Net Weight]])</f>
        <v/>
      </c>
      <c r="O337" s="30"/>
      <c r="P33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37" s="30"/>
      <c r="R337" s="30" t="str" cm="1">
        <f t="array" ref="R337">Main_Log_Ref(Main_Log[[#This Row],[Carrier]])</f>
        <v/>
      </c>
    </row>
    <row r="338" spans="1:18" ht="29.85" customHeight="1" x14ac:dyDescent="0.45">
      <c r="A338" s="30">
        <v>39</v>
      </c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 t="str" cm="1">
        <f t="array" ref="N338">Main_Log_Status(Main_Log[[#This Row],[Carrier]],Main_Log[[#This Row],[Net Weight]])</f>
        <v/>
      </c>
      <c r="O338" s="30"/>
      <c r="P33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38" s="30"/>
      <c r="R338" s="30" t="str" cm="1">
        <f t="array" ref="R338">Main_Log_Ref(Main_Log[[#This Row],[Carrier]])</f>
        <v/>
      </c>
    </row>
    <row r="339" spans="1:18" ht="29.85" customHeight="1" x14ac:dyDescent="0.45">
      <c r="A339" s="30">
        <v>40</v>
      </c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 t="str" cm="1">
        <f t="array" ref="N339">Main_Log_Status(Main_Log[[#This Row],[Carrier]],Main_Log[[#This Row],[Net Weight]])</f>
        <v/>
      </c>
      <c r="O339" s="30"/>
      <c r="P33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39" s="30"/>
      <c r="R339" s="30" t="str" cm="1">
        <f t="array" ref="R339">Main_Log_Ref(Main_Log[[#This Row],[Carrier]])</f>
        <v/>
      </c>
    </row>
    <row r="340" spans="1:18" ht="29.85" customHeight="1" x14ac:dyDescent="0.45">
      <c r="A340" s="30">
        <v>41</v>
      </c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 t="str" cm="1">
        <f t="array" ref="N340">Main_Log_Status(Main_Log[[#This Row],[Carrier]],Main_Log[[#This Row],[Net Weight]])</f>
        <v/>
      </c>
      <c r="O340" s="30"/>
      <c r="P34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40" s="30"/>
      <c r="R340" s="30" t="str" cm="1">
        <f t="array" ref="R340">Main_Log_Ref(Main_Log[[#This Row],[Carrier]])</f>
        <v/>
      </c>
    </row>
    <row r="341" spans="1:18" ht="29.85" customHeight="1" x14ac:dyDescent="0.45">
      <c r="A341" s="30">
        <v>42</v>
      </c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 t="str" cm="1">
        <f t="array" ref="N341">Main_Log_Status(Main_Log[[#This Row],[Carrier]],Main_Log[[#This Row],[Net Weight]])</f>
        <v/>
      </c>
      <c r="O341" s="30"/>
      <c r="P34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41" s="30"/>
      <c r="R341" s="30" t="str" cm="1">
        <f t="array" ref="R341">Main_Log_Ref(Main_Log[[#This Row],[Carrier]])</f>
        <v/>
      </c>
    </row>
    <row r="342" spans="1:18" ht="29.85" customHeight="1" x14ac:dyDescent="0.45">
      <c r="A342" s="30">
        <v>43</v>
      </c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 t="str" cm="1">
        <f t="array" ref="N342">Main_Log_Status(Main_Log[[#This Row],[Carrier]],Main_Log[[#This Row],[Net Weight]])</f>
        <v/>
      </c>
      <c r="O342" s="30"/>
      <c r="P34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42" s="30"/>
      <c r="R342" s="30" t="str" cm="1">
        <f t="array" ref="R342">Main_Log_Ref(Main_Log[[#This Row],[Carrier]])</f>
        <v/>
      </c>
    </row>
    <row r="343" spans="1:18" ht="29.85" customHeight="1" x14ac:dyDescent="0.45">
      <c r="A343" s="30">
        <v>44</v>
      </c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 t="str" cm="1">
        <f t="array" ref="N343">Main_Log_Status(Main_Log[[#This Row],[Carrier]],Main_Log[[#This Row],[Net Weight]])</f>
        <v/>
      </c>
      <c r="O343" s="30"/>
      <c r="P34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43" s="30"/>
      <c r="R343" s="30" t="str" cm="1">
        <f t="array" ref="R343">Main_Log_Ref(Main_Log[[#This Row],[Carrier]])</f>
        <v/>
      </c>
    </row>
    <row r="344" spans="1:18" ht="29.85" customHeight="1" x14ac:dyDescent="0.45">
      <c r="A344" s="30">
        <v>45</v>
      </c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 t="str" cm="1">
        <f t="array" ref="N344">Main_Log_Status(Main_Log[[#This Row],[Carrier]],Main_Log[[#This Row],[Net Weight]])</f>
        <v/>
      </c>
      <c r="O344" s="30"/>
      <c r="P34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44" s="30"/>
      <c r="R344" s="30" t="str" cm="1">
        <f t="array" ref="R344">Main_Log_Ref(Main_Log[[#This Row],[Carrier]])</f>
        <v/>
      </c>
    </row>
    <row r="345" spans="1:18" ht="29.85" customHeight="1" x14ac:dyDescent="0.45">
      <c r="A345" s="30">
        <v>46</v>
      </c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 t="str" cm="1">
        <f t="array" ref="N345">Main_Log_Status(Main_Log[[#This Row],[Carrier]],Main_Log[[#This Row],[Net Weight]])</f>
        <v/>
      </c>
      <c r="O345" s="30"/>
      <c r="P34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45" s="30"/>
      <c r="R345" s="30" t="str" cm="1">
        <f t="array" ref="R345">Main_Log_Ref(Main_Log[[#This Row],[Carrier]])</f>
        <v/>
      </c>
    </row>
    <row r="346" spans="1:18" ht="29.85" customHeight="1" x14ac:dyDescent="0.45">
      <c r="A346" s="30">
        <v>47</v>
      </c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 t="str" cm="1">
        <f t="array" ref="N346">Main_Log_Status(Main_Log[[#This Row],[Carrier]],Main_Log[[#This Row],[Net Weight]])</f>
        <v/>
      </c>
      <c r="O346" s="30"/>
      <c r="P34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46" s="30"/>
      <c r="R346" s="30" t="str" cm="1">
        <f t="array" ref="R346">Main_Log_Ref(Main_Log[[#This Row],[Carrier]])</f>
        <v/>
      </c>
    </row>
    <row r="347" spans="1:18" ht="29.85" customHeight="1" x14ac:dyDescent="0.45">
      <c r="A347" s="30">
        <v>48</v>
      </c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 t="str" cm="1">
        <f t="array" ref="N347">Main_Log_Status(Main_Log[[#This Row],[Carrier]],Main_Log[[#This Row],[Net Weight]])</f>
        <v/>
      </c>
      <c r="O347" s="30"/>
      <c r="P34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47" s="30"/>
      <c r="R347" s="30" t="str" cm="1">
        <f t="array" ref="R347">Main_Log_Ref(Main_Log[[#This Row],[Carrier]])</f>
        <v/>
      </c>
    </row>
    <row r="348" spans="1:18" ht="29.85" customHeight="1" x14ac:dyDescent="0.45">
      <c r="A348" s="30">
        <v>49</v>
      </c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 t="str" cm="1">
        <f t="array" ref="N348">Main_Log_Status(Main_Log[[#This Row],[Carrier]],Main_Log[[#This Row],[Net Weight]])</f>
        <v/>
      </c>
      <c r="O348" s="30"/>
      <c r="P34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48" s="30"/>
      <c r="R348" s="30" t="str" cm="1">
        <f t="array" ref="R348">Main_Log_Ref(Main_Log[[#This Row],[Carrier]])</f>
        <v/>
      </c>
    </row>
    <row r="349" spans="1:18" ht="29.85" customHeight="1" x14ac:dyDescent="0.45">
      <c r="A349" s="30">
        <v>50</v>
      </c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 t="str" cm="1">
        <f t="array" ref="N349">Main_Log_Status(Main_Log[[#This Row],[Carrier]],Main_Log[[#This Row],[Net Weight]])</f>
        <v/>
      </c>
      <c r="O349" s="30"/>
      <c r="P34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49" s="30"/>
      <c r="R349" s="30" t="str" cm="1">
        <f t="array" ref="R349">Main_Log_Ref(Main_Log[[#This Row],[Carrier]])</f>
        <v/>
      </c>
    </row>
    <row r="350" spans="1:18" ht="29.85" customHeight="1" x14ac:dyDescent="0.45">
      <c r="A350" s="30">
        <v>51</v>
      </c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 t="str" cm="1">
        <f t="array" ref="N350">Main_Log_Status(Main_Log[[#This Row],[Carrier]],Main_Log[[#This Row],[Net Weight]])</f>
        <v/>
      </c>
      <c r="O350" s="30"/>
      <c r="P35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50" s="30"/>
      <c r="R350" s="30" t="str" cm="1">
        <f t="array" ref="R350">Main_Log_Ref(Main_Log[[#This Row],[Carrier]])</f>
        <v/>
      </c>
    </row>
    <row r="351" spans="1:18" ht="29.85" customHeight="1" x14ac:dyDescent="0.45">
      <c r="A351" s="30">
        <v>52</v>
      </c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 t="str" cm="1">
        <f t="array" ref="N351">Main_Log_Status(Main_Log[[#This Row],[Carrier]],Main_Log[[#This Row],[Net Weight]])</f>
        <v/>
      </c>
      <c r="O351" s="30"/>
      <c r="P35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51" s="30"/>
      <c r="R351" s="30" t="str" cm="1">
        <f t="array" ref="R351">Main_Log_Ref(Main_Log[[#This Row],[Carrier]])</f>
        <v/>
      </c>
    </row>
    <row r="352" spans="1:18" ht="29.85" customHeight="1" x14ac:dyDescent="0.45">
      <c r="A352" s="30">
        <v>53</v>
      </c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 t="str" cm="1">
        <f t="array" ref="N352">Main_Log_Status(Main_Log[[#This Row],[Carrier]],Main_Log[[#This Row],[Net Weight]])</f>
        <v/>
      </c>
      <c r="O352" s="30"/>
      <c r="P35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52" s="30"/>
      <c r="R352" s="30" t="str" cm="1">
        <f t="array" ref="R352">Main_Log_Ref(Main_Log[[#This Row],[Carrier]])</f>
        <v/>
      </c>
    </row>
    <row r="353" spans="1:18" ht="29.85" customHeight="1" x14ac:dyDescent="0.45">
      <c r="A353" s="30">
        <v>54</v>
      </c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 t="str" cm="1">
        <f t="array" ref="N353">Main_Log_Status(Main_Log[[#This Row],[Carrier]],Main_Log[[#This Row],[Net Weight]])</f>
        <v/>
      </c>
      <c r="O353" s="30"/>
      <c r="P35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53" s="30"/>
      <c r="R353" s="30" t="str" cm="1">
        <f t="array" ref="R353">Main_Log_Ref(Main_Log[[#This Row],[Carrier]])</f>
        <v/>
      </c>
    </row>
    <row r="354" spans="1:18" ht="29.85" customHeight="1" x14ac:dyDescent="0.45">
      <c r="A354" s="30">
        <v>55</v>
      </c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 t="str" cm="1">
        <f t="array" ref="N354">Main_Log_Status(Main_Log[[#This Row],[Carrier]],Main_Log[[#This Row],[Net Weight]])</f>
        <v/>
      </c>
      <c r="O354" s="30"/>
      <c r="P35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54" s="30"/>
      <c r="R354" s="30" t="str" cm="1">
        <f t="array" ref="R354">Main_Log_Ref(Main_Log[[#This Row],[Carrier]])</f>
        <v/>
      </c>
    </row>
    <row r="355" spans="1:18" ht="29.85" customHeight="1" x14ac:dyDescent="0.45">
      <c r="A355" s="30">
        <v>56</v>
      </c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 t="str" cm="1">
        <f t="array" ref="N355">Main_Log_Status(Main_Log[[#This Row],[Carrier]],Main_Log[[#This Row],[Net Weight]])</f>
        <v/>
      </c>
      <c r="O355" s="30"/>
      <c r="P35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55" s="30"/>
      <c r="R355" s="30" t="str" cm="1">
        <f t="array" ref="R355">Main_Log_Ref(Main_Log[[#This Row],[Carrier]])</f>
        <v/>
      </c>
    </row>
    <row r="356" spans="1:18" ht="29.85" customHeight="1" x14ac:dyDescent="0.45">
      <c r="A356" s="30">
        <v>57</v>
      </c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 t="str" cm="1">
        <f t="array" ref="N356">Main_Log_Status(Main_Log[[#This Row],[Carrier]],Main_Log[[#This Row],[Net Weight]])</f>
        <v/>
      </c>
      <c r="O356" s="30"/>
      <c r="P35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56" s="30"/>
      <c r="R356" s="30" t="str" cm="1">
        <f t="array" ref="R356">Main_Log_Ref(Main_Log[[#This Row],[Carrier]])</f>
        <v/>
      </c>
    </row>
    <row r="357" spans="1:18" ht="29.85" customHeight="1" x14ac:dyDescent="0.45">
      <c r="A357" s="30">
        <v>58</v>
      </c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 t="str" cm="1">
        <f t="array" ref="N357">Main_Log_Status(Main_Log[[#This Row],[Carrier]],Main_Log[[#This Row],[Net Weight]])</f>
        <v/>
      </c>
      <c r="O357" s="30"/>
      <c r="P35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57" s="30"/>
      <c r="R357" s="30" t="str" cm="1">
        <f t="array" ref="R357">Main_Log_Ref(Main_Log[[#This Row],[Carrier]])</f>
        <v/>
      </c>
    </row>
    <row r="358" spans="1:18" ht="29.85" customHeight="1" x14ac:dyDescent="0.45">
      <c r="A358" s="30">
        <v>59</v>
      </c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 t="str" cm="1">
        <f t="array" ref="N358">Main_Log_Status(Main_Log[[#This Row],[Carrier]],Main_Log[[#This Row],[Net Weight]])</f>
        <v/>
      </c>
      <c r="O358" s="30"/>
      <c r="P35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58" s="30"/>
      <c r="R358" s="30" t="str" cm="1">
        <f t="array" ref="R358">Main_Log_Ref(Main_Log[[#This Row],[Carrier]])</f>
        <v/>
      </c>
    </row>
    <row r="359" spans="1:18" ht="29.85" customHeight="1" x14ac:dyDescent="0.45">
      <c r="A359" s="30">
        <v>60</v>
      </c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 t="str" cm="1">
        <f t="array" ref="N359">Main_Log_Status(Main_Log[[#This Row],[Carrier]],Main_Log[[#This Row],[Net Weight]])</f>
        <v/>
      </c>
      <c r="O359" s="30"/>
      <c r="P35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59" s="30"/>
      <c r="R359" s="30" t="str" cm="1">
        <f t="array" ref="R359">Main_Log_Ref(Main_Log[[#This Row],[Carrier]])</f>
        <v/>
      </c>
    </row>
    <row r="360" spans="1:18" ht="29.85" customHeight="1" x14ac:dyDescent="0.45">
      <c r="A360" s="30">
        <v>61</v>
      </c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 t="str" cm="1">
        <f t="array" ref="N360">Main_Log_Status(Main_Log[[#This Row],[Carrier]],Main_Log[[#This Row],[Net Weight]])</f>
        <v/>
      </c>
      <c r="O360" s="30"/>
      <c r="P36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60" s="30"/>
      <c r="R360" s="30" t="str" cm="1">
        <f t="array" ref="R360">Main_Log_Ref(Main_Log[[#This Row],[Carrier]])</f>
        <v/>
      </c>
    </row>
    <row r="361" spans="1:18" ht="29.85" customHeight="1" x14ac:dyDescent="0.45">
      <c r="A361" s="30">
        <v>62</v>
      </c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 t="str" cm="1">
        <f t="array" ref="N361">Main_Log_Status(Main_Log[[#This Row],[Carrier]],Main_Log[[#This Row],[Net Weight]])</f>
        <v/>
      </c>
      <c r="O361" s="30"/>
      <c r="P36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61" s="30"/>
      <c r="R361" s="30" t="str" cm="1">
        <f t="array" ref="R361">Main_Log_Ref(Main_Log[[#This Row],[Carrier]])</f>
        <v/>
      </c>
    </row>
    <row r="362" spans="1:18" ht="29.85" customHeight="1" x14ac:dyDescent="0.45">
      <c r="A362" s="30">
        <v>63</v>
      </c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 t="str" cm="1">
        <f t="array" ref="N362">Main_Log_Status(Main_Log[[#This Row],[Carrier]],Main_Log[[#This Row],[Net Weight]])</f>
        <v/>
      </c>
      <c r="O362" s="30"/>
      <c r="P36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62" s="30"/>
      <c r="R362" s="30" t="str" cm="1">
        <f t="array" ref="R362">Main_Log_Ref(Main_Log[[#This Row],[Carrier]])</f>
        <v/>
      </c>
    </row>
    <row r="363" spans="1:18" ht="29.85" customHeight="1" x14ac:dyDescent="0.45">
      <c r="A363" s="30">
        <v>64</v>
      </c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 t="str" cm="1">
        <f t="array" ref="N363">Main_Log_Status(Main_Log[[#This Row],[Carrier]],Main_Log[[#This Row],[Net Weight]])</f>
        <v/>
      </c>
      <c r="O363" s="30"/>
      <c r="P36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63" s="30"/>
      <c r="R363" s="30" t="str" cm="1">
        <f t="array" ref="R363">Main_Log_Ref(Main_Log[[#This Row],[Carrier]])</f>
        <v/>
      </c>
    </row>
    <row r="364" spans="1:18" ht="29.85" customHeight="1" x14ac:dyDescent="0.45">
      <c r="A364" s="30">
        <v>65</v>
      </c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 t="str" cm="1">
        <f t="array" ref="N364">Main_Log_Status(Main_Log[[#This Row],[Carrier]],Main_Log[[#This Row],[Net Weight]])</f>
        <v/>
      </c>
      <c r="O364" s="30"/>
      <c r="P36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64" s="30"/>
      <c r="R364" s="30" t="str" cm="1">
        <f t="array" ref="R364">Main_Log_Ref(Main_Log[[#This Row],[Carrier]])</f>
        <v/>
      </c>
    </row>
    <row r="365" spans="1:18" ht="29.85" customHeight="1" x14ac:dyDescent="0.45">
      <c r="A365" s="30">
        <v>66</v>
      </c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 t="str" cm="1">
        <f t="array" ref="N365">Main_Log_Status(Main_Log[[#This Row],[Carrier]],Main_Log[[#This Row],[Net Weight]])</f>
        <v/>
      </c>
      <c r="O365" s="30"/>
      <c r="P36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65" s="30"/>
      <c r="R365" s="30" t="str" cm="1">
        <f t="array" ref="R365">Main_Log_Ref(Main_Log[[#This Row],[Carrier]])</f>
        <v/>
      </c>
    </row>
    <row r="366" spans="1:18" ht="29.85" customHeight="1" x14ac:dyDescent="0.45">
      <c r="A366" s="30">
        <v>67</v>
      </c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 t="str" cm="1">
        <f t="array" ref="N366">Main_Log_Status(Main_Log[[#This Row],[Carrier]],Main_Log[[#This Row],[Net Weight]])</f>
        <v/>
      </c>
      <c r="O366" s="30"/>
      <c r="P36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66" s="30"/>
      <c r="R366" s="30" t="str" cm="1">
        <f t="array" ref="R366">Main_Log_Ref(Main_Log[[#This Row],[Carrier]])</f>
        <v/>
      </c>
    </row>
    <row r="367" spans="1:18" ht="29.85" customHeight="1" x14ac:dyDescent="0.45">
      <c r="A367" s="30">
        <v>68</v>
      </c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 t="str" cm="1">
        <f t="array" ref="N367">Main_Log_Status(Main_Log[[#This Row],[Carrier]],Main_Log[[#This Row],[Net Weight]])</f>
        <v/>
      </c>
      <c r="O367" s="30"/>
      <c r="P36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67" s="30"/>
      <c r="R367" s="30" t="str" cm="1">
        <f t="array" ref="R367">Main_Log_Ref(Main_Log[[#This Row],[Carrier]])</f>
        <v/>
      </c>
    </row>
    <row r="368" spans="1:18" ht="29.85" customHeight="1" x14ac:dyDescent="0.45">
      <c r="A368" s="30">
        <v>69</v>
      </c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 t="str" cm="1">
        <f t="array" ref="N368">Main_Log_Status(Main_Log[[#This Row],[Carrier]],Main_Log[[#This Row],[Net Weight]])</f>
        <v/>
      </c>
      <c r="O368" s="30"/>
      <c r="P36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68" s="30"/>
      <c r="R368" s="30" t="str" cm="1">
        <f t="array" ref="R368">Main_Log_Ref(Main_Log[[#This Row],[Carrier]])</f>
        <v/>
      </c>
    </row>
    <row r="369" spans="1:18" ht="29.85" customHeight="1" x14ac:dyDescent="0.45">
      <c r="A369" s="30">
        <v>70</v>
      </c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 t="str" cm="1">
        <f t="array" ref="N369">Main_Log_Status(Main_Log[[#This Row],[Carrier]],Main_Log[[#This Row],[Net Weight]])</f>
        <v/>
      </c>
      <c r="O369" s="30"/>
      <c r="P36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69" s="30"/>
      <c r="R369" s="30" t="str" cm="1">
        <f t="array" ref="R369">Main_Log_Ref(Main_Log[[#This Row],[Carrier]])</f>
        <v/>
      </c>
    </row>
    <row r="370" spans="1:18" ht="29.85" customHeight="1" x14ac:dyDescent="0.45">
      <c r="A370" s="30">
        <v>71</v>
      </c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 t="str" cm="1">
        <f t="array" ref="N370">Main_Log_Status(Main_Log[[#This Row],[Carrier]],Main_Log[[#This Row],[Net Weight]])</f>
        <v/>
      </c>
      <c r="O370" s="30"/>
      <c r="P37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70" s="30"/>
      <c r="R370" s="30" t="str" cm="1">
        <f t="array" ref="R370">Main_Log_Ref(Main_Log[[#This Row],[Carrier]])</f>
        <v/>
      </c>
    </row>
    <row r="371" spans="1:18" ht="29.85" customHeight="1" x14ac:dyDescent="0.45">
      <c r="A371" s="30">
        <v>72</v>
      </c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 t="str" cm="1">
        <f t="array" ref="N371">Main_Log_Status(Main_Log[[#This Row],[Carrier]],Main_Log[[#This Row],[Net Weight]])</f>
        <v/>
      </c>
      <c r="O371" s="30"/>
      <c r="P37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71" s="30"/>
      <c r="R371" s="30" t="str" cm="1">
        <f t="array" ref="R371">Main_Log_Ref(Main_Log[[#This Row],[Carrier]])</f>
        <v/>
      </c>
    </row>
    <row r="372" spans="1:18" ht="29.85" customHeight="1" x14ac:dyDescent="0.45">
      <c r="A372" s="30">
        <v>73</v>
      </c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 t="str" cm="1">
        <f t="array" ref="N372">Main_Log_Status(Main_Log[[#This Row],[Carrier]],Main_Log[[#This Row],[Net Weight]])</f>
        <v/>
      </c>
      <c r="O372" s="30"/>
      <c r="P37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72" s="30"/>
      <c r="R372" s="30" t="str" cm="1">
        <f t="array" ref="R372">Main_Log_Ref(Main_Log[[#This Row],[Carrier]])</f>
        <v/>
      </c>
    </row>
    <row r="373" spans="1:18" ht="29.85" customHeight="1" x14ac:dyDescent="0.45">
      <c r="A373" s="30">
        <v>74</v>
      </c>
      <c r="B373" s="30"/>
      <c r="C373" s="30"/>
      <c r="D373" s="30"/>
      <c r="E373" s="30"/>
      <c r="F373" s="30"/>
      <c r="G373" s="30"/>
      <c r="H373" s="30"/>
      <c r="I373" s="30"/>
      <c r="J373" s="30"/>
      <c r="K373" s="30"/>
      <c r="L373" s="30"/>
      <c r="M373" s="30"/>
      <c r="N373" s="30" t="str" cm="1">
        <f t="array" ref="N373">Main_Log_Status(Main_Log[[#This Row],[Carrier]],Main_Log[[#This Row],[Net Weight]])</f>
        <v/>
      </c>
      <c r="O373" s="30"/>
      <c r="P37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73" s="30"/>
      <c r="R373" s="30" t="str" cm="1">
        <f t="array" ref="R373">Main_Log_Ref(Main_Log[[#This Row],[Carrier]])</f>
        <v/>
      </c>
    </row>
    <row r="374" spans="1:18" ht="29.85" customHeight="1" x14ac:dyDescent="0.45">
      <c r="A374" s="30">
        <v>75</v>
      </c>
      <c r="B374" s="30"/>
      <c r="C374" s="30"/>
      <c r="D374" s="30"/>
      <c r="E374" s="30"/>
      <c r="F374" s="30"/>
      <c r="G374" s="30"/>
      <c r="H374" s="30"/>
      <c r="I374" s="30"/>
      <c r="J374" s="30"/>
      <c r="K374" s="30"/>
      <c r="L374" s="30"/>
      <c r="M374" s="30"/>
      <c r="N374" s="30" t="str" cm="1">
        <f t="array" ref="N374">Main_Log_Status(Main_Log[[#This Row],[Carrier]],Main_Log[[#This Row],[Net Weight]])</f>
        <v/>
      </c>
      <c r="O374" s="30"/>
      <c r="P37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74" s="30"/>
      <c r="R374" s="30" t="str" cm="1">
        <f t="array" ref="R374">Main_Log_Ref(Main_Log[[#This Row],[Carrier]])</f>
        <v/>
      </c>
    </row>
    <row r="375" spans="1:18" ht="29.85" customHeight="1" x14ac:dyDescent="0.45">
      <c r="A375" s="30">
        <v>76</v>
      </c>
      <c r="B375" s="30"/>
      <c r="C375" s="30"/>
      <c r="D375" s="30"/>
      <c r="E375" s="30"/>
      <c r="F375" s="30"/>
      <c r="G375" s="30"/>
      <c r="H375" s="30"/>
      <c r="I375" s="30"/>
      <c r="J375" s="30"/>
      <c r="K375" s="30"/>
      <c r="L375" s="30"/>
      <c r="M375" s="30"/>
      <c r="N375" s="30" t="str" cm="1">
        <f t="array" ref="N375">Main_Log_Status(Main_Log[[#This Row],[Carrier]],Main_Log[[#This Row],[Net Weight]])</f>
        <v/>
      </c>
      <c r="O375" s="30"/>
      <c r="P37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75" s="30"/>
      <c r="R375" s="30" t="str" cm="1">
        <f t="array" ref="R375">Main_Log_Ref(Main_Log[[#This Row],[Carrier]])</f>
        <v/>
      </c>
    </row>
    <row r="376" spans="1:18" ht="29.85" customHeight="1" x14ac:dyDescent="0.45">
      <c r="A376" s="30">
        <v>77</v>
      </c>
      <c r="B376" s="30"/>
      <c r="C376" s="30"/>
      <c r="D376" s="30"/>
      <c r="E376" s="30"/>
      <c r="F376" s="30"/>
      <c r="G376" s="30"/>
      <c r="H376" s="30"/>
      <c r="I376" s="30"/>
      <c r="J376" s="30"/>
      <c r="K376" s="30"/>
      <c r="L376" s="30"/>
      <c r="M376" s="30"/>
      <c r="N376" s="30" t="str" cm="1">
        <f t="array" ref="N376">Main_Log_Status(Main_Log[[#This Row],[Carrier]],Main_Log[[#This Row],[Net Weight]])</f>
        <v/>
      </c>
      <c r="O376" s="30"/>
      <c r="P37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76" s="30"/>
      <c r="R376" s="30" t="str" cm="1">
        <f t="array" ref="R376">Main_Log_Ref(Main_Log[[#This Row],[Carrier]])</f>
        <v/>
      </c>
    </row>
    <row r="377" spans="1:18" ht="29.85" customHeight="1" x14ac:dyDescent="0.45">
      <c r="A377" s="30">
        <v>78</v>
      </c>
      <c r="B377" s="30"/>
      <c r="C377" s="30"/>
      <c r="D377" s="30"/>
      <c r="E377" s="30"/>
      <c r="F377" s="30"/>
      <c r="G377" s="30"/>
      <c r="H377" s="30"/>
      <c r="I377" s="30"/>
      <c r="J377" s="30"/>
      <c r="K377" s="30"/>
      <c r="L377" s="30"/>
      <c r="M377" s="30"/>
      <c r="N377" s="30" t="str" cm="1">
        <f t="array" ref="N377">Main_Log_Status(Main_Log[[#This Row],[Carrier]],Main_Log[[#This Row],[Net Weight]])</f>
        <v/>
      </c>
      <c r="O377" s="30"/>
      <c r="P37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77" s="30"/>
      <c r="R377" s="30" t="str" cm="1">
        <f t="array" ref="R377">Main_Log_Ref(Main_Log[[#This Row],[Carrier]])</f>
        <v/>
      </c>
    </row>
    <row r="378" spans="1:18" ht="29.85" customHeight="1" x14ac:dyDescent="0.45">
      <c r="A378" s="30">
        <v>79</v>
      </c>
      <c r="B378" s="30"/>
      <c r="C378" s="30"/>
      <c r="D378" s="30"/>
      <c r="E378" s="30"/>
      <c r="F378" s="30"/>
      <c r="G378" s="30"/>
      <c r="H378" s="30"/>
      <c r="I378" s="30"/>
      <c r="J378" s="30"/>
      <c r="K378" s="30"/>
      <c r="L378" s="30"/>
      <c r="M378" s="30"/>
      <c r="N378" s="30" t="str" cm="1">
        <f t="array" ref="N378">Main_Log_Status(Main_Log[[#This Row],[Carrier]],Main_Log[[#This Row],[Net Weight]])</f>
        <v/>
      </c>
      <c r="O378" s="30"/>
      <c r="P37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78" s="30"/>
      <c r="R378" s="30" t="str" cm="1">
        <f t="array" ref="R378">Main_Log_Ref(Main_Log[[#This Row],[Carrier]])</f>
        <v/>
      </c>
    </row>
    <row r="379" spans="1:18" ht="29.85" customHeight="1" x14ac:dyDescent="0.45">
      <c r="A379" s="30">
        <v>80</v>
      </c>
      <c r="B379" s="30"/>
      <c r="C379" s="30"/>
      <c r="D379" s="30"/>
      <c r="E379" s="30"/>
      <c r="F379" s="30"/>
      <c r="G379" s="30"/>
      <c r="H379" s="30"/>
      <c r="I379" s="30"/>
      <c r="J379" s="30"/>
      <c r="K379" s="30"/>
      <c r="L379" s="30"/>
      <c r="M379" s="30"/>
      <c r="N379" s="30" t="str" cm="1">
        <f t="array" ref="N379">Main_Log_Status(Main_Log[[#This Row],[Carrier]],Main_Log[[#This Row],[Net Weight]])</f>
        <v/>
      </c>
      <c r="O379" s="30"/>
      <c r="P37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79" s="30"/>
      <c r="R379" s="30" t="str" cm="1">
        <f t="array" ref="R379">Main_Log_Ref(Main_Log[[#This Row],[Carrier]])</f>
        <v/>
      </c>
    </row>
    <row r="380" spans="1:18" ht="29.85" customHeight="1" x14ac:dyDescent="0.45">
      <c r="A380" s="30">
        <v>81</v>
      </c>
      <c r="B380" s="30"/>
      <c r="C380" s="30"/>
      <c r="D380" s="30"/>
      <c r="E380" s="30"/>
      <c r="F380" s="30"/>
      <c r="G380" s="30"/>
      <c r="H380" s="30"/>
      <c r="I380" s="30"/>
      <c r="J380" s="30"/>
      <c r="K380" s="30"/>
      <c r="L380" s="30"/>
      <c r="M380" s="30"/>
      <c r="N380" s="30" t="str" cm="1">
        <f t="array" ref="N380">Main_Log_Status(Main_Log[[#This Row],[Carrier]],Main_Log[[#This Row],[Net Weight]])</f>
        <v/>
      </c>
      <c r="O380" s="30"/>
      <c r="P38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80" s="30"/>
      <c r="R380" s="30" t="str" cm="1">
        <f t="array" ref="R380">Main_Log_Ref(Main_Log[[#This Row],[Carrier]])</f>
        <v/>
      </c>
    </row>
    <row r="381" spans="1:18" ht="29.85" customHeight="1" x14ac:dyDescent="0.45">
      <c r="A381" s="30">
        <v>82</v>
      </c>
      <c r="B381" s="30"/>
      <c r="C381" s="30"/>
      <c r="D381" s="30"/>
      <c r="E381" s="30"/>
      <c r="F381" s="30"/>
      <c r="G381" s="30"/>
      <c r="H381" s="30"/>
      <c r="I381" s="30"/>
      <c r="J381" s="30"/>
      <c r="K381" s="30"/>
      <c r="L381" s="30"/>
      <c r="M381" s="30"/>
      <c r="N381" s="30" t="str" cm="1">
        <f t="array" ref="N381">Main_Log_Status(Main_Log[[#This Row],[Carrier]],Main_Log[[#This Row],[Net Weight]])</f>
        <v/>
      </c>
      <c r="O381" s="30"/>
      <c r="P38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81" s="30"/>
      <c r="R381" s="30" t="str" cm="1">
        <f t="array" ref="R381">Main_Log_Ref(Main_Log[[#This Row],[Carrier]])</f>
        <v/>
      </c>
    </row>
    <row r="382" spans="1:18" ht="29.85" customHeight="1" x14ac:dyDescent="0.45">
      <c r="A382" s="30">
        <v>83</v>
      </c>
      <c r="B382" s="30"/>
      <c r="C382" s="30"/>
      <c r="D382" s="30"/>
      <c r="E382" s="30"/>
      <c r="F382" s="30"/>
      <c r="G382" s="30"/>
      <c r="H382" s="30"/>
      <c r="I382" s="30"/>
      <c r="J382" s="30"/>
      <c r="K382" s="30"/>
      <c r="L382" s="30"/>
      <c r="M382" s="30"/>
      <c r="N382" s="30" t="str" cm="1">
        <f t="array" ref="N382">Main_Log_Status(Main_Log[[#This Row],[Carrier]],Main_Log[[#This Row],[Net Weight]])</f>
        <v/>
      </c>
      <c r="O382" s="30"/>
      <c r="P38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82" s="30"/>
      <c r="R382" s="30" t="str" cm="1">
        <f t="array" ref="R382">Main_Log_Ref(Main_Log[[#This Row],[Carrier]])</f>
        <v/>
      </c>
    </row>
    <row r="383" spans="1:18" ht="29.85" customHeight="1" x14ac:dyDescent="0.45">
      <c r="A383" s="30">
        <v>84</v>
      </c>
      <c r="B383" s="30"/>
      <c r="C383" s="30"/>
      <c r="D383" s="30"/>
      <c r="E383" s="30"/>
      <c r="F383" s="30"/>
      <c r="G383" s="30"/>
      <c r="H383" s="30"/>
      <c r="I383" s="30"/>
      <c r="J383" s="30"/>
      <c r="K383" s="30"/>
      <c r="L383" s="30"/>
      <c r="M383" s="30"/>
      <c r="N383" s="30" t="str" cm="1">
        <f t="array" ref="N383">Main_Log_Status(Main_Log[[#This Row],[Carrier]],Main_Log[[#This Row],[Net Weight]])</f>
        <v/>
      </c>
      <c r="O383" s="30"/>
      <c r="P38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83" s="30"/>
      <c r="R383" s="30" t="str" cm="1">
        <f t="array" ref="R383">Main_Log_Ref(Main_Log[[#This Row],[Carrier]])</f>
        <v/>
      </c>
    </row>
    <row r="384" spans="1:18" ht="29.85" customHeight="1" x14ac:dyDescent="0.45">
      <c r="A384" s="30">
        <v>85</v>
      </c>
      <c r="B384" s="30"/>
      <c r="C384" s="30"/>
      <c r="D384" s="30"/>
      <c r="E384" s="30"/>
      <c r="F384" s="30"/>
      <c r="G384" s="30"/>
      <c r="H384" s="30"/>
      <c r="I384" s="30"/>
      <c r="J384" s="30"/>
      <c r="K384" s="30"/>
      <c r="L384" s="30"/>
      <c r="M384" s="30"/>
      <c r="N384" s="30" t="str" cm="1">
        <f t="array" ref="N384">Main_Log_Status(Main_Log[[#This Row],[Carrier]],Main_Log[[#This Row],[Net Weight]])</f>
        <v/>
      </c>
      <c r="O384" s="30"/>
      <c r="P38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84" s="30"/>
      <c r="R384" s="30" t="str" cm="1">
        <f t="array" ref="R384">Main_Log_Ref(Main_Log[[#This Row],[Carrier]])</f>
        <v/>
      </c>
    </row>
    <row r="385" spans="1:18" ht="29.85" customHeight="1" x14ac:dyDescent="0.45">
      <c r="A385" s="30">
        <v>86</v>
      </c>
      <c r="B385" s="30"/>
      <c r="C385" s="30"/>
      <c r="D385" s="30"/>
      <c r="E385" s="30"/>
      <c r="F385" s="30"/>
      <c r="G385" s="30"/>
      <c r="H385" s="30"/>
      <c r="I385" s="30"/>
      <c r="J385" s="30"/>
      <c r="K385" s="30"/>
      <c r="L385" s="30"/>
      <c r="M385" s="30"/>
      <c r="N385" s="30" t="str" cm="1">
        <f t="array" ref="N385">Main_Log_Status(Main_Log[[#This Row],[Carrier]],Main_Log[[#This Row],[Net Weight]])</f>
        <v/>
      </c>
      <c r="O385" s="30"/>
      <c r="P38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85" s="30"/>
      <c r="R385" s="30" t="str" cm="1">
        <f t="array" ref="R385">Main_Log_Ref(Main_Log[[#This Row],[Carrier]])</f>
        <v/>
      </c>
    </row>
    <row r="386" spans="1:18" ht="29.85" customHeight="1" x14ac:dyDescent="0.45">
      <c r="A386" s="30">
        <v>87</v>
      </c>
      <c r="B386" s="30"/>
      <c r="C386" s="30"/>
      <c r="D386" s="30"/>
      <c r="E386" s="30"/>
      <c r="F386" s="30"/>
      <c r="G386" s="30"/>
      <c r="H386" s="30"/>
      <c r="I386" s="30"/>
      <c r="J386" s="30"/>
      <c r="K386" s="30"/>
      <c r="L386" s="30"/>
      <c r="M386" s="30"/>
      <c r="N386" s="30" t="str" cm="1">
        <f t="array" ref="N386">Main_Log_Status(Main_Log[[#This Row],[Carrier]],Main_Log[[#This Row],[Net Weight]])</f>
        <v/>
      </c>
      <c r="O386" s="30"/>
      <c r="P38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86" s="30"/>
      <c r="R386" s="30" t="str" cm="1">
        <f t="array" ref="R386">Main_Log_Ref(Main_Log[[#This Row],[Carrier]])</f>
        <v/>
      </c>
    </row>
    <row r="387" spans="1:18" ht="29.85" customHeight="1" x14ac:dyDescent="0.45">
      <c r="A387" s="30">
        <v>88</v>
      </c>
      <c r="B387" s="30"/>
      <c r="C387" s="30"/>
      <c r="D387" s="30"/>
      <c r="E387" s="30"/>
      <c r="F387" s="30"/>
      <c r="G387" s="30"/>
      <c r="H387" s="30"/>
      <c r="I387" s="30"/>
      <c r="J387" s="30"/>
      <c r="K387" s="30"/>
      <c r="L387" s="30"/>
      <c r="M387" s="30"/>
      <c r="N387" s="30" t="str" cm="1">
        <f t="array" ref="N387">Main_Log_Status(Main_Log[[#This Row],[Carrier]],Main_Log[[#This Row],[Net Weight]])</f>
        <v/>
      </c>
      <c r="O387" s="30"/>
      <c r="P38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87" s="30"/>
      <c r="R387" s="30" t="str" cm="1">
        <f t="array" ref="R387">Main_Log_Ref(Main_Log[[#This Row],[Carrier]])</f>
        <v/>
      </c>
    </row>
    <row r="388" spans="1:18" ht="29.85" customHeight="1" x14ac:dyDescent="0.45">
      <c r="A388" s="30">
        <v>89</v>
      </c>
      <c r="B388" s="30"/>
      <c r="C388" s="30"/>
      <c r="D388" s="30"/>
      <c r="E388" s="30"/>
      <c r="F388" s="30"/>
      <c r="G388" s="30"/>
      <c r="H388" s="30"/>
      <c r="I388" s="30"/>
      <c r="J388" s="30"/>
      <c r="K388" s="30"/>
      <c r="L388" s="30"/>
      <c r="M388" s="30"/>
      <c r="N388" s="30" t="str" cm="1">
        <f t="array" ref="N388">Main_Log_Status(Main_Log[[#This Row],[Carrier]],Main_Log[[#This Row],[Net Weight]])</f>
        <v/>
      </c>
      <c r="O388" s="30"/>
      <c r="P38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88" s="30"/>
      <c r="R388" s="30" t="str" cm="1">
        <f t="array" ref="R388">Main_Log_Ref(Main_Log[[#This Row],[Carrier]])</f>
        <v/>
      </c>
    </row>
    <row r="389" spans="1:18" ht="29.85" customHeight="1" x14ac:dyDescent="0.45">
      <c r="A389" s="30">
        <v>90</v>
      </c>
      <c r="B389" s="30"/>
      <c r="C389" s="30"/>
      <c r="D389" s="30"/>
      <c r="E389" s="30"/>
      <c r="F389" s="30"/>
      <c r="G389" s="30"/>
      <c r="H389" s="30"/>
      <c r="I389" s="30"/>
      <c r="J389" s="30"/>
      <c r="K389" s="30"/>
      <c r="L389" s="30"/>
      <c r="M389" s="30"/>
      <c r="N389" s="30" t="str" cm="1">
        <f t="array" ref="N389">Main_Log_Status(Main_Log[[#This Row],[Carrier]],Main_Log[[#This Row],[Net Weight]])</f>
        <v/>
      </c>
      <c r="O389" s="30"/>
      <c r="P38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89" s="30"/>
      <c r="R389" s="30" t="str" cm="1">
        <f t="array" ref="R389">Main_Log_Ref(Main_Log[[#This Row],[Carrier]])</f>
        <v/>
      </c>
    </row>
    <row r="390" spans="1:18" ht="29.85" customHeight="1" x14ac:dyDescent="0.45">
      <c r="A390" s="30">
        <v>91</v>
      </c>
      <c r="B390" s="30"/>
      <c r="C390" s="30"/>
      <c r="D390" s="30"/>
      <c r="E390" s="30"/>
      <c r="F390" s="30"/>
      <c r="G390" s="30"/>
      <c r="H390" s="30"/>
      <c r="I390" s="30"/>
      <c r="J390" s="30"/>
      <c r="K390" s="30"/>
      <c r="L390" s="30"/>
      <c r="M390" s="30"/>
      <c r="N390" s="30" t="str" cm="1">
        <f t="array" ref="N390">Main_Log_Status(Main_Log[[#This Row],[Carrier]],Main_Log[[#This Row],[Net Weight]])</f>
        <v/>
      </c>
      <c r="O390" s="30"/>
      <c r="P39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90" s="30"/>
      <c r="R390" s="30" t="str" cm="1">
        <f t="array" ref="R390">Main_Log_Ref(Main_Log[[#This Row],[Carrier]])</f>
        <v/>
      </c>
    </row>
    <row r="391" spans="1:18" ht="29.85" customHeight="1" x14ac:dyDescent="0.45">
      <c r="A391" s="30">
        <v>92</v>
      </c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 t="str" cm="1">
        <f t="array" ref="N391">Main_Log_Status(Main_Log[[#This Row],[Carrier]],Main_Log[[#This Row],[Net Weight]])</f>
        <v/>
      </c>
      <c r="O391" s="30"/>
      <c r="P39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91" s="30"/>
      <c r="R391" s="30" t="str" cm="1">
        <f t="array" ref="R391">Main_Log_Ref(Main_Log[[#This Row],[Carrier]])</f>
        <v/>
      </c>
    </row>
    <row r="392" spans="1:18" ht="29.85" customHeight="1" x14ac:dyDescent="0.45">
      <c r="A392" s="30">
        <v>93</v>
      </c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 t="str" cm="1">
        <f t="array" ref="N392">Main_Log_Status(Main_Log[[#This Row],[Carrier]],Main_Log[[#This Row],[Net Weight]])</f>
        <v/>
      </c>
      <c r="O392" s="30"/>
      <c r="P39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92" s="30"/>
      <c r="R392" s="30" t="str" cm="1">
        <f t="array" ref="R392">Main_Log_Ref(Main_Log[[#This Row],[Carrier]])</f>
        <v/>
      </c>
    </row>
    <row r="393" spans="1:18" ht="29.85" customHeight="1" x14ac:dyDescent="0.45">
      <c r="A393" s="30">
        <v>94</v>
      </c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 t="str" cm="1">
        <f t="array" ref="N393">Main_Log_Status(Main_Log[[#This Row],[Carrier]],Main_Log[[#This Row],[Net Weight]])</f>
        <v/>
      </c>
      <c r="O393" s="30"/>
      <c r="P39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93" s="30"/>
      <c r="R393" s="30" t="str" cm="1">
        <f t="array" ref="R393">Main_Log_Ref(Main_Log[[#This Row],[Carrier]])</f>
        <v/>
      </c>
    </row>
    <row r="394" spans="1:18" ht="29.85" customHeight="1" x14ac:dyDescent="0.45">
      <c r="A394" s="30">
        <v>95</v>
      </c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 t="str" cm="1">
        <f t="array" ref="N394">Main_Log_Status(Main_Log[[#This Row],[Carrier]],Main_Log[[#This Row],[Net Weight]])</f>
        <v/>
      </c>
      <c r="O394" s="30"/>
      <c r="P39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94" s="30"/>
      <c r="R394" s="30" t="str" cm="1">
        <f t="array" ref="R394">Main_Log_Ref(Main_Log[[#This Row],[Carrier]])</f>
        <v/>
      </c>
    </row>
    <row r="395" spans="1:18" ht="29.85" customHeight="1" x14ac:dyDescent="0.45">
      <c r="A395" s="30">
        <v>96</v>
      </c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 t="str" cm="1">
        <f t="array" ref="N395">Main_Log_Status(Main_Log[[#This Row],[Carrier]],Main_Log[[#This Row],[Net Weight]])</f>
        <v/>
      </c>
      <c r="O395" s="30"/>
      <c r="P39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95" s="30"/>
      <c r="R395" s="30" t="str" cm="1">
        <f t="array" ref="R395">Main_Log_Ref(Main_Log[[#This Row],[Carrier]])</f>
        <v/>
      </c>
    </row>
    <row r="396" spans="1:18" ht="29.85" customHeight="1" x14ac:dyDescent="0.45">
      <c r="A396" s="30">
        <v>97</v>
      </c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 t="str" cm="1">
        <f t="array" ref="N396">Main_Log_Status(Main_Log[[#This Row],[Carrier]],Main_Log[[#This Row],[Net Weight]])</f>
        <v/>
      </c>
      <c r="O396" s="30"/>
      <c r="P39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96" s="30"/>
      <c r="R396" s="30" t="str" cm="1">
        <f t="array" ref="R396">Main_Log_Ref(Main_Log[[#This Row],[Carrier]])</f>
        <v/>
      </c>
    </row>
    <row r="397" spans="1:18" ht="29.85" customHeight="1" x14ac:dyDescent="0.45">
      <c r="A397" s="30">
        <v>98</v>
      </c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 t="str" cm="1">
        <f t="array" ref="N397">Main_Log_Status(Main_Log[[#This Row],[Carrier]],Main_Log[[#This Row],[Net Weight]])</f>
        <v/>
      </c>
      <c r="O397" s="30"/>
      <c r="P39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97" s="30"/>
      <c r="R397" s="30" t="str" cm="1">
        <f t="array" ref="R397">Main_Log_Ref(Main_Log[[#This Row],[Carrier]])</f>
        <v/>
      </c>
    </row>
    <row r="398" spans="1:18" ht="29.85" customHeight="1" x14ac:dyDescent="0.45">
      <c r="A398" s="30">
        <v>99</v>
      </c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 t="str" cm="1">
        <f t="array" ref="N398">Main_Log_Status(Main_Log[[#This Row],[Carrier]],Main_Log[[#This Row],[Net Weight]])</f>
        <v/>
      </c>
      <c r="O398" s="30"/>
      <c r="P39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98" s="30"/>
      <c r="R398" s="30" t="str" cm="1">
        <f t="array" ref="R398">Main_Log_Ref(Main_Log[[#This Row],[Carrier]])</f>
        <v/>
      </c>
    </row>
    <row r="399" spans="1:18" ht="29.85" customHeight="1" x14ac:dyDescent="0.45">
      <c r="A399" s="30">
        <v>1</v>
      </c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 t="str" cm="1">
        <f t="array" ref="N399">Main_Log_Status(Main_Log[[#This Row],[Carrier]],Main_Log[[#This Row],[Net Weight]])</f>
        <v/>
      </c>
      <c r="O399" s="30"/>
      <c r="P39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399" s="30"/>
      <c r="R399" s="30" t="str" cm="1">
        <f t="array" ref="R399">Main_Log_Ref(Main_Log[[#This Row],[Carrier]])</f>
        <v/>
      </c>
    </row>
    <row r="400" spans="1:18" ht="29.85" customHeight="1" x14ac:dyDescent="0.45">
      <c r="A400" s="30">
        <v>2</v>
      </c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 t="str" cm="1">
        <f t="array" ref="N400">Main_Log_Status(Main_Log[[#This Row],[Carrier]],Main_Log[[#This Row],[Net Weight]])</f>
        <v/>
      </c>
      <c r="O400" s="30"/>
      <c r="P40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00" s="30"/>
      <c r="R400" s="30" t="str" cm="1">
        <f t="array" ref="R400">Main_Log_Ref(Main_Log[[#This Row],[Carrier]])</f>
        <v/>
      </c>
    </row>
    <row r="401" spans="1:18" ht="29.85" customHeight="1" x14ac:dyDescent="0.45">
      <c r="A401" s="30">
        <v>3</v>
      </c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 t="str" cm="1">
        <f t="array" ref="N401">Main_Log_Status(Main_Log[[#This Row],[Carrier]],Main_Log[[#This Row],[Net Weight]])</f>
        <v/>
      </c>
      <c r="O401" s="30"/>
      <c r="P40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01" s="30"/>
      <c r="R401" s="30" t="str" cm="1">
        <f t="array" ref="R401">Main_Log_Ref(Main_Log[[#This Row],[Carrier]])</f>
        <v/>
      </c>
    </row>
    <row r="402" spans="1:18" ht="29.85" customHeight="1" x14ac:dyDescent="0.45">
      <c r="A402" s="30">
        <v>4</v>
      </c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 t="str" cm="1">
        <f t="array" ref="N402">Main_Log_Status(Main_Log[[#This Row],[Carrier]],Main_Log[[#This Row],[Net Weight]])</f>
        <v/>
      </c>
      <c r="O402" s="30"/>
      <c r="P40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02" s="30"/>
      <c r="R402" s="30" t="str" cm="1">
        <f t="array" ref="R402">Main_Log_Ref(Main_Log[[#This Row],[Carrier]])</f>
        <v/>
      </c>
    </row>
    <row r="403" spans="1:18" ht="29.85" customHeight="1" x14ac:dyDescent="0.45">
      <c r="A403" s="30">
        <v>5</v>
      </c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 t="str" cm="1">
        <f t="array" ref="N403">Main_Log_Status(Main_Log[[#This Row],[Carrier]],Main_Log[[#This Row],[Net Weight]])</f>
        <v/>
      </c>
      <c r="O403" s="30"/>
      <c r="P40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03" s="30"/>
      <c r="R403" s="30" t="str" cm="1">
        <f t="array" ref="R403">Main_Log_Ref(Main_Log[[#This Row],[Carrier]])</f>
        <v/>
      </c>
    </row>
    <row r="404" spans="1:18" ht="29.85" customHeight="1" x14ac:dyDescent="0.45">
      <c r="A404" s="30">
        <v>6</v>
      </c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 t="str" cm="1">
        <f t="array" ref="N404">Main_Log_Status(Main_Log[[#This Row],[Carrier]],Main_Log[[#This Row],[Net Weight]])</f>
        <v/>
      </c>
      <c r="O404" s="30"/>
      <c r="P40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04" s="30"/>
      <c r="R404" s="30" t="str" cm="1">
        <f t="array" ref="R404">Main_Log_Ref(Main_Log[[#This Row],[Carrier]])</f>
        <v/>
      </c>
    </row>
    <row r="405" spans="1:18" ht="29.85" customHeight="1" x14ac:dyDescent="0.45">
      <c r="A405" s="30">
        <v>7</v>
      </c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 t="str" cm="1">
        <f t="array" ref="N405">Main_Log_Status(Main_Log[[#This Row],[Carrier]],Main_Log[[#This Row],[Net Weight]])</f>
        <v/>
      </c>
      <c r="O405" s="30"/>
      <c r="P40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05" s="30"/>
      <c r="R405" s="30" t="str" cm="1">
        <f t="array" ref="R405">Main_Log_Ref(Main_Log[[#This Row],[Carrier]])</f>
        <v/>
      </c>
    </row>
    <row r="406" spans="1:18" ht="29.85" customHeight="1" x14ac:dyDescent="0.45">
      <c r="A406" s="30">
        <v>8</v>
      </c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 t="str" cm="1">
        <f t="array" ref="N406">Main_Log_Status(Main_Log[[#This Row],[Carrier]],Main_Log[[#This Row],[Net Weight]])</f>
        <v/>
      </c>
      <c r="O406" s="30"/>
      <c r="P40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06" s="30"/>
      <c r="R406" s="30" t="str" cm="1">
        <f t="array" ref="R406">Main_Log_Ref(Main_Log[[#This Row],[Carrier]])</f>
        <v/>
      </c>
    </row>
    <row r="407" spans="1:18" ht="29.85" customHeight="1" x14ac:dyDescent="0.45">
      <c r="A407" s="30">
        <v>9</v>
      </c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 t="str" cm="1">
        <f t="array" ref="N407">Main_Log_Status(Main_Log[[#This Row],[Carrier]],Main_Log[[#This Row],[Net Weight]])</f>
        <v/>
      </c>
      <c r="O407" s="30"/>
      <c r="P40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07" s="30"/>
      <c r="R407" s="30" t="str" cm="1">
        <f t="array" ref="R407">Main_Log_Ref(Main_Log[[#This Row],[Carrier]])</f>
        <v/>
      </c>
    </row>
    <row r="408" spans="1:18" ht="29.85" customHeight="1" x14ac:dyDescent="0.45">
      <c r="A408" s="30">
        <v>10</v>
      </c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 t="str" cm="1">
        <f t="array" ref="N408">Main_Log_Status(Main_Log[[#This Row],[Carrier]],Main_Log[[#This Row],[Net Weight]])</f>
        <v/>
      </c>
      <c r="O408" s="30"/>
      <c r="P40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08" s="30"/>
      <c r="R408" s="30" t="str" cm="1">
        <f t="array" ref="R408">Main_Log_Ref(Main_Log[[#This Row],[Carrier]])</f>
        <v/>
      </c>
    </row>
    <row r="409" spans="1:18" ht="29.85" customHeight="1" x14ac:dyDescent="0.45">
      <c r="A409" s="30">
        <v>11</v>
      </c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 t="str" cm="1">
        <f t="array" ref="N409">Main_Log_Status(Main_Log[[#This Row],[Carrier]],Main_Log[[#This Row],[Net Weight]])</f>
        <v/>
      </c>
      <c r="O409" s="30"/>
      <c r="P40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09" s="30"/>
      <c r="R409" s="30" t="str" cm="1">
        <f t="array" ref="R409">Main_Log_Ref(Main_Log[[#This Row],[Carrier]])</f>
        <v/>
      </c>
    </row>
    <row r="410" spans="1:18" ht="29.85" customHeight="1" x14ac:dyDescent="0.45">
      <c r="A410" s="30">
        <v>12</v>
      </c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 t="str" cm="1">
        <f t="array" ref="N410">Main_Log_Status(Main_Log[[#This Row],[Carrier]],Main_Log[[#This Row],[Net Weight]])</f>
        <v/>
      </c>
      <c r="O410" s="30"/>
      <c r="P41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10" s="30"/>
      <c r="R410" s="30" t="str" cm="1">
        <f t="array" ref="R410">Main_Log_Ref(Main_Log[[#This Row],[Carrier]])</f>
        <v/>
      </c>
    </row>
    <row r="411" spans="1:18" ht="29.85" customHeight="1" x14ac:dyDescent="0.45">
      <c r="A411" s="30">
        <v>13</v>
      </c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 t="str" cm="1">
        <f t="array" ref="N411">Main_Log_Status(Main_Log[[#This Row],[Carrier]],Main_Log[[#This Row],[Net Weight]])</f>
        <v/>
      </c>
      <c r="O411" s="30"/>
      <c r="P41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11" s="30"/>
      <c r="R411" s="30" t="str" cm="1">
        <f t="array" ref="R411">Main_Log_Ref(Main_Log[[#This Row],[Carrier]])</f>
        <v/>
      </c>
    </row>
    <row r="412" spans="1:18" ht="29.85" customHeight="1" x14ac:dyDescent="0.45">
      <c r="A412" s="30">
        <v>14</v>
      </c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 t="str" cm="1">
        <f t="array" ref="N412">Main_Log_Status(Main_Log[[#This Row],[Carrier]],Main_Log[[#This Row],[Net Weight]])</f>
        <v/>
      </c>
      <c r="O412" s="30"/>
      <c r="P41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12" s="30"/>
      <c r="R412" s="30" t="str" cm="1">
        <f t="array" ref="R412">Main_Log_Ref(Main_Log[[#This Row],[Carrier]])</f>
        <v/>
      </c>
    </row>
    <row r="413" spans="1:18" ht="29.85" customHeight="1" x14ac:dyDescent="0.45">
      <c r="A413" s="30">
        <v>15</v>
      </c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 t="str" cm="1">
        <f t="array" ref="N413">Main_Log_Status(Main_Log[[#This Row],[Carrier]],Main_Log[[#This Row],[Net Weight]])</f>
        <v/>
      </c>
      <c r="O413" s="30"/>
      <c r="P41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13" s="30"/>
      <c r="R413" s="30" t="str" cm="1">
        <f t="array" ref="R413">Main_Log_Ref(Main_Log[[#This Row],[Carrier]])</f>
        <v/>
      </c>
    </row>
    <row r="414" spans="1:18" ht="29.85" customHeight="1" x14ac:dyDescent="0.45">
      <c r="A414" s="30">
        <v>16</v>
      </c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 t="str" cm="1">
        <f t="array" ref="N414">Main_Log_Status(Main_Log[[#This Row],[Carrier]],Main_Log[[#This Row],[Net Weight]])</f>
        <v/>
      </c>
      <c r="O414" s="30"/>
      <c r="P41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14" s="30"/>
      <c r="R414" s="30" t="str" cm="1">
        <f t="array" ref="R414">Main_Log_Ref(Main_Log[[#This Row],[Carrier]])</f>
        <v/>
      </c>
    </row>
    <row r="415" spans="1:18" ht="29.85" customHeight="1" x14ac:dyDescent="0.45">
      <c r="A415" s="30">
        <v>17</v>
      </c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 t="str" cm="1">
        <f t="array" ref="N415">Main_Log_Status(Main_Log[[#This Row],[Carrier]],Main_Log[[#This Row],[Net Weight]])</f>
        <v/>
      </c>
      <c r="O415" s="30"/>
      <c r="P41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15" s="30"/>
      <c r="R415" s="30" t="str" cm="1">
        <f t="array" ref="R415">Main_Log_Ref(Main_Log[[#This Row],[Carrier]])</f>
        <v/>
      </c>
    </row>
    <row r="416" spans="1:18" ht="29.85" customHeight="1" x14ac:dyDescent="0.45">
      <c r="A416" s="30">
        <v>18</v>
      </c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 t="str" cm="1">
        <f t="array" ref="N416">Main_Log_Status(Main_Log[[#This Row],[Carrier]],Main_Log[[#This Row],[Net Weight]])</f>
        <v/>
      </c>
      <c r="O416" s="30"/>
      <c r="P41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16" s="30"/>
      <c r="R416" s="30" t="str" cm="1">
        <f t="array" ref="R416">Main_Log_Ref(Main_Log[[#This Row],[Carrier]])</f>
        <v/>
      </c>
    </row>
    <row r="417" spans="1:18" ht="29.85" customHeight="1" x14ac:dyDescent="0.45">
      <c r="A417" s="30">
        <v>19</v>
      </c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 t="str" cm="1">
        <f t="array" ref="N417">Main_Log_Status(Main_Log[[#This Row],[Carrier]],Main_Log[[#This Row],[Net Weight]])</f>
        <v/>
      </c>
      <c r="O417" s="30"/>
      <c r="P41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17" s="30"/>
      <c r="R417" s="30" t="str" cm="1">
        <f t="array" ref="R417">Main_Log_Ref(Main_Log[[#This Row],[Carrier]])</f>
        <v/>
      </c>
    </row>
    <row r="418" spans="1:18" ht="29.85" customHeight="1" x14ac:dyDescent="0.45">
      <c r="A418" s="30">
        <v>20</v>
      </c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 t="str" cm="1">
        <f t="array" ref="N418">Main_Log_Status(Main_Log[[#This Row],[Carrier]],Main_Log[[#This Row],[Net Weight]])</f>
        <v/>
      </c>
      <c r="O418" s="30"/>
      <c r="P41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18" s="30"/>
      <c r="R418" s="30" t="str" cm="1">
        <f t="array" ref="R418">Main_Log_Ref(Main_Log[[#This Row],[Carrier]])</f>
        <v/>
      </c>
    </row>
    <row r="419" spans="1:18" ht="29.85" customHeight="1" x14ac:dyDescent="0.45">
      <c r="A419" s="30">
        <v>21</v>
      </c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 t="str" cm="1">
        <f t="array" ref="N419">Main_Log_Status(Main_Log[[#This Row],[Carrier]],Main_Log[[#This Row],[Net Weight]])</f>
        <v/>
      </c>
      <c r="O419" s="30"/>
      <c r="P41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19" s="30"/>
      <c r="R419" s="30" t="str" cm="1">
        <f t="array" ref="R419">Main_Log_Ref(Main_Log[[#This Row],[Carrier]])</f>
        <v/>
      </c>
    </row>
    <row r="420" spans="1:18" ht="29.85" customHeight="1" x14ac:dyDescent="0.45">
      <c r="A420" s="30">
        <v>22</v>
      </c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 t="str" cm="1">
        <f t="array" ref="N420">Main_Log_Status(Main_Log[[#This Row],[Carrier]],Main_Log[[#This Row],[Net Weight]])</f>
        <v/>
      </c>
      <c r="O420" s="30"/>
      <c r="P42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20" s="30"/>
      <c r="R420" s="30" t="str" cm="1">
        <f t="array" ref="R420">Main_Log_Ref(Main_Log[[#This Row],[Carrier]])</f>
        <v/>
      </c>
    </row>
    <row r="421" spans="1:18" ht="29.85" customHeight="1" x14ac:dyDescent="0.45">
      <c r="A421" s="30">
        <v>23</v>
      </c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 t="str" cm="1">
        <f t="array" ref="N421">Main_Log_Status(Main_Log[[#This Row],[Carrier]],Main_Log[[#This Row],[Net Weight]])</f>
        <v/>
      </c>
      <c r="O421" s="30"/>
      <c r="P42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21" s="30"/>
      <c r="R421" s="30" t="str" cm="1">
        <f t="array" ref="R421">Main_Log_Ref(Main_Log[[#This Row],[Carrier]])</f>
        <v/>
      </c>
    </row>
    <row r="422" spans="1:18" ht="29.85" customHeight="1" x14ac:dyDescent="0.45">
      <c r="A422" s="30">
        <v>24</v>
      </c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 t="str" cm="1">
        <f t="array" ref="N422">Main_Log_Status(Main_Log[[#This Row],[Carrier]],Main_Log[[#This Row],[Net Weight]])</f>
        <v/>
      </c>
      <c r="O422" s="30"/>
      <c r="P42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22" s="30"/>
      <c r="R422" s="30" t="str" cm="1">
        <f t="array" ref="R422">Main_Log_Ref(Main_Log[[#This Row],[Carrier]])</f>
        <v/>
      </c>
    </row>
    <row r="423" spans="1:18" ht="29.85" customHeight="1" x14ac:dyDescent="0.45">
      <c r="A423" s="30">
        <v>25</v>
      </c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 t="str" cm="1">
        <f t="array" ref="N423">Main_Log_Status(Main_Log[[#This Row],[Carrier]],Main_Log[[#This Row],[Net Weight]])</f>
        <v/>
      </c>
      <c r="O423" s="30"/>
      <c r="P42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23" s="30"/>
      <c r="R423" s="30" t="str" cm="1">
        <f t="array" ref="R423">Main_Log_Ref(Main_Log[[#This Row],[Carrier]])</f>
        <v/>
      </c>
    </row>
    <row r="424" spans="1:18" ht="29.85" customHeight="1" x14ac:dyDescent="0.45">
      <c r="A424" s="30">
        <v>26</v>
      </c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 t="str" cm="1">
        <f t="array" ref="N424">Main_Log_Status(Main_Log[[#This Row],[Carrier]],Main_Log[[#This Row],[Net Weight]])</f>
        <v/>
      </c>
      <c r="O424" s="30"/>
      <c r="P42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24" s="30"/>
      <c r="R424" s="30" t="str" cm="1">
        <f t="array" ref="R424">Main_Log_Ref(Main_Log[[#This Row],[Carrier]])</f>
        <v/>
      </c>
    </row>
    <row r="425" spans="1:18" ht="29.85" customHeight="1" x14ac:dyDescent="0.45">
      <c r="A425" s="30">
        <v>27</v>
      </c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 t="str" cm="1">
        <f t="array" ref="N425">Main_Log_Status(Main_Log[[#This Row],[Carrier]],Main_Log[[#This Row],[Net Weight]])</f>
        <v/>
      </c>
      <c r="O425" s="30"/>
      <c r="P42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25" s="30"/>
      <c r="R425" s="30" t="str" cm="1">
        <f t="array" ref="R425">Main_Log_Ref(Main_Log[[#This Row],[Carrier]])</f>
        <v/>
      </c>
    </row>
    <row r="426" spans="1:18" ht="29.85" customHeight="1" x14ac:dyDescent="0.45">
      <c r="A426" s="30">
        <v>28</v>
      </c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 t="str" cm="1">
        <f t="array" ref="N426">Main_Log_Status(Main_Log[[#This Row],[Carrier]],Main_Log[[#This Row],[Net Weight]])</f>
        <v/>
      </c>
      <c r="O426" s="30"/>
      <c r="P42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26" s="30"/>
      <c r="R426" s="30" t="str" cm="1">
        <f t="array" ref="R426">Main_Log_Ref(Main_Log[[#This Row],[Carrier]])</f>
        <v/>
      </c>
    </row>
    <row r="427" spans="1:18" ht="29.85" customHeight="1" x14ac:dyDescent="0.45">
      <c r="A427" s="30">
        <v>29</v>
      </c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 t="str" cm="1">
        <f t="array" ref="N427">Main_Log_Status(Main_Log[[#This Row],[Carrier]],Main_Log[[#This Row],[Net Weight]])</f>
        <v/>
      </c>
      <c r="O427" s="30"/>
      <c r="P42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27" s="30"/>
      <c r="R427" s="30" t="str" cm="1">
        <f t="array" ref="R427">Main_Log_Ref(Main_Log[[#This Row],[Carrier]])</f>
        <v/>
      </c>
    </row>
    <row r="428" spans="1:18" ht="29.85" customHeight="1" x14ac:dyDescent="0.45">
      <c r="A428" s="30">
        <v>30</v>
      </c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 t="str" cm="1">
        <f t="array" ref="N428">Main_Log_Status(Main_Log[[#This Row],[Carrier]],Main_Log[[#This Row],[Net Weight]])</f>
        <v/>
      </c>
      <c r="O428" s="30"/>
      <c r="P42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28" s="30"/>
      <c r="R428" s="30" t="str" cm="1">
        <f t="array" ref="R428">Main_Log_Ref(Main_Log[[#This Row],[Carrier]])</f>
        <v/>
      </c>
    </row>
    <row r="429" spans="1:18" ht="29.85" customHeight="1" x14ac:dyDescent="0.45">
      <c r="A429" s="30">
        <v>31</v>
      </c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 t="str" cm="1">
        <f t="array" ref="N429">Main_Log_Status(Main_Log[[#This Row],[Carrier]],Main_Log[[#This Row],[Net Weight]])</f>
        <v/>
      </c>
      <c r="O429" s="30"/>
      <c r="P42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29" s="30"/>
      <c r="R429" s="30" t="str" cm="1">
        <f t="array" ref="R429">Main_Log_Ref(Main_Log[[#This Row],[Carrier]])</f>
        <v/>
      </c>
    </row>
    <row r="430" spans="1:18" ht="29.85" customHeight="1" x14ac:dyDescent="0.45">
      <c r="A430" s="30">
        <v>32</v>
      </c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 t="str" cm="1">
        <f t="array" ref="N430">Main_Log_Status(Main_Log[[#This Row],[Carrier]],Main_Log[[#This Row],[Net Weight]])</f>
        <v/>
      </c>
      <c r="O430" s="30"/>
      <c r="P43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30" s="30"/>
      <c r="R430" s="30" t="str" cm="1">
        <f t="array" ref="R430">Main_Log_Ref(Main_Log[[#This Row],[Carrier]])</f>
        <v/>
      </c>
    </row>
    <row r="431" spans="1:18" ht="29.85" customHeight="1" x14ac:dyDescent="0.45">
      <c r="A431" s="30">
        <v>33</v>
      </c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 t="str" cm="1">
        <f t="array" ref="N431">Main_Log_Status(Main_Log[[#This Row],[Carrier]],Main_Log[[#This Row],[Net Weight]])</f>
        <v/>
      </c>
      <c r="O431" s="30"/>
      <c r="P43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31" s="30"/>
      <c r="R431" s="30" t="str" cm="1">
        <f t="array" ref="R431">Main_Log_Ref(Main_Log[[#This Row],[Carrier]])</f>
        <v/>
      </c>
    </row>
    <row r="432" spans="1:18" ht="29.85" customHeight="1" x14ac:dyDescent="0.45">
      <c r="A432" s="30">
        <v>34</v>
      </c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 t="str" cm="1">
        <f t="array" ref="N432">Main_Log_Status(Main_Log[[#This Row],[Carrier]],Main_Log[[#This Row],[Net Weight]])</f>
        <v/>
      </c>
      <c r="O432" s="30"/>
      <c r="P43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32" s="30"/>
      <c r="R432" s="30" t="str" cm="1">
        <f t="array" ref="R432">Main_Log_Ref(Main_Log[[#This Row],[Carrier]])</f>
        <v/>
      </c>
    </row>
    <row r="433" spans="1:18" ht="29.85" customHeight="1" x14ac:dyDescent="0.45">
      <c r="A433" s="30">
        <v>35</v>
      </c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 t="str" cm="1">
        <f t="array" ref="N433">Main_Log_Status(Main_Log[[#This Row],[Carrier]],Main_Log[[#This Row],[Net Weight]])</f>
        <v/>
      </c>
      <c r="O433" s="30"/>
      <c r="P43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33" s="30"/>
      <c r="R433" s="30" t="str" cm="1">
        <f t="array" ref="R433">Main_Log_Ref(Main_Log[[#This Row],[Carrier]])</f>
        <v/>
      </c>
    </row>
    <row r="434" spans="1:18" ht="29.85" customHeight="1" x14ac:dyDescent="0.45">
      <c r="A434" s="30">
        <v>36</v>
      </c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 t="str" cm="1">
        <f t="array" ref="N434">Main_Log_Status(Main_Log[[#This Row],[Carrier]],Main_Log[[#This Row],[Net Weight]])</f>
        <v/>
      </c>
      <c r="O434" s="30"/>
      <c r="P43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34" s="30"/>
      <c r="R434" s="30" t="str" cm="1">
        <f t="array" ref="R434">Main_Log_Ref(Main_Log[[#This Row],[Carrier]])</f>
        <v/>
      </c>
    </row>
    <row r="435" spans="1:18" ht="29.85" customHeight="1" x14ac:dyDescent="0.45">
      <c r="A435" s="30">
        <v>37</v>
      </c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 t="str" cm="1">
        <f t="array" ref="N435">Main_Log_Status(Main_Log[[#This Row],[Carrier]],Main_Log[[#This Row],[Net Weight]])</f>
        <v/>
      </c>
      <c r="O435" s="30"/>
      <c r="P43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35" s="30"/>
      <c r="R435" s="30" t="str" cm="1">
        <f t="array" ref="R435">Main_Log_Ref(Main_Log[[#This Row],[Carrier]])</f>
        <v/>
      </c>
    </row>
    <row r="436" spans="1:18" ht="29.85" customHeight="1" x14ac:dyDescent="0.45">
      <c r="A436" s="30">
        <v>38</v>
      </c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 t="str" cm="1">
        <f t="array" ref="N436">Main_Log_Status(Main_Log[[#This Row],[Carrier]],Main_Log[[#This Row],[Net Weight]])</f>
        <v/>
      </c>
      <c r="O436" s="30"/>
      <c r="P43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36" s="30"/>
      <c r="R436" s="30" t="str" cm="1">
        <f t="array" ref="R436">Main_Log_Ref(Main_Log[[#This Row],[Carrier]])</f>
        <v/>
      </c>
    </row>
    <row r="437" spans="1:18" ht="29.85" customHeight="1" x14ac:dyDescent="0.45">
      <c r="A437" s="30">
        <v>39</v>
      </c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 t="str" cm="1">
        <f t="array" ref="N437">Main_Log_Status(Main_Log[[#This Row],[Carrier]],Main_Log[[#This Row],[Net Weight]])</f>
        <v/>
      </c>
      <c r="O437" s="30"/>
      <c r="P43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37" s="30"/>
      <c r="R437" s="30" t="str" cm="1">
        <f t="array" ref="R437">Main_Log_Ref(Main_Log[[#This Row],[Carrier]])</f>
        <v/>
      </c>
    </row>
    <row r="438" spans="1:18" ht="29.85" customHeight="1" x14ac:dyDescent="0.45">
      <c r="A438" s="30">
        <v>40</v>
      </c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 t="str" cm="1">
        <f t="array" ref="N438">Main_Log_Status(Main_Log[[#This Row],[Carrier]],Main_Log[[#This Row],[Net Weight]])</f>
        <v/>
      </c>
      <c r="O438" s="30"/>
      <c r="P43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38" s="30"/>
      <c r="R438" s="30" t="str" cm="1">
        <f t="array" ref="R438">Main_Log_Ref(Main_Log[[#This Row],[Carrier]])</f>
        <v/>
      </c>
    </row>
    <row r="439" spans="1:18" ht="29.85" customHeight="1" x14ac:dyDescent="0.45">
      <c r="A439" s="30">
        <v>41</v>
      </c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 t="str" cm="1">
        <f t="array" ref="N439">Main_Log_Status(Main_Log[[#This Row],[Carrier]],Main_Log[[#This Row],[Net Weight]])</f>
        <v/>
      </c>
      <c r="O439" s="30"/>
      <c r="P43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39" s="30"/>
      <c r="R439" s="30" t="str" cm="1">
        <f t="array" ref="R439">Main_Log_Ref(Main_Log[[#This Row],[Carrier]])</f>
        <v/>
      </c>
    </row>
    <row r="440" spans="1:18" ht="29.85" customHeight="1" x14ac:dyDescent="0.45">
      <c r="A440" s="30">
        <v>42</v>
      </c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 t="str" cm="1">
        <f t="array" ref="N440">Main_Log_Status(Main_Log[[#This Row],[Carrier]],Main_Log[[#This Row],[Net Weight]])</f>
        <v/>
      </c>
      <c r="O440" s="30"/>
      <c r="P44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40" s="30"/>
      <c r="R440" s="30" t="str" cm="1">
        <f t="array" ref="R440">Main_Log_Ref(Main_Log[[#This Row],[Carrier]])</f>
        <v/>
      </c>
    </row>
    <row r="441" spans="1:18" ht="29.85" customHeight="1" x14ac:dyDescent="0.45">
      <c r="A441" s="30">
        <v>43</v>
      </c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 t="str" cm="1">
        <f t="array" ref="N441">Main_Log_Status(Main_Log[[#This Row],[Carrier]],Main_Log[[#This Row],[Net Weight]])</f>
        <v/>
      </c>
      <c r="O441" s="30"/>
      <c r="P44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41" s="30"/>
      <c r="R441" s="30" t="str" cm="1">
        <f t="array" ref="R441">Main_Log_Ref(Main_Log[[#This Row],[Carrier]])</f>
        <v/>
      </c>
    </row>
    <row r="442" spans="1:18" ht="29.85" customHeight="1" x14ac:dyDescent="0.45">
      <c r="A442" s="30">
        <v>44</v>
      </c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 t="str" cm="1">
        <f t="array" ref="N442">Main_Log_Status(Main_Log[[#This Row],[Carrier]],Main_Log[[#This Row],[Net Weight]])</f>
        <v/>
      </c>
      <c r="O442" s="30"/>
      <c r="P44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42" s="30"/>
      <c r="R442" s="30" t="str" cm="1">
        <f t="array" ref="R442">Main_Log_Ref(Main_Log[[#This Row],[Carrier]])</f>
        <v/>
      </c>
    </row>
    <row r="443" spans="1:18" ht="29.85" customHeight="1" x14ac:dyDescent="0.45">
      <c r="A443" s="30">
        <v>45</v>
      </c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 t="str" cm="1">
        <f t="array" ref="N443">Main_Log_Status(Main_Log[[#This Row],[Carrier]],Main_Log[[#This Row],[Net Weight]])</f>
        <v/>
      </c>
      <c r="O443" s="30"/>
      <c r="P44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43" s="30"/>
      <c r="R443" s="30" t="str" cm="1">
        <f t="array" ref="R443">Main_Log_Ref(Main_Log[[#This Row],[Carrier]])</f>
        <v/>
      </c>
    </row>
    <row r="444" spans="1:18" ht="29.85" customHeight="1" x14ac:dyDescent="0.45">
      <c r="A444" s="30">
        <v>46</v>
      </c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 t="str" cm="1">
        <f t="array" ref="N444">Main_Log_Status(Main_Log[[#This Row],[Carrier]],Main_Log[[#This Row],[Net Weight]])</f>
        <v/>
      </c>
      <c r="O444" s="30"/>
      <c r="P44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44" s="30"/>
      <c r="R444" s="30" t="str" cm="1">
        <f t="array" ref="R444">Main_Log_Ref(Main_Log[[#This Row],[Carrier]])</f>
        <v/>
      </c>
    </row>
    <row r="445" spans="1:18" ht="29.85" customHeight="1" x14ac:dyDescent="0.45">
      <c r="A445" s="30">
        <v>47</v>
      </c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 t="str" cm="1">
        <f t="array" ref="N445">Main_Log_Status(Main_Log[[#This Row],[Carrier]],Main_Log[[#This Row],[Net Weight]])</f>
        <v/>
      </c>
      <c r="O445" s="30"/>
      <c r="P44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45" s="30"/>
      <c r="R445" s="30" t="str" cm="1">
        <f t="array" ref="R445">Main_Log_Ref(Main_Log[[#This Row],[Carrier]])</f>
        <v/>
      </c>
    </row>
    <row r="446" spans="1:18" ht="29.85" customHeight="1" x14ac:dyDescent="0.45">
      <c r="A446" s="30">
        <v>48</v>
      </c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 t="str" cm="1">
        <f t="array" ref="N446">Main_Log_Status(Main_Log[[#This Row],[Carrier]],Main_Log[[#This Row],[Net Weight]])</f>
        <v/>
      </c>
      <c r="O446" s="30"/>
      <c r="P44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46" s="30"/>
      <c r="R446" s="30" t="str" cm="1">
        <f t="array" ref="R446">Main_Log_Ref(Main_Log[[#This Row],[Carrier]])</f>
        <v/>
      </c>
    </row>
    <row r="447" spans="1:18" ht="29.85" customHeight="1" x14ac:dyDescent="0.45">
      <c r="A447" s="30">
        <v>49</v>
      </c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 t="str" cm="1">
        <f t="array" ref="N447">Main_Log_Status(Main_Log[[#This Row],[Carrier]],Main_Log[[#This Row],[Net Weight]])</f>
        <v/>
      </c>
      <c r="O447" s="30"/>
      <c r="P44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47" s="30"/>
      <c r="R447" s="30" t="str" cm="1">
        <f t="array" ref="R447">Main_Log_Ref(Main_Log[[#This Row],[Carrier]])</f>
        <v/>
      </c>
    </row>
    <row r="448" spans="1:18" ht="29.85" customHeight="1" x14ac:dyDescent="0.45">
      <c r="A448" s="30">
        <v>50</v>
      </c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 t="str" cm="1">
        <f t="array" ref="N448">Main_Log_Status(Main_Log[[#This Row],[Carrier]],Main_Log[[#This Row],[Net Weight]])</f>
        <v/>
      </c>
      <c r="O448" s="30"/>
      <c r="P44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48" s="30"/>
      <c r="R448" s="30" t="str" cm="1">
        <f t="array" ref="R448">Main_Log_Ref(Main_Log[[#This Row],[Carrier]])</f>
        <v/>
      </c>
    </row>
    <row r="449" spans="1:18" ht="29.85" customHeight="1" x14ac:dyDescent="0.45">
      <c r="A449" s="30">
        <v>51</v>
      </c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 t="str" cm="1">
        <f t="array" ref="N449">Main_Log_Status(Main_Log[[#This Row],[Carrier]],Main_Log[[#This Row],[Net Weight]])</f>
        <v/>
      </c>
      <c r="O449" s="30"/>
      <c r="P44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49" s="30"/>
      <c r="R449" s="30" t="str" cm="1">
        <f t="array" ref="R449">Main_Log_Ref(Main_Log[[#This Row],[Carrier]])</f>
        <v/>
      </c>
    </row>
    <row r="450" spans="1:18" ht="29.85" customHeight="1" x14ac:dyDescent="0.45">
      <c r="A450" s="30">
        <v>52</v>
      </c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 t="str" cm="1">
        <f t="array" ref="N450">Main_Log_Status(Main_Log[[#This Row],[Carrier]],Main_Log[[#This Row],[Net Weight]])</f>
        <v/>
      </c>
      <c r="O450" s="30"/>
      <c r="P45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50" s="30"/>
      <c r="R450" s="30" t="str" cm="1">
        <f t="array" ref="R450">Main_Log_Ref(Main_Log[[#This Row],[Carrier]])</f>
        <v/>
      </c>
    </row>
    <row r="451" spans="1:18" ht="29.85" customHeight="1" x14ac:dyDescent="0.45">
      <c r="A451" s="30">
        <v>53</v>
      </c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 t="str" cm="1">
        <f t="array" ref="N451">Main_Log_Status(Main_Log[[#This Row],[Carrier]],Main_Log[[#This Row],[Net Weight]])</f>
        <v/>
      </c>
      <c r="O451" s="30"/>
      <c r="P45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51" s="30"/>
      <c r="R451" s="30" t="str" cm="1">
        <f t="array" ref="R451">Main_Log_Ref(Main_Log[[#This Row],[Carrier]])</f>
        <v/>
      </c>
    </row>
    <row r="452" spans="1:18" ht="29.85" customHeight="1" x14ac:dyDescent="0.45">
      <c r="A452" s="30">
        <v>54</v>
      </c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 t="str" cm="1">
        <f t="array" ref="N452">Main_Log_Status(Main_Log[[#This Row],[Carrier]],Main_Log[[#This Row],[Net Weight]])</f>
        <v/>
      </c>
      <c r="O452" s="30"/>
      <c r="P45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52" s="30"/>
      <c r="R452" s="30" t="str" cm="1">
        <f t="array" ref="R452">Main_Log_Ref(Main_Log[[#This Row],[Carrier]])</f>
        <v/>
      </c>
    </row>
    <row r="453" spans="1:18" ht="29.85" customHeight="1" x14ac:dyDescent="0.45">
      <c r="A453" s="30">
        <v>55</v>
      </c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 t="str" cm="1">
        <f t="array" ref="N453">Main_Log_Status(Main_Log[[#This Row],[Carrier]],Main_Log[[#This Row],[Net Weight]])</f>
        <v/>
      </c>
      <c r="O453" s="30"/>
      <c r="P45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53" s="30"/>
      <c r="R453" s="30" t="str" cm="1">
        <f t="array" ref="R453">Main_Log_Ref(Main_Log[[#This Row],[Carrier]])</f>
        <v/>
      </c>
    </row>
    <row r="454" spans="1:18" ht="29.85" customHeight="1" x14ac:dyDescent="0.45">
      <c r="A454" s="30">
        <v>56</v>
      </c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 t="str" cm="1">
        <f t="array" ref="N454">Main_Log_Status(Main_Log[[#This Row],[Carrier]],Main_Log[[#This Row],[Net Weight]])</f>
        <v/>
      </c>
      <c r="O454" s="30"/>
      <c r="P45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54" s="30"/>
      <c r="R454" s="30" t="str" cm="1">
        <f t="array" ref="R454">Main_Log_Ref(Main_Log[[#This Row],[Carrier]])</f>
        <v/>
      </c>
    </row>
    <row r="455" spans="1:18" ht="29.85" customHeight="1" x14ac:dyDescent="0.45">
      <c r="A455" s="30">
        <v>57</v>
      </c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 t="str" cm="1">
        <f t="array" ref="N455">Main_Log_Status(Main_Log[[#This Row],[Carrier]],Main_Log[[#This Row],[Net Weight]])</f>
        <v/>
      </c>
      <c r="O455" s="30"/>
      <c r="P45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55" s="30"/>
      <c r="R455" s="30" t="str" cm="1">
        <f t="array" ref="R455">Main_Log_Ref(Main_Log[[#This Row],[Carrier]])</f>
        <v/>
      </c>
    </row>
    <row r="456" spans="1:18" ht="29.85" customHeight="1" x14ac:dyDescent="0.45">
      <c r="A456" s="30">
        <v>58</v>
      </c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 t="str" cm="1">
        <f t="array" ref="N456">Main_Log_Status(Main_Log[[#This Row],[Carrier]],Main_Log[[#This Row],[Net Weight]])</f>
        <v/>
      </c>
      <c r="O456" s="30"/>
      <c r="P45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56" s="30"/>
      <c r="R456" s="30" t="str" cm="1">
        <f t="array" ref="R456">Main_Log_Ref(Main_Log[[#This Row],[Carrier]])</f>
        <v/>
      </c>
    </row>
    <row r="457" spans="1:18" ht="29.85" customHeight="1" x14ac:dyDescent="0.45">
      <c r="A457" s="30">
        <v>59</v>
      </c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 t="str" cm="1">
        <f t="array" ref="N457">Main_Log_Status(Main_Log[[#This Row],[Carrier]],Main_Log[[#This Row],[Net Weight]])</f>
        <v/>
      </c>
      <c r="O457" s="30"/>
      <c r="P45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57" s="30"/>
      <c r="R457" s="30" t="str" cm="1">
        <f t="array" ref="R457">Main_Log_Ref(Main_Log[[#This Row],[Carrier]])</f>
        <v/>
      </c>
    </row>
    <row r="458" spans="1:18" ht="29.85" customHeight="1" x14ac:dyDescent="0.45">
      <c r="A458" s="30">
        <v>60</v>
      </c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 t="str" cm="1">
        <f t="array" ref="N458">Main_Log_Status(Main_Log[[#This Row],[Carrier]],Main_Log[[#This Row],[Net Weight]])</f>
        <v/>
      </c>
      <c r="O458" s="30"/>
      <c r="P45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58" s="30"/>
      <c r="R458" s="30" t="str" cm="1">
        <f t="array" ref="R458">Main_Log_Ref(Main_Log[[#This Row],[Carrier]])</f>
        <v/>
      </c>
    </row>
    <row r="459" spans="1:18" ht="29.85" customHeight="1" x14ac:dyDescent="0.45">
      <c r="A459" s="30">
        <v>61</v>
      </c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 t="str" cm="1">
        <f t="array" ref="N459">Main_Log_Status(Main_Log[[#This Row],[Carrier]],Main_Log[[#This Row],[Net Weight]])</f>
        <v/>
      </c>
      <c r="O459" s="30"/>
      <c r="P45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59" s="30"/>
      <c r="R459" s="30" t="str" cm="1">
        <f t="array" ref="R459">Main_Log_Ref(Main_Log[[#This Row],[Carrier]])</f>
        <v/>
      </c>
    </row>
    <row r="460" spans="1:18" ht="29.85" customHeight="1" x14ac:dyDescent="0.45">
      <c r="A460" s="30">
        <v>62</v>
      </c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 t="str" cm="1">
        <f t="array" ref="N460">Main_Log_Status(Main_Log[[#This Row],[Carrier]],Main_Log[[#This Row],[Net Weight]])</f>
        <v/>
      </c>
      <c r="O460" s="30"/>
      <c r="P46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60" s="30"/>
      <c r="R460" s="30" t="str" cm="1">
        <f t="array" ref="R460">Main_Log_Ref(Main_Log[[#This Row],[Carrier]])</f>
        <v/>
      </c>
    </row>
    <row r="461" spans="1:18" ht="29.85" customHeight="1" x14ac:dyDescent="0.45">
      <c r="A461" s="30">
        <v>63</v>
      </c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 t="str" cm="1">
        <f t="array" ref="N461">Main_Log_Status(Main_Log[[#This Row],[Carrier]],Main_Log[[#This Row],[Net Weight]])</f>
        <v/>
      </c>
      <c r="O461" s="30"/>
      <c r="P46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61" s="30"/>
      <c r="R461" s="30" t="str" cm="1">
        <f t="array" ref="R461">Main_Log_Ref(Main_Log[[#This Row],[Carrier]])</f>
        <v/>
      </c>
    </row>
    <row r="462" spans="1:18" ht="29.85" customHeight="1" x14ac:dyDescent="0.45">
      <c r="A462" s="30">
        <v>64</v>
      </c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 t="str" cm="1">
        <f t="array" ref="N462">Main_Log_Status(Main_Log[[#This Row],[Carrier]],Main_Log[[#This Row],[Net Weight]])</f>
        <v/>
      </c>
      <c r="O462" s="30"/>
      <c r="P46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62" s="30"/>
      <c r="R462" s="30" t="str" cm="1">
        <f t="array" ref="R462">Main_Log_Ref(Main_Log[[#This Row],[Carrier]])</f>
        <v/>
      </c>
    </row>
    <row r="463" spans="1:18" ht="29.85" customHeight="1" x14ac:dyDescent="0.45">
      <c r="A463" s="30">
        <v>65</v>
      </c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 t="str" cm="1">
        <f t="array" ref="N463">Main_Log_Status(Main_Log[[#This Row],[Carrier]],Main_Log[[#This Row],[Net Weight]])</f>
        <v/>
      </c>
      <c r="O463" s="30"/>
      <c r="P46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63" s="30"/>
      <c r="R463" s="30" t="str" cm="1">
        <f t="array" ref="R463">Main_Log_Ref(Main_Log[[#This Row],[Carrier]])</f>
        <v/>
      </c>
    </row>
    <row r="464" spans="1:18" ht="29.85" customHeight="1" x14ac:dyDescent="0.45">
      <c r="A464" s="30">
        <v>66</v>
      </c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 t="str" cm="1">
        <f t="array" ref="N464">Main_Log_Status(Main_Log[[#This Row],[Carrier]],Main_Log[[#This Row],[Net Weight]])</f>
        <v/>
      </c>
      <c r="O464" s="30"/>
      <c r="P46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64" s="30"/>
      <c r="R464" s="30" t="str" cm="1">
        <f t="array" ref="R464">Main_Log_Ref(Main_Log[[#This Row],[Carrier]])</f>
        <v/>
      </c>
    </row>
    <row r="465" spans="1:18" ht="29.85" customHeight="1" x14ac:dyDescent="0.45">
      <c r="A465" s="30">
        <v>67</v>
      </c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 t="str" cm="1">
        <f t="array" ref="N465">Main_Log_Status(Main_Log[[#This Row],[Carrier]],Main_Log[[#This Row],[Net Weight]])</f>
        <v/>
      </c>
      <c r="O465" s="30"/>
      <c r="P46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65" s="30"/>
      <c r="R465" s="30" t="str" cm="1">
        <f t="array" ref="R465">Main_Log_Ref(Main_Log[[#This Row],[Carrier]])</f>
        <v/>
      </c>
    </row>
    <row r="466" spans="1:18" ht="29.85" customHeight="1" x14ac:dyDescent="0.45">
      <c r="A466" s="30">
        <v>68</v>
      </c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 t="str" cm="1">
        <f t="array" ref="N466">Main_Log_Status(Main_Log[[#This Row],[Carrier]],Main_Log[[#This Row],[Net Weight]])</f>
        <v/>
      </c>
      <c r="O466" s="30"/>
      <c r="P46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66" s="30"/>
      <c r="R466" s="30" t="str" cm="1">
        <f t="array" ref="R466">Main_Log_Ref(Main_Log[[#This Row],[Carrier]])</f>
        <v/>
      </c>
    </row>
    <row r="467" spans="1:18" ht="29.85" customHeight="1" x14ac:dyDescent="0.45">
      <c r="A467" s="30">
        <v>69</v>
      </c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 t="str" cm="1">
        <f t="array" ref="N467">Main_Log_Status(Main_Log[[#This Row],[Carrier]],Main_Log[[#This Row],[Net Weight]])</f>
        <v/>
      </c>
      <c r="O467" s="30"/>
      <c r="P46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67" s="30"/>
      <c r="R467" s="30" t="str" cm="1">
        <f t="array" ref="R467">Main_Log_Ref(Main_Log[[#This Row],[Carrier]])</f>
        <v/>
      </c>
    </row>
    <row r="468" spans="1:18" ht="29.85" customHeight="1" x14ac:dyDescent="0.45">
      <c r="A468" s="30">
        <v>70</v>
      </c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 t="str" cm="1">
        <f t="array" ref="N468">Main_Log_Status(Main_Log[[#This Row],[Carrier]],Main_Log[[#This Row],[Net Weight]])</f>
        <v/>
      </c>
      <c r="O468" s="30"/>
      <c r="P46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68" s="30"/>
      <c r="R468" s="30" t="str" cm="1">
        <f t="array" ref="R468">Main_Log_Ref(Main_Log[[#This Row],[Carrier]])</f>
        <v/>
      </c>
    </row>
    <row r="469" spans="1:18" ht="29.85" customHeight="1" x14ac:dyDescent="0.45">
      <c r="A469" s="30">
        <v>71</v>
      </c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 t="str" cm="1">
        <f t="array" ref="N469">Main_Log_Status(Main_Log[[#This Row],[Carrier]],Main_Log[[#This Row],[Net Weight]])</f>
        <v/>
      </c>
      <c r="O469" s="30"/>
      <c r="P46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69" s="30"/>
      <c r="R469" s="30" t="str" cm="1">
        <f t="array" ref="R469">Main_Log_Ref(Main_Log[[#This Row],[Carrier]])</f>
        <v/>
      </c>
    </row>
    <row r="470" spans="1:18" ht="29.85" customHeight="1" x14ac:dyDescent="0.45">
      <c r="A470" s="30">
        <v>72</v>
      </c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 t="str" cm="1">
        <f t="array" ref="N470">Main_Log_Status(Main_Log[[#This Row],[Carrier]],Main_Log[[#This Row],[Net Weight]])</f>
        <v/>
      </c>
      <c r="O470" s="30"/>
      <c r="P47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70" s="30"/>
      <c r="R470" s="30" t="str" cm="1">
        <f t="array" ref="R470">Main_Log_Ref(Main_Log[[#This Row],[Carrier]])</f>
        <v/>
      </c>
    </row>
    <row r="471" spans="1:18" ht="29.85" customHeight="1" x14ac:dyDescent="0.45">
      <c r="A471" s="30">
        <v>73</v>
      </c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 t="str" cm="1">
        <f t="array" ref="N471">Main_Log_Status(Main_Log[[#This Row],[Carrier]],Main_Log[[#This Row],[Net Weight]])</f>
        <v/>
      </c>
      <c r="O471" s="30"/>
      <c r="P47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71" s="30"/>
      <c r="R471" s="30" t="str" cm="1">
        <f t="array" ref="R471">Main_Log_Ref(Main_Log[[#This Row],[Carrier]])</f>
        <v/>
      </c>
    </row>
    <row r="472" spans="1:18" ht="29.85" customHeight="1" x14ac:dyDescent="0.45">
      <c r="A472" s="30">
        <v>74</v>
      </c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 t="str" cm="1">
        <f t="array" ref="N472">Main_Log_Status(Main_Log[[#This Row],[Carrier]],Main_Log[[#This Row],[Net Weight]])</f>
        <v/>
      </c>
      <c r="O472" s="30"/>
      <c r="P47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72" s="30"/>
      <c r="R472" s="30" t="str" cm="1">
        <f t="array" ref="R472">Main_Log_Ref(Main_Log[[#This Row],[Carrier]])</f>
        <v/>
      </c>
    </row>
    <row r="473" spans="1:18" ht="29.85" customHeight="1" x14ac:dyDescent="0.45">
      <c r="A473" s="30">
        <v>75</v>
      </c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 t="str" cm="1">
        <f t="array" ref="N473">Main_Log_Status(Main_Log[[#This Row],[Carrier]],Main_Log[[#This Row],[Net Weight]])</f>
        <v/>
      </c>
      <c r="O473" s="30"/>
      <c r="P47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73" s="30"/>
      <c r="R473" s="30" t="str" cm="1">
        <f t="array" ref="R473">Main_Log_Ref(Main_Log[[#This Row],[Carrier]])</f>
        <v/>
      </c>
    </row>
    <row r="474" spans="1:18" ht="29.85" customHeight="1" x14ac:dyDescent="0.45">
      <c r="A474" s="30">
        <v>76</v>
      </c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 t="str" cm="1">
        <f t="array" ref="N474">Main_Log_Status(Main_Log[[#This Row],[Carrier]],Main_Log[[#This Row],[Net Weight]])</f>
        <v/>
      </c>
      <c r="O474" s="30"/>
      <c r="P47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74" s="30"/>
      <c r="R474" s="30" t="str" cm="1">
        <f t="array" ref="R474">Main_Log_Ref(Main_Log[[#This Row],[Carrier]])</f>
        <v/>
      </c>
    </row>
    <row r="475" spans="1:18" ht="29.85" customHeight="1" x14ac:dyDescent="0.45">
      <c r="A475" s="30">
        <v>77</v>
      </c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 t="str" cm="1">
        <f t="array" ref="N475">Main_Log_Status(Main_Log[[#This Row],[Carrier]],Main_Log[[#This Row],[Net Weight]])</f>
        <v/>
      </c>
      <c r="O475" s="30"/>
      <c r="P47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75" s="30"/>
      <c r="R475" s="30" t="str" cm="1">
        <f t="array" ref="R475">Main_Log_Ref(Main_Log[[#This Row],[Carrier]])</f>
        <v/>
      </c>
    </row>
    <row r="476" spans="1:18" ht="29.85" customHeight="1" x14ac:dyDescent="0.45">
      <c r="A476" s="30">
        <v>78</v>
      </c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 t="str" cm="1">
        <f t="array" ref="N476">Main_Log_Status(Main_Log[[#This Row],[Carrier]],Main_Log[[#This Row],[Net Weight]])</f>
        <v/>
      </c>
      <c r="O476" s="30"/>
      <c r="P47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76" s="30"/>
      <c r="R476" s="30" t="str" cm="1">
        <f t="array" ref="R476">Main_Log_Ref(Main_Log[[#This Row],[Carrier]])</f>
        <v/>
      </c>
    </row>
    <row r="477" spans="1:18" ht="29.85" customHeight="1" x14ac:dyDescent="0.45">
      <c r="A477" s="30">
        <v>79</v>
      </c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 t="str" cm="1">
        <f t="array" ref="N477">Main_Log_Status(Main_Log[[#This Row],[Carrier]],Main_Log[[#This Row],[Net Weight]])</f>
        <v/>
      </c>
      <c r="O477" s="30"/>
      <c r="P47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77" s="30"/>
      <c r="R477" s="30" t="str" cm="1">
        <f t="array" ref="R477">Main_Log_Ref(Main_Log[[#This Row],[Carrier]])</f>
        <v/>
      </c>
    </row>
    <row r="478" spans="1:18" ht="29.85" customHeight="1" x14ac:dyDescent="0.45">
      <c r="A478" s="30">
        <v>80</v>
      </c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 t="str" cm="1">
        <f t="array" ref="N478">Main_Log_Status(Main_Log[[#This Row],[Carrier]],Main_Log[[#This Row],[Net Weight]])</f>
        <v/>
      </c>
      <c r="O478" s="30"/>
      <c r="P47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78" s="30"/>
      <c r="R478" s="30" t="str" cm="1">
        <f t="array" ref="R478">Main_Log_Ref(Main_Log[[#This Row],[Carrier]])</f>
        <v/>
      </c>
    </row>
    <row r="479" spans="1:18" ht="29.85" customHeight="1" x14ac:dyDescent="0.45">
      <c r="A479" s="30">
        <v>81</v>
      </c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 t="str" cm="1">
        <f t="array" ref="N479">Main_Log_Status(Main_Log[[#This Row],[Carrier]],Main_Log[[#This Row],[Net Weight]])</f>
        <v/>
      </c>
      <c r="O479" s="30"/>
      <c r="P47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79" s="30"/>
      <c r="R479" s="30" t="str" cm="1">
        <f t="array" ref="R479">Main_Log_Ref(Main_Log[[#This Row],[Carrier]])</f>
        <v/>
      </c>
    </row>
    <row r="480" spans="1:18" ht="29.85" customHeight="1" x14ac:dyDescent="0.45">
      <c r="A480" s="30">
        <v>82</v>
      </c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 t="str" cm="1">
        <f t="array" ref="N480">Main_Log_Status(Main_Log[[#This Row],[Carrier]],Main_Log[[#This Row],[Net Weight]])</f>
        <v/>
      </c>
      <c r="O480" s="30"/>
      <c r="P48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80" s="30"/>
      <c r="R480" s="30" t="str" cm="1">
        <f t="array" ref="R480">Main_Log_Ref(Main_Log[[#This Row],[Carrier]])</f>
        <v/>
      </c>
    </row>
    <row r="481" spans="1:18" ht="29.85" customHeight="1" x14ac:dyDescent="0.45">
      <c r="A481" s="30">
        <v>83</v>
      </c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 t="str" cm="1">
        <f t="array" ref="N481">Main_Log_Status(Main_Log[[#This Row],[Carrier]],Main_Log[[#This Row],[Net Weight]])</f>
        <v/>
      </c>
      <c r="O481" s="30"/>
      <c r="P48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81" s="30"/>
      <c r="R481" s="30" t="str" cm="1">
        <f t="array" ref="R481">Main_Log_Ref(Main_Log[[#This Row],[Carrier]])</f>
        <v/>
      </c>
    </row>
    <row r="482" spans="1:18" ht="29.85" customHeight="1" x14ac:dyDescent="0.45">
      <c r="A482" s="30">
        <v>84</v>
      </c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 t="str" cm="1">
        <f t="array" ref="N482">Main_Log_Status(Main_Log[[#This Row],[Carrier]],Main_Log[[#This Row],[Net Weight]])</f>
        <v/>
      </c>
      <c r="O482" s="30"/>
      <c r="P48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82" s="30"/>
      <c r="R482" s="30" t="str" cm="1">
        <f t="array" ref="R482">Main_Log_Ref(Main_Log[[#This Row],[Carrier]])</f>
        <v/>
      </c>
    </row>
    <row r="483" spans="1:18" ht="29.85" customHeight="1" x14ac:dyDescent="0.45">
      <c r="A483" s="30">
        <v>85</v>
      </c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 t="str" cm="1">
        <f t="array" ref="N483">Main_Log_Status(Main_Log[[#This Row],[Carrier]],Main_Log[[#This Row],[Net Weight]])</f>
        <v/>
      </c>
      <c r="O483" s="30"/>
      <c r="P48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83" s="30"/>
      <c r="R483" s="30" t="str" cm="1">
        <f t="array" ref="R483">Main_Log_Ref(Main_Log[[#This Row],[Carrier]])</f>
        <v/>
      </c>
    </row>
    <row r="484" spans="1:18" ht="29.85" customHeight="1" x14ac:dyDescent="0.45">
      <c r="A484" s="30">
        <v>86</v>
      </c>
      <c r="B484" s="30"/>
      <c r="C484" s="30"/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 t="str" cm="1">
        <f t="array" ref="N484">Main_Log_Status(Main_Log[[#This Row],[Carrier]],Main_Log[[#This Row],[Net Weight]])</f>
        <v/>
      </c>
      <c r="O484" s="30"/>
      <c r="P48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84" s="30"/>
      <c r="R484" s="30" t="str" cm="1">
        <f t="array" ref="R484">Main_Log_Ref(Main_Log[[#This Row],[Carrier]])</f>
        <v/>
      </c>
    </row>
    <row r="485" spans="1:18" ht="29.85" customHeight="1" x14ac:dyDescent="0.45">
      <c r="A485" s="30">
        <v>87</v>
      </c>
      <c r="B485" s="30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 t="str" cm="1">
        <f t="array" ref="N485">Main_Log_Status(Main_Log[[#This Row],[Carrier]],Main_Log[[#This Row],[Net Weight]])</f>
        <v/>
      </c>
      <c r="O485" s="30"/>
      <c r="P48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85" s="30"/>
      <c r="R485" s="30" t="str" cm="1">
        <f t="array" ref="R485">Main_Log_Ref(Main_Log[[#This Row],[Carrier]])</f>
        <v/>
      </c>
    </row>
    <row r="486" spans="1:18" ht="29.85" customHeight="1" x14ac:dyDescent="0.45">
      <c r="A486" s="30">
        <v>88</v>
      </c>
      <c r="B486" s="30"/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 t="str" cm="1">
        <f t="array" ref="N486">Main_Log_Status(Main_Log[[#This Row],[Carrier]],Main_Log[[#This Row],[Net Weight]])</f>
        <v/>
      </c>
      <c r="O486" s="30"/>
      <c r="P48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86" s="30"/>
      <c r="R486" s="30" t="str" cm="1">
        <f t="array" ref="R486">Main_Log_Ref(Main_Log[[#This Row],[Carrier]])</f>
        <v/>
      </c>
    </row>
    <row r="487" spans="1:18" ht="29.85" customHeight="1" x14ac:dyDescent="0.45">
      <c r="A487" s="30">
        <v>89</v>
      </c>
      <c r="B487" s="30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 t="str" cm="1">
        <f t="array" ref="N487">Main_Log_Status(Main_Log[[#This Row],[Carrier]],Main_Log[[#This Row],[Net Weight]])</f>
        <v/>
      </c>
      <c r="O487" s="30"/>
      <c r="P48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87" s="30"/>
      <c r="R487" s="30" t="str" cm="1">
        <f t="array" ref="R487">Main_Log_Ref(Main_Log[[#This Row],[Carrier]])</f>
        <v/>
      </c>
    </row>
    <row r="488" spans="1:18" ht="29.85" customHeight="1" x14ac:dyDescent="0.45">
      <c r="A488" s="30">
        <v>90</v>
      </c>
      <c r="B488" s="30"/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 t="str" cm="1">
        <f t="array" ref="N488">Main_Log_Status(Main_Log[[#This Row],[Carrier]],Main_Log[[#This Row],[Net Weight]])</f>
        <v/>
      </c>
      <c r="O488" s="30"/>
      <c r="P48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88" s="30"/>
      <c r="R488" s="30" t="str" cm="1">
        <f t="array" ref="R488">Main_Log_Ref(Main_Log[[#This Row],[Carrier]])</f>
        <v/>
      </c>
    </row>
    <row r="489" spans="1:18" ht="29.85" customHeight="1" x14ac:dyDescent="0.45">
      <c r="A489" s="30">
        <v>91</v>
      </c>
      <c r="B489" s="30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 t="str" cm="1">
        <f t="array" ref="N489">Main_Log_Status(Main_Log[[#This Row],[Carrier]],Main_Log[[#This Row],[Net Weight]])</f>
        <v/>
      </c>
      <c r="O489" s="30"/>
      <c r="P48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89" s="30"/>
      <c r="R489" s="30" t="str" cm="1">
        <f t="array" ref="R489">Main_Log_Ref(Main_Log[[#This Row],[Carrier]])</f>
        <v/>
      </c>
    </row>
    <row r="490" spans="1:18" ht="29.85" customHeight="1" x14ac:dyDescent="0.45">
      <c r="A490" s="30">
        <v>92</v>
      </c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 t="str" cm="1">
        <f t="array" ref="N490">Main_Log_Status(Main_Log[[#This Row],[Carrier]],Main_Log[[#This Row],[Net Weight]])</f>
        <v/>
      </c>
      <c r="O490" s="30"/>
      <c r="P49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90" s="30"/>
      <c r="R490" s="30" t="str" cm="1">
        <f t="array" ref="R490">Main_Log_Ref(Main_Log[[#This Row],[Carrier]])</f>
        <v/>
      </c>
    </row>
    <row r="491" spans="1:18" ht="29.85" customHeight="1" x14ac:dyDescent="0.45">
      <c r="A491" s="30">
        <v>93</v>
      </c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 t="str" cm="1">
        <f t="array" ref="N491">Main_Log_Status(Main_Log[[#This Row],[Carrier]],Main_Log[[#This Row],[Net Weight]])</f>
        <v/>
      </c>
      <c r="O491" s="30"/>
      <c r="P49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91" s="30"/>
      <c r="R491" s="30" t="str" cm="1">
        <f t="array" ref="R491">Main_Log_Ref(Main_Log[[#This Row],[Carrier]])</f>
        <v/>
      </c>
    </row>
    <row r="492" spans="1:18" ht="29.85" customHeight="1" x14ac:dyDescent="0.45">
      <c r="A492" s="30">
        <v>94</v>
      </c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 t="str" cm="1">
        <f t="array" ref="N492">Main_Log_Status(Main_Log[[#This Row],[Carrier]],Main_Log[[#This Row],[Net Weight]])</f>
        <v/>
      </c>
      <c r="O492" s="30"/>
      <c r="P49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92" s="30"/>
      <c r="R492" s="30" t="str" cm="1">
        <f t="array" ref="R492">Main_Log_Ref(Main_Log[[#This Row],[Carrier]])</f>
        <v/>
      </c>
    </row>
    <row r="493" spans="1:18" ht="29.85" customHeight="1" x14ac:dyDescent="0.45">
      <c r="A493" s="30">
        <v>95</v>
      </c>
      <c r="B493" s="30"/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 t="str" cm="1">
        <f t="array" ref="N493">Main_Log_Status(Main_Log[[#This Row],[Carrier]],Main_Log[[#This Row],[Net Weight]])</f>
        <v/>
      </c>
      <c r="O493" s="30"/>
      <c r="P49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93" s="30"/>
      <c r="R493" s="30" t="str" cm="1">
        <f t="array" ref="R493">Main_Log_Ref(Main_Log[[#This Row],[Carrier]])</f>
        <v/>
      </c>
    </row>
    <row r="494" spans="1:18" ht="29.85" customHeight="1" x14ac:dyDescent="0.45">
      <c r="A494" s="30">
        <v>96</v>
      </c>
      <c r="B494" s="30"/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 t="str" cm="1">
        <f t="array" ref="N494">Main_Log_Status(Main_Log[[#This Row],[Carrier]],Main_Log[[#This Row],[Net Weight]])</f>
        <v/>
      </c>
      <c r="O494" s="30"/>
      <c r="P49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94" s="30"/>
      <c r="R494" s="30" t="str" cm="1">
        <f t="array" ref="R494">Main_Log_Ref(Main_Log[[#This Row],[Carrier]])</f>
        <v/>
      </c>
    </row>
    <row r="495" spans="1:18" ht="29.85" customHeight="1" x14ac:dyDescent="0.45">
      <c r="A495" s="30">
        <v>97</v>
      </c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 t="str" cm="1">
        <f t="array" ref="N495">Main_Log_Status(Main_Log[[#This Row],[Carrier]],Main_Log[[#This Row],[Net Weight]])</f>
        <v/>
      </c>
      <c r="O495" s="30"/>
      <c r="P49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95" s="30"/>
      <c r="R495" s="30" t="str" cm="1">
        <f t="array" ref="R495">Main_Log_Ref(Main_Log[[#This Row],[Carrier]])</f>
        <v/>
      </c>
    </row>
    <row r="496" spans="1:18" ht="29.85" customHeight="1" x14ac:dyDescent="0.45">
      <c r="A496" s="30">
        <v>98</v>
      </c>
      <c r="B496" s="30"/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 t="str" cm="1">
        <f t="array" ref="N496">Main_Log_Status(Main_Log[[#This Row],[Carrier]],Main_Log[[#This Row],[Net Weight]])</f>
        <v/>
      </c>
      <c r="O496" s="30"/>
      <c r="P49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96" s="30"/>
      <c r="R496" s="30" t="str" cm="1">
        <f t="array" ref="R496">Main_Log_Ref(Main_Log[[#This Row],[Carrier]])</f>
        <v/>
      </c>
    </row>
    <row r="497" spans="1:18" ht="29.85" customHeight="1" x14ac:dyDescent="0.45">
      <c r="A497" s="30">
        <v>99</v>
      </c>
      <c r="B497" s="30"/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 t="str" cm="1">
        <f t="array" ref="N497">Main_Log_Status(Main_Log[[#This Row],[Carrier]],Main_Log[[#This Row],[Net Weight]])</f>
        <v/>
      </c>
      <c r="O497" s="30"/>
      <c r="P49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97" s="30"/>
      <c r="R497" s="30" t="str" cm="1">
        <f t="array" ref="R497">Main_Log_Ref(Main_Log[[#This Row],[Carrier]])</f>
        <v/>
      </c>
    </row>
    <row r="498" spans="1:18" ht="29.85" customHeight="1" x14ac:dyDescent="0.45">
      <c r="A498" s="30">
        <v>1</v>
      </c>
      <c r="B498" s="30"/>
      <c r="C498" s="30"/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 t="str" cm="1">
        <f t="array" ref="N498">Main_Log_Status(Main_Log[[#This Row],[Carrier]],Main_Log[[#This Row],[Net Weight]])</f>
        <v/>
      </c>
      <c r="O498" s="30"/>
      <c r="P49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98" s="30"/>
      <c r="R498" s="30" t="str" cm="1">
        <f t="array" ref="R498">Main_Log_Ref(Main_Log[[#This Row],[Carrier]])</f>
        <v/>
      </c>
    </row>
    <row r="499" spans="1:18" ht="29.85" customHeight="1" x14ac:dyDescent="0.45">
      <c r="A499" s="30">
        <v>2</v>
      </c>
      <c r="B499" s="30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 t="str" cm="1">
        <f t="array" ref="N499">Main_Log_Status(Main_Log[[#This Row],[Carrier]],Main_Log[[#This Row],[Net Weight]])</f>
        <v/>
      </c>
      <c r="O499" s="30"/>
      <c r="P49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499" s="30"/>
      <c r="R499" s="30" t="str" cm="1">
        <f t="array" ref="R499">Main_Log_Ref(Main_Log[[#This Row],[Carrier]])</f>
        <v/>
      </c>
    </row>
    <row r="500" spans="1:18" ht="29.85" customHeight="1" x14ac:dyDescent="0.45">
      <c r="A500" s="30">
        <v>3</v>
      </c>
      <c r="B500" s="30"/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 t="str" cm="1">
        <f t="array" ref="N500">Main_Log_Status(Main_Log[[#This Row],[Carrier]],Main_Log[[#This Row],[Net Weight]])</f>
        <v/>
      </c>
      <c r="O500" s="30"/>
      <c r="P50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00" s="30"/>
      <c r="R500" s="30" t="str" cm="1">
        <f t="array" ref="R500">Main_Log_Ref(Main_Log[[#This Row],[Carrier]])</f>
        <v/>
      </c>
    </row>
    <row r="501" spans="1:18" ht="29.85" customHeight="1" x14ac:dyDescent="0.45">
      <c r="A501" s="30">
        <v>4</v>
      </c>
      <c r="B501" s="30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 t="str" cm="1">
        <f t="array" ref="N501">Main_Log_Status(Main_Log[[#This Row],[Carrier]],Main_Log[[#This Row],[Net Weight]])</f>
        <v/>
      </c>
      <c r="O501" s="30"/>
      <c r="P50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01" s="30"/>
      <c r="R501" s="30" t="str" cm="1">
        <f t="array" ref="R501">Main_Log_Ref(Main_Log[[#This Row],[Carrier]])</f>
        <v/>
      </c>
    </row>
    <row r="502" spans="1:18" ht="29.85" customHeight="1" x14ac:dyDescent="0.45">
      <c r="A502" s="30">
        <v>5</v>
      </c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 t="str" cm="1">
        <f t="array" ref="N502">Main_Log_Status(Main_Log[[#This Row],[Carrier]],Main_Log[[#This Row],[Net Weight]])</f>
        <v/>
      </c>
      <c r="O502" s="30"/>
      <c r="P50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02" s="30"/>
      <c r="R502" s="30" t="str" cm="1">
        <f t="array" ref="R502">Main_Log_Ref(Main_Log[[#This Row],[Carrier]])</f>
        <v/>
      </c>
    </row>
    <row r="503" spans="1:18" ht="29.85" customHeight="1" x14ac:dyDescent="0.45">
      <c r="A503" s="30">
        <v>6</v>
      </c>
      <c r="B503" s="30"/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 t="str" cm="1">
        <f t="array" ref="N503">Main_Log_Status(Main_Log[[#This Row],[Carrier]],Main_Log[[#This Row],[Net Weight]])</f>
        <v/>
      </c>
      <c r="O503" s="30"/>
      <c r="P50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03" s="30"/>
      <c r="R503" s="30" t="str" cm="1">
        <f t="array" ref="R503">Main_Log_Ref(Main_Log[[#This Row],[Carrier]])</f>
        <v/>
      </c>
    </row>
    <row r="504" spans="1:18" ht="29.85" customHeight="1" x14ac:dyDescent="0.45">
      <c r="A504" s="30">
        <v>7</v>
      </c>
      <c r="B504" s="30"/>
      <c r="C504" s="30"/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 t="str" cm="1">
        <f t="array" ref="N504">Main_Log_Status(Main_Log[[#This Row],[Carrier]],Main_Log[[#This Row],[Net Weight]])</f>
        <v/>
      </c>
      <c r="O504" s="30"/>
      <c r="P50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04" s="30"/>
      <c r="R504" s="30" t="str" cm="1">
        <f t="array" ref="R504">Main_Log_Ref(Main_Log[[#This Row],[Carrier]])</f>
        <v/>
      </c>
    </row>
    <row r="505" spans="1:18" ht="29.85" customHeight="1" x14ac:dyDescent="0.45">
      <c r="A505" s="30">
        <v>8</v>
      </c>
      <c r="B505" s="30"/>
      <c r="C505" s="30"/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 t="str" cm="1">
        <f t="array" ref="N505">Main_Log_Status(Main_Log[[#This Row],[Carrier]],Main_Log[[#This Row],[Net Weight]])</f>
        <v/>
      </c>
      <c r="O505" s="30"/>
      <c r="P50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05" s="30"/>
      <c r="R505" s="30" t="str" cm="1">
        <f t="array" ref="R505">Main_Log_Ref(Main_Log[[#This Row],[Carrier]])</f>
        <v/>
      </c>
    </row>
    <row r="506" spans="1:18" ht="29.85" customHeight="1" x14ac:dyDescent="0.45">
      <c r="A506" s="30">
        <v>9</v>
      </c>
      <c r="B506" s="30"/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 t="str" cm="1">
        <f t="array" ref="N506">Main_Log_Status(Main_Log[[#This Row],[Carrier]],Main_Log[[#This Row],[Net Weight]])</f>
        <v/>
      </c>
      <c r="O506" s="30"/>
      <c r="P50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06" s="30"/>
      <c r="R506" s="30" t="str" cm="1">
        <f t="array" ref="R506">Main_Log_Ref(Main_Log[[#This Row],[Carrier]])</f>
        <v/>
      </c>
    </row>
    <row r="507" spans="1:18" ht="29.85" customHeight="1" x14ac:dyDescent="0.45">
      <c r="A507" s="30">
        <v>10</v>
      </c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 t="str" cm="1">
        <f t="array" ref="N507">Main_Log_Status(Main_Log[[#This Row],[Carrier]],Main_Log[[#This Row],[Net Weight]])</f>
        <v/>
      </c>
      <c r="O507" s="30"/>
      <c r="P50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07" s="30"/>
      <c r="R507" s="30" t="str" cm="1">
        <f t="array" ref="R507">Main_Log_Ref(Main_Log[[#This Row],[Carrier]])</f>
        <v/>
      </c>
    </row>
    <row r="508" spans="1:18" ht="29.85" customHeight="1" x14ac:dyDescent="0.45">
      <c r="A508" s="30">
        <v>11</v>
      </c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 t="str" cm="1">
        <f t="array" ref="N508">Main_Log_Status(Main_Log[[#This Row],[Carrier]],Main_Log[[#This Row],[Net Weight]])</f>
        <v/>
      </c>
      <c r="O508" s="30"/>
      <c r="P50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08" s="30"/>
      <c r="R508" s="30" t="str" cm="1">
        <f t="array" ref="R508">Main_Log_Ref(Main_Log[[#This Row],[Carrier]])</f>
        <v/>
      </c>
    </row>
    <row r="509" spans="1:18" ht="29.85" customHeight="1" x14ac:dyDescent="0.45">
      <c r="A509" s="30">
        <v>12</v>
      </c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 t="str" cm="1">
        <f t="array" ref="N509">Main_Log_Status(Main_Log[[#This Row],[Carrier]],Main_Log[[#This Row],[Net Weight]])</f>
        <v/>
      </c>
      <c r="O509" s="30"/>
      <c r="P50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09" s="30"/>
      <c r="R509" s="30" t="str" cm="1">
        <f t="array" ref="R509">Main_Log_Ref(Main_Log[[#This Row],[Carrier]])</f>
        <v/>
      </c>
    </row>
    <row r="510" spans="1:18" ht="29.85" customHeight="1" x14ac:dyDescent="0.45">
      <c r="A510" s="30">
        <v>13</v>
      </c>
      <c r="B510" s="30"/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 t="str" cm="1">
        <f t="array" ref="N510">Main_Log_Status(Main_Log[[#This Row],[Carrier]],Main_Log[[#This Row],[Net Weight]])</f>
        <v/>
      </c>
      <c r="O510" s="30"/>
      <c r="P51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10" s="30"/>
      <c r="R510" s="30" t="str" cm="1">
        <f t="array" ref="R510">Main_Log_Ref(Main_Log[[#This Row],[Carrier]])</f>
        <v/>
      </c>
    </row>
    <row r="511" spans="1:18" ht="29.85" customHeight="1" x14ac:dyDescent="0.45">
      <c r="A511" s="30">
        <v>14</v>
      </c>
      <c r="B511" s="30"/>
      <c r="C511" s="30"/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 t="str" cm="1">
        <f t="array" ref="N511">Main_Log_Status(Main_Log[[#This Row],[Carrier]],Main_Log[[#This Row],[Net Weight]])</f>
        <v/>
      </c>
      <c r="O511" s="30"/>
      <c r="P51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11" s="30"/>
      <c r="R511" s="30" t="str" cm="1">
        <f t="array" ref="R511">Main_Log_Ref(Main_Log[[#This Row],[Carrier]])</f>
        <v/>
      </c>
    </row>
    <row r="512" spans="1:18" ht="29.85" customHeight="1" x14ac:dyDescent="0.45">
      <c r="A512" s="30">
        <v>15</v>
      </c>
      <c r="B512" s="30"/>
      <c r="C512" s="30"/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 t="str" cm="1">
        <f t="array" ref="N512">Main_Log_Status(Main_Log[[#This Row],[Carrier]],Main_Log[[#This Row],[Net Weight]])</f>
        <v/>
      </c>
      <c r="O512" s="30"/>
      <c r="P51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12" s="30"/>
      <c r="R512" s="30" t="str" cm="1">
        <f t="array" ref="R512">Main_Log_Ref(Main_Log[[#This Row],[Carrier]])</f>
        <v/>
      </c>
    </row>
    <row r="513" spans="1:18" ht="29.85" customHeight="1" x14ac:dyDescent="0.45">
      <c r="A513" s="30">
        <v>16</v>
      </c>
      <c r="B513" s="30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 t="str" cm="1">
        <f t="array" ref="N513">Main_Log_Status(Main_Log[[#This Row],[Carrier]],Main_Log[[#This Row],[Net Weight]])</f>
        <v/>
      </c>
      <c r="O513" s="30"/>
      <c r="P51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13" s="30"/>
      <c r="R513" s="30" t="str" cm="1">
        <f t="array" ref="R513">Main_Log_Ref(Main_Log[[#This Row],[Carrier]])</f>
        <v/>
      </c>
    </row>
    <row r="514" spans="1:18" ht="29.85" customHeight="1" x14ac:dyDescent="0.45">
      <c r="A514" s="30">
        <v>17</v>
      </c>
      <c r="B514" s="30"/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 t="str" cm="1">
        <f t="array" ref="N514">Main_Log_Status(Main_Log[[#This Row],[Carrier]],Main_Log[[#This Row],[Net Weight]])</f>
        <v/>
      </c>
      <c r="O514" s="30"/>
      <c r="P51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14" s="30"/>
      <c r="R514" s="30" t="str" cm="1">
        <f t="array" ref="R514">Main_Log_Ref(Main_Log[[#This Row],[Carrier]])</f>
        <v/>
      </c>
    </row>
    <row r="515" spans="1:18" ht="29.85" customHeight="1" x14ac:dyDescent="0.45">
      <c r="A515" s="30">
        <v>18</v>
      </c>
      <c r="B515" s="30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 t="str" cm="1">
        <f t="array" ref="N515">Main_Log_Status(Main_Log[[#This Row],[Carrier]],Main_Log[[#This Row],[Net Weight]])</f>
        <v/>
      </c>
      <c r="O515" s="30"/>
      <c r="P51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15" s="30"/>
      <c r="R515" s="30" t="str" cm="1">
        <f t="array" ref="R515">Main_Log_Ref(Main_Log[[#This Row],[Carrier]])</f>
        <v/>
      </c>
    </row>
    <row r="516" spans="1:18" ht="29.85" customHeight="1" x14ac:dyDescent="0.45">
      <c r="A516" s="30">
        <v>19</v>
      </c>
      <c r="B516" s="30"/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 t="str" cm="1">
        <f t="array" ref="N516">Main_Log_Status(Main_Log[[#This Row],[Carrier]],Main_Log[[#This Row],[Net Weight]])</f>
        <v/>
      </c>
      <c r="O516" s="30"/>
      <c r="P51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16" s="30"/>
      <c r="R516" s="30" t="str" cm="1">
        <f t="array" ref="R516">Main_Log_Ref(Main_Log[[#This Row],[Carrier]])</f>
        <v/>
      </c>
    </row>
    <row r="517" spans="1:18" ht="29.85" customHeight="1" x14ac:dyDescent="0.45">
      <c r="A517" s="30">
        <v>20</v>
      </c>
      <c r="B517" s="30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 t="str" cm="1">
        <f t="array" ref="N517">Main_Log_Status(Main_Log[[#This Row],[Carrier]],Main_Log[[#This Row],[Net Weight]])</f>
        <v/>
      </c>
      <c r="O517" s="30"/>
      <c r="P51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17" s="30"/>
      <c r="R517" s="30" t="str" cm="1">
        <f t="array" ref="R517">Main_Log_Ref(Main_Log[[#This Row],[Carrier]])</f>
        <v/>
      </c>
    </row>
    <row r="518" spans="1:18" ht="29.85" customHeight="1" x14ac:dyDescent="0.45">
      <c r="A518" s="30">
        <v>21</v>
      </c>
      <c r="B518" s="30"/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 t="str" cm="1">
        <f t="array" ref="N518">Main_Log_Status(Main_Log[[#This Row],[Carrier]],Main_Log[[#This Row],[Net Weight]])</f>
        <v/>
      </c>
      <c r="O518" s="30"/>
      <c r="P51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18" s="30"/>
      <c r="R518" s="30" t="str" cm="1">
        <f t="array" ref="R518">Main_Log_Ref(Main_Log[[#This Row],[Carrier]])</f>
        <v/>
      </c>
    </row>
    <row r="519" spans="1:18" ht="29.85" customHeight="1" x14ac:dyDescent="0.45">
      <c r="A519" s="30">
        <v>22</v>
      </c>
      <c r="B519" s="30"/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 t="str" cm="1">
        <f t="array" ref="N519">Main_Log_Status(Main_Log[[#This Row],[Carrier]],Main_Log[[#This Row],[Net Weight]])</f>
        <v/>
      </c>
      <c r="O519" s="30"/>
      <c r="P51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19" s="30"/>
      <c r="R519" s="30" t="str" cm="1">
        <f t="array" ref="R519">Main_Log_Ref(Main_Log[[#This Row],[Carrier]])</f>
        <v/>
      </c>
    </row>
    <row r="520" spans="1:18" ht="29.85" customHeight="1" x14ac:dyDescent="0.45">
      <c r="A520" s="30">
        <v>23</v>
      </c>
      <c r="B520" s="30"/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 t="str" cm="1">
        <f t="array" ref="N520">Main_Log_Status(Main_Log[[#This Row],[Carrier]],Main_Log[[#This Row],[Net Weight]])</f>
        <v/>
      </c>
      <c r="O520" s="30"/>
      <c r="P52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20" s="30"/>
      <c r="R520" s="30" t="str" cm="1">
        <f t="array" ref="R520">Main_Log_Ref(Main_Log[[#This Row],[Carrier]])</f>
        <v/>
      </c>
    </row>
    <row r="521" spans="1:18" ht="29.85" customHeight="1" x14ac:dyDescent="0.45">
      <c r="A521" s="30">
        <v>24</v>
      </c>
      <c r="B521" s="30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 t="str" cm="1">
        <f t="array" ref="N521">Main_Log_Status(Main_Log[[#This Row],[Carrier]],Main_Log[[#This Row],[Net Weight]])</f>
        <v/>
      </c>
      <c r="O521" s="30"/>
      <c r="P52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21" s="30"/>
      <c r="R521" s="30" t="str" cm="1">
        <f t="array" ref="R521">Main_Log_Ref(Main_Log[[#This Row],[Carrier]])</f>
        <v/>
      </c>
    </row>
    <row r="522" spans="1:18" ht="29.85" customHeight="1" x14ac:dyDescent="0.45">
      <c r="A522" s="30">
        <v>25</v>
      </c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 t="str" cm="1">
        <f t="array" ref="N522">Main_Log_Status(Main_Log[[#This Row],[Carrier]],Main_Log[[#This Row],[Net Weight]])</f>
        <v/>
      </c>
      <c r="O522" s="30"/>
      <c r="P52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22" s="30"/>
      <c r="R522" s="30" t="str" cm="1">
        <f t="array" ref="R522">Main_Log_Ref(Main_Log[[#This Row],[Carrier]])</f>
        <v/>
      </c>
    </row>
    <row r="523" spans="1:18" ht="29.85" customHeight="1" x14ac:dyDescent="0.45">
      <c r="A523" s="30">
        <v>26</v>
      </c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 t="str" cm="1">
        <f t="array" ref="N523">Main_Log_Status(Main_Log[[#This Row],[Carrier]],Main_Log[[#This Row],[Net Weight]])</f>
        <v/>
      </c>
      <c r="O523" s="30"/>
      <c r="P52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23" s="30"/>
      <c r="R523" s="30" t="str" cm="1">
        <f t="array" ref="R523">Main_Log_Ref(Main_Log[[#This Row],[Carrier]])</f>
        <v/>
      </c>
    </row>
    <row r="524" spans="1:18" ht="29.85" customHeight="1" x14ac:dyDescent="0.45">
      <c r="A524" s="30">
        <v>27</v>
      </c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 t="str" cm="1">
        <f t="array" ref="N524">Main_Log_Status(Main_Log[[#This Row],[Carrier]],Main_Log[[#This Row],[Net Weight]])</f>
        <v/>
      </c>
      <c r="O524" s="30"/>
      <c r="P52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24" s="30"/>
      <c r="R524" s="30" t="str" cm="1">
        <f t="array" ref="R524">Main_Log_Ref(Main_Log[[#This Row],[Carrier]])</f>
        <v/>
      </c>
    </row>
    <row r="525" spans="1:18" ht="29.85" customHeight="1" x14ac:dyDescent="0.45">
      <c r="A525" s="30">
        <v>28</v>
      </c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 t="str" cm="1">
        <f t="array" ref="N525">Main_Log_Status(Main_Log[[#This Row],[Carrier]],Main_Log[[#This Row],[Net Weight]])</f>
        <v/>
      </c>
      <c r="O525" s="30"/>
      <c r="P52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25" s="30"/>
      <c r="R525" s="30" t="str" cm="1">
        <f t="array" ref="R525">Main_Log_Ref(Main_Log[[#This Row],[Carrier]])</f>
        <v/>
      </c>
    </row>
    <row r="526" spans="1:18" ht="29.85" customHeight="1" x14ac:dyDescent="0.45">
      <c r="A526" s="30">
        <v>29</v>
      </c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 t="str" cm="1">
        <f t="array" ref="N526">Main_Log_Status(Main_Log[[#This Row],[Carrier]],Main_Log[[#This Row],[Net Weight]])</f>
        <v/>
      </c>
      <c r="O526" s="30"/>
      <c r="P52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26" s="30"/>
      <c r="R526" s="30" t="str" cm="1">
        <f t="array" ref="R526">Main_Log_Ref(Main_Log[[#This Row],[Carrier]])</f>
        <v/>
      </c>
    </row>
    <row r="527" spans="1:18" ht="29.85" customHeight="1" x14ac:dyDescent="0.45">
      <c r="A527" s="30">
        <v>30</v>
      </c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 t="str" cm="1">
        <f t="array" ref="N527">Main_Log_Status(Main_Log[[#This Row],[Carrier]],Main_Log[[#This Row],[Net Weight]])</f>
        <v/>
      </c>
      <c r="O527" s="30"/>
      <c r="P52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27" s="30"/>
      <c r="R527" s="30" t="str" cm="1">
        <f t="array" ref="R527">Main_Log_Ref(Main_Log[[#This Row],[Carrier]])</f>
        <v/>
      </c>
    </row>
    <row r="528" spans="1:18" ht="29.85" customHeight="1" x14ac:dyDescent="0.45">
      <c r="A528" s="30">
        <v>31</v>
      </c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 t="str" cm="1">
        <f t="array" ref="N528">Main_Log_Status(Main_Log[[#This Row],[Carrier]],Main_Log[[#This Row],[Net Weight]])</f>
        <v/>
      </c>
      <c r="O528" s="30"/>
      <c r="P52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28" s="30"/>
      <c r="R528" s="30" t="str" cm="1">
        <f t="array" ref="R528">Main_Log_Ref(Main_Log[[#This Row],[Carrier]])</f>
        <v/>
      </c>
    </row>
    <row r="529" spans="1:18" ht="29.85" customHeight="1" x14ac:dyDescent="0.45">
      <c r="A529" s="30">
        <v>32</v>
      </c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 t="str" cm="1">
        <f t="array" ref="N529">Main_Log_Status(Main_Log[[#This Row],[Carrier]],Main_Log[[#This Row],[Net Weight]])</f>
        <v/>
      </c>
      <c r="O529" s="30"/>
      <c r="P52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29" s="30"/>
      <c r="R529" s="30" t="str" cm="1">
        <f t="array" ref="R529">Main_Log_Ref(Main_Log[[#This Row],[Carrier]])</f>
        <v/>
      </c>
    </row>
    <row r="530" spans="1:18" ht="29.85" customHeight="1" x14ac:dyDescent="0.45">
      <c r="A530" s="30">
        <v>33</v>
      </c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 t="str" cm="1">
        <f t="array" ref="N530">Main_Log_Status(Main_Log[[#This Row],[Carrier]],Main_Log[[#This Row],[Net Weight]])</f>
        <v/>
      </c>
      <c r="O530" s="30"/>
      <c r="P53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30" s="30"/>
      <c r="R530" s="30" t="str" cm="1">
        <f t="array" ref="R530">Main_Log_Ref(Main_Log[[#This Row],[Carrier]])</f>
        <v/>
      </c>
    </row>
    <row r="531" spans="1:18" ht="29.85" customHeight="1" x14ac:dyDescent="0.45">
      <c r="A531" s="30">
        <v>34</v>
      </c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 t="str" cm="1">
        <f t="array" ref="N531">Main_Log_Status(Main_Log[[#This Row],[Carrier]],Main_Log[[#This Row],[Net Weight]])</f>
        <v/>
      </c>
      <c r="O531" s="30"/>
      <c r="P53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31" s="30"/>
      <c r="R531" s="30" t="str" cm="1">
        <f t="array" ref="R531">Main_Log_Ref(Main_Log[[#This Row],[Carrier]])</f>
        <v/>
      </c>
    </row>
    <row r="532" spans="1:18" ht="29.85" customHeight="1" x14ac:dyDescent="0.45">
      <c r="A532" s="30">
        <v>35</v>
      </c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 t="str" cm="1">
        <f t="array" ref="N532">Main_Log_Status(Main_Log[[#This Row],[Carrier]],Main_Log[[#This Row],[Net Weight]])</f>
        <v/>
      </c>
      <c r="O532" s="30"/>
      <c r="P53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32" s="30"/>
      <c r="R532" s="30" t="str" cm="1">
        <f t="array" ref="R532">Main_Log_Ref(Main_Log[[#This Row],[Carrier]])</f>
        <v/>
      </c>
    </row>
    <row r="533" spans="1:18" ht="29.85" customHeight="1" x14ac:dyDescent="0.45">
      <c r="A533" s="30">
        <v>36</v>
      </c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 t="str" cm="1">
        <f t="array" ref="N533">Main_Log_Status(Main_Log[[#This Row],[Carrier]],Main_Log[[#This Row],[Net Weight]])</f>
        <v/>
      </c>
      <c r="O533" s="30"/>
      <c r="P53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33" s="30"/>
      <c r="R533" s="30" t="str" cm="1">
        <f t="array" ref="R533">Main_Log_Ref(Main_Log[[#This Row],[Carrier]])</f>
        <v/>
      </c>
    </row>
    <row r="534" spans="1:18" ht="29.85" customHeight="1" x14ac:dyDescent="0.45">
      <c r="A534" s="30">
        <v>37</v>
      </c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 t="str" cm="1">
        <f t="array" ref="N534">Main_Log_Status(Main_Log[[#This Row],[Carrier]],Main_Log[[#This Row],[Net Weight]])</f>
        <v/>
      </c>
      <c r="O534" s="30"/>
      <c r="P53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34" s="30"/>
      <c r="R534" s="30" t="str" cm="1">
        <f t="array" ref="R534">Main_Log_Ref(Main_Log[[#This Row],[Carrier]])</f>
        <v/>
      </c>
    </row>
    <row r="535" spans="1:18" ht="29.85" customHeight="1" x14ac:dyDescent="0.45">
      <c r="A535" s="30">
        <v>38</v>
      </c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 t="str" cm="1">
        <f t="array" ref="N535">Main_Log_Status(Main_Log[[#This Row],[Carrier]],Main_Log[[#This Row],[Net Weight]])</f>
        <v/>
      </c>
      <c r="O535" s="30"/>
      <c r="P53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35" s="30"/>
      <c r="R535" s="30" t="str" cm="1">
        <f t="array" ref="R535">Main_Log_Ref(Main_Log[[#This Row],[Carrier]])</f>
        <v/>
      </c>
    </row>
    <row r="536" spans="1:18" ht="29.85" customHeight="1" x14ac:dyDescent="0.45">
      <c r="A536" s="30">
        <v>39</v>
      </c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 t="str" cm="1">
        <f t="array" ref="N536">Main_Log_Status(Main_Log[[#This Row],[Carrier]],Main_Log[[#This Row],[Net Weight]])</f>
        <v/>
      </c>
      <c r="O536" s="30"/>
      <c r="P53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36" s="30"/>
      <c r="R536" s="30" t="str" cm="1">
        <f t="array" ref="R536">Main_Log_Ref(Main_Log[[#This Row],[Carrier]])</f>
        <v/>
      </c>
    </row>
    <row r="537" spans="1:18" ht="29.85" customHeight="1" x14ac:dyDescent="0.45">
      <c r="A537" s="30">
        <v>40</v>
      </c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 t="str" cm="1">
        <f t="array" ref="N537">Main_Log_Status(Main_Log[[#This Row],[Carrier]],Main_Log[[#This Row],[Net Weight]])</f>
        <v/>
      </c>
      <c r="O537" s="30"/>
      <c r="P53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37" s="30"/>
      <c r="R537" s="30" t="str" cm="1">
        <f t="array" ref="R537">Main_Log_Ref(Main_Log[[#This Row],[Carrier]])</f>
        <v/>
      </c>
    </row>
    <row r="538" spans="1:18" ht="29.85" customHeight="1" x14ac:dyDescent="0.45">
      <c r="A538" s="30">
        <v>41</v>
      </c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 t="str" cm="1">
        <f t="array" ref="N538">Main_Log_Status(Main_Log[[#This Row],[Carrier]],Main_Log[[#This Row],[Net Weight]])</f>
        <v/>
      </c>
      <c r="O538" s="30"/>
      <c r="P53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38" s="30"/>
      <c r="R538" s="30" t="str" cm="1">
        <f t="array" ref="R538">Main_Log_Ref(Main_Log[[#This Row],[Carrier]])</f>
        <v/>
      </c>
    </row>
    <row r="539" spans="1:18" ht="29.85" customHeight="1" x14ac:dyDescent="0.45">
      <c r="A539" s="30">
        <v>42</v>
      </c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 t="str" cm="1">
        <f t="array" ref="N539">Main_Log_Status(Main_Log[[#This Row],[Carrier]],Main_Log[[#This Row],[Net Weight]])</f>
        <v/>
      </c>
      <c r="O539" s="30"/>
      <c r="P53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39" s="30"/>
      <c r="R539" s="30" t="str" cm="1">
        <f t="array" ref="R539">Main_Log_Ref(Main_Log[[#This Row],[Carrier]])</f>
        <v/>
      </c>
    </row>
    <row r="540" spans="1:18" ht="29.85" customHeight="1" x14ac:dyDescent="0.45">
      <c r="A540" s="30">
        <v>43</v>
      </c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 t="str" cm="1">
        <f t="array" ref="N540">Main_Log_Status(Main_Log[[#This Row],[Carrier]],Main_Log[[#This Row],[Net Weight]])</f>
        <v/>
      </c>
      <c r="O540" s="30"/>
      <c r="P54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40" s="30"/>
      <c r="R540" s="30" t="str" cm="1">
        <f t="array" ref="R540">Main_Log_Ref(Main_Log[[#This Row],[Carrier]])</f>
        <v/>
      </c>
    </row>
    <row r="541" spans="1:18" ht="29.85" customHeight="1" x14ac:dyDescent="0.45">
      <c r="A541" s="30">
        <v>44</v>
      </c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 t="str" cm="1">
        <f t="array" ref="N541">Main_Log_Status(Main_Log[[#This Row],[Carrier]],Main_Log[[#This Row],[Net Weight]])</f>
        <v/>
      </c>
      <c r="O541" s="30"/>
      <c r="P54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41" s="30"/>
      <c r="R541" s="30" t="str" cm="1">
        <f t="array" ref="R541">Main_Log_Ref(Main_Log[[#This Row],[Carrier]])</f>
        <v/>
      </c>
    </row>
    <row r="542" spans="1:18" ht="29.85" customHeight="1" x14ac:dyDescent="0.45">
      <c r="A542" s="30">
        <v>45</v>
      </c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 t="str" cm="1">
        <f t="array" ref="N542">Main_Log_Status(Main_Log[[#This Row],[Carrier]],Main_Log[[#This Row],[Net Weight]])</f>
        <v/>
      </c>
      <c r="O542" s="30"/>
      <c r="P54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42" s="30"/>
      <c r="R542" s="30" t="str" cm="1">
        <f t="array" ref="R542">Main_Log_Ref(Main_Log[[#This Row],[Carrier]])</f>
        <v/>
      </c>
    </row>
    <row r="543" spans="1:18" ht="29.85" customHeight="1" x14ac:dyDescent="0.45">
      <c r="A543" s="30">
        <v>46</v>
      </c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 t="str" cm="1">
        <f t="array" ref="N543">Main_Log_Status(Main_Log[[#This Row],[Carrier]],Main_Log[[#This Row],[Net Weight]])</f>
        <v/>
      </c>
      <c r="O543" s="30"/>
      <c r="P54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43" s="30"/>
      <c r="R543" s="30" t="str" cm="1">
        <f t="array" ref="R543">Main_Log_Ref(Main_Log[[#This Row],[Carrier]])</f>
        <v/>
      </c>
    </row>
    <row r="544" spans="1:18" ht="29.85" customHeight="1" x14ac:dyDescent="0.45">
      <c r="A544" s="30">
        <v>47</v>
      </c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 t="str" cm="1">
        <f t="array" ref="N544">Main_Log_Status(Main_Log[[#This Row],[Carrier]],Main_Log[[#This Row],[Net Weight]])</f>
        <v/>
      </c>
      <c r="O544" s="30"/>
      <c r="P54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44" s="30"/>
      <c r="R544" s="30" t="str" cm="1">
        <f t="array" ref="R544">Main_Log_Ref(Main_Log[[#This Row],[Carrier]])</f>
        <v/>
      </c>
    </row>
    <row r="545" spans="1:18" ht="29.85" customHeight="1" x14ac:dyDescent="0.45">
      <c r="A545" s="30">
        <v>48</v>
      </c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 t="str" cm="1">
        <f t="array" ref="N545">Main_Log_Status(Main_Log[[#This Row],[Carrier]],Main_Log[[#This Row],[Net Weight]])</f>
        <v/>
      </c>
      <c r="O545" s="30"/>
      <c r="P54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45" s="30"/>
      <c r="R545" s="30" t="str" cm="1">
        <f t="array" ref="R545">Main_Log_Ref(Main_Log[[#This Row],[Carrier]])</f>
        <v/>
      </c>
    </row>
    <row r="546" spans="1:18" ht="29.85" customHeight="1" x14ac:dyDescent="0.45">
      <c r="A546" s="30">
        <v>49</v>
      </c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 t="str" cm="1">
        <f t="array" ref="N546">Main_Log_Status(Main_Log[[#This Row],[Carrier]],Main_Log[[#This Row],[Net Weight]])</f>
        <v/>
      </c>
      <c r="O546" s="30"/>
      <c r="P54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46" s="30"/>
      <c r="R546" s="30" t="str" cm="1">
        <f t="array" ref="R546">Main_Log_Ref(Main_Log[[#This Row],[Carrier]])</f>
        <v/>
      </c>
    </row>
    <row r="547" spans="1:18" ht="29.85" customHeight="1" x14ac:dyDescent="0.45">
      <c r="A547" s="30">
        <v>50</v>
      </c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 t="str" cm="1">
        <f t="array" ref="N547">Main_Log_Status(Main_Log[[#This Row],[Carrier]],Main_Log[[#This Row],[Net Weight]])</f>
        <v/>
      </c>
      <c r="O547" s="30"/>
      <c r="P54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47" s="30"/>
      <c r="R547" s="30" t="str" cm="1">
        <f t="array" ref="R547">Main_Log_Ref(Main_Log[[#This Row],[Carrier]])</f>
        <v/>
      </c>
    </row>
    <row r="548" spans="1:18" ht="29.85" customHeight="1" x14ac:dyDescent="0.45">
      <c r="A548" s="30">
        <v>51</v>
      </c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 t="str" cm="1">
        <f t="array" ref="N548">Main_Log_Status(Main_Log[[#This Row],[Carrier]],Main_Log[[#This Row],[Net Weight]])</f>
        <v/>
      </c>
      <c r="O548" s="30"/>
      <c r="P54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48" s="30"/>
      <c r="R548" s="30" t="str" cm="1">
        <f t="array" ref="R548">Main_Log_Ref(Main_Log[[#This Row],[Carrier]])</f>
        <v/>
      </c>
    </row>
    <row r="549" spans="1:18" ht="29.85" customHeight="1" x14ac:dyDescent="0.45">
      <c r="A549" s="30">
        <v>52</v>
      </c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 t="str" cm="1">
        <f t="array" ref="N549">Main_Log_Status(Main_Log[[#This Row],[Carrier]],Main_Log[[#This Row],[Net Weight]])</f>
        <v/>
      </c>
      <c r="O549" s="30"/>
      <c r="P54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49" s="30"/>
      <c r="R549" s="30" t="str" cm="1">
        <f t="array" ref="R549">Main_Log_Ref(Main_Log[[#This Row],[Carrier]])</f>
        <v/>
      </c>
    </row>
    <row r="550" spans="1:18" ht="29.85" customHeight="1" x14ac:dyDescent="0.45">
      <c r="A550" s="30">
        <v>53</v>
      </c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 t="str" cm="1">
        <f t="array" ref="N550">Main_Log_Status(Main_Log[[#This Row],[Carrier]],Main_Log[[#This Row],[Net Weight]])</f>
        <v/>
      </c>
      <c r="O550" s="30"/>
      <c r="P55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50" s="30"/>
      <c r="R550" s="30" t="str" cm="1">
        <f t="array" ref="R550">Main_Log_Ref(Main_Log[[#This Row],[Carrier]])</f>
        <v/>
      </c>
    </row>
    <row r="551" spans="1:18" ht="29.85" customHeight="1" x14ac:dyDescent="0.45">
      <c r="A551" s="30">
        <v>54</v>
      </c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 t="str" cm="1">
        <f t="array" ref="N551">Main_Log_Status(Main_Log[[#This Row],[Carrier]],Main_Log[[#This Row],[Net Weight]])</f>
        <v/>
      </c>
      <c r="O551" s="30"/>
      <c r="P55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51" s="30"/>
      <c r="R551" s="30" t="str" cm="1">
        <f t="array" ref="R551">Main_Log_Ref(Main_Log[[#This Row],[Carrier]])</f>
        <v/>
      </c>
    </row>
    <row r="552" spans="1:18" ht="29.85" customHeight="1" x14ac:dyDescent="0.45">
      <c r="A552" s="30">
        <v>55</v>
      </c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 t="str" cm="1">
        <f t="array" ref="N552">Main_Log_Status(Main_Log[[#This Row],[Carrier]],Main_Log[[#This Row],[Net Weight]])</f>
        <v/>
      </c>
      <c r="O552" s="30"/>
      <c r="P55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52" s="30"/>
      <c r="R552" s="30" t="str" cm="1">
        <f t="array" ref="R552">Main_Log_Ref(Main_Log[[#This Row],[Carrier]])</f>
        <v/>
      </c>
    </row>
    <row r="553" spans="1:18" ht="29.85" customHeight="1" x14ac:dyDescent="0.45">
      <c r="A553" s="30">
        <v>56</v>
      </c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 t="str" cm="1">
        <f t="array" ref="N553">Main_Log_Status(Main_Log[[#This Row],[Carrier]],Main_Log[[#This Row],[Net Weight]])</f>
        <v/>
      </c>
      <c r="O553" s="30"/>
      <c r="P55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53" s="30"/>
      <c r="R553" s="30" t="str" cm="1">
        <f t="array" ref="R553">Main_Log_Ref(Main_Log[[#This Row],[Carrier]])</f>
        <v/>
      </c>
    </row>
    <row r="554" spans="1:18" ht="29.85" customHeight="1" x14ac:dyDescent="0.45">
      <c r="A554" s="30">
        <v>57</v>
      </c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 t="str" cm="1">
        <f t="array" ref="N554">Main_Log_Status(Main_Log[[#This Row],[Carrier]],Main_Log[[#This Row],[Net Weight]])</f>
        <v/>
      </c>
      <c r="O554" s="30"/>
      <c r="P55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54" s="30"/>
      <c r="R554" s="30" t="str" cm="1">
        <f t="array" ref="R554">Main_Log_Ref(Main_Log[[#This Row],[Carrier]])</f>
        <v/>
      </c>
    </row>
    <row r="555" spans="1:18" ht="29.85" customHeight="1" x14ac:dyDescent="0.45">
      <c r="A555" s="30">
        <v>58</v>
      </c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 t="str" cm="1">
        <f t="array" ref="N555">Main_Log_Status(Main_Log[[#This Row],[Carrier]],Main_Log[[#This Row],[Net Weight]])</f>
        <v/>
      </c>
      <c r="O555" s="30"/>
      <c r="P55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55" s="30"/>
      <c r="R555" s="30" t="str" cm="1">
        <f t="array" ref="R555">Main_Log_Ref(Main_Log[[#This Row],[Carrier]])</f>
        <v/>
      </c>
    </row>
    <row r="556" spans="1:18" ht="29.85" customHeight="1" x14ac:dyDescent="0.45">
      <c r="A556" s="30">
        <v>59</v>
      </c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 t="str" cm="1">
        <f t="array" ref="N556">Main_Log_Status(Main_Log[[#This Row],[Carrier]],Main_Log[[#This Row],[Net Weight]])</f>
        <v/>
      </c>
      <c r="O556" s="30"/>
      <c r="P55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56" s="30"/>
      <c r="R556" s="30" t="str" cm="1">
        <f t="array" ref="R556">Main_Log_Ref(Main_Log[[#This Row],[Carrier]])</f>
        <v/>
      </c>
    </row>
    <row r="557" spans="1:18" ht="29.85" customHeight="1" x14ac:dyDescent="0.45">
      <c r="A557" s="30">
        <v>60</v>
      </c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 t="str" cm="1">
        <f t="array" ref="N557">Main_Log_Status(Main_Log[[#This Row],[Carrier]],Main_Log[[#This Row],[Net Weight]])</f>
        <v/>
      </c>
      <c r="O557" s="30"/>
      <c r="P55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57" s="30"/>
      <c r="R557" s="30" t="str" cm="1">
        <f t="array" ref="R557">Main_Log_Ref(Main_Log[[#This Row],[Carrier]])</f>
        <v/>
      </c>
    </row>
    <row r="558" spans="1:18" ht="29.85" customHeight="1" x14ac:dyDescent="0.45">
      <c r="A558" s="30">
        <v>61</v>
      </c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 t="str" cm="1">
        <f t="array" ref="N558">Main_Log_Status(Main_Log[[#This Row],[Carrier]],Main_Log[[#This Row],[Net Weight]])</f>
        <v/>
      </c>
      <c r="O558" s="30"/>
      <c r="P55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58" s="30"/>
      <c r="R558" s="30" t="str" cm="1">
        <f t="array" ref="R558">Main_Log_Ref(Main_Log[[#This Row],[Carrier]])</f>
        <v/>
      </c>
    </row>
    <row r="559" spans="1:18" ht="29.85" customHeight="1" x14ac:dyDescent="0.45">
      <c r="A559" s="30">
        <v>62</v>
      </c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 t="str" cm="1">
        <f t="array" ref="N559">Main_Log_Status(Main_Log[[#This Row],[Carrier]],Main_Log[[#This Row],[Net Weight]])</f>
        <v/>
      </c>
      <c r="O559" s="30"/>
      <c r="P55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59" s="30"/>
      <c r="R559" s="30" t="str" cm="1">
        <f t="array" ref="R559">Main_Log_Ref(Main_Log[[#This Row],[Carrier]])</f>
        <v/>
      </c>
    </row>
    <row r="560" spans="1:18" ht="29.85" customHeight="1" x14ac:dyDescent="0.45">
      <c r="A560" s="30">
        <v>63</v>
      </c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 t="str" cm="1">
        <f t="array" ref="N560">Main_Log_Status(Main_Log[[#This Row],[Carrier]],Main_Log[[#This Row],[Net Weight]])</f>
        <v/>
      </c>
      <c r="O560" s="30"/>
      <c r="P56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60" s="30"/>
      <c r="R560" s="30" t="str" cm="1">
        <f t="array" ref="R560">Main_Log_Ref(Main_Log[[#This Row],[Carrier]])</f>
        <v/>
      </c>
    </row>
    <row r="561" spans="1:18" ht="29.85" customHeight="1" x14ac:dyDescent="0.45">
      <c r="A561" s="30">
        <v>64</v>
      </c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 t="str" cm="1">
        <f t="array" ref="N561">Main_Log_Status(Main_Log[[#This Row],[Carrier]],Main_Log[[#This Row],[Net Weight]])</f>
        <v/>
      </c>
      <c r="O561" s="30"/>
      <c r="P56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61" s="30"/>
      <c r="R561" s="30" t="str" cm="1">
        <f t="array" ref="R561">Main_Log_Ref(Main_Log[[#This Row],[Carrier]])</f>
        <v/>
      </c>
    </row>
    <row r="562" spans="1:18" ht="29.85" customHeight="1" x14ac:dyDescent="0.45">
      <c r="A562" s="30">
        <v>65</v>
      </c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 t="str" cm="1">
        <f t="array" ref="N562">Main_Log_Status(Main_Log[[#This Row],[Carrier]],Main_Log[[#This Row],[Net Weight]])</f>
        <v/>
      </c>
      <c r="O562" s="30"/>
      <c r="P56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62" s="30"/>
      <c r="R562" s="30" t="str" cm="1">
        <f t="array" ref="R562">Main_Log_Ref(Main_Log[[#This Row],[Carrier]])</f>
        <v/>
      </c>
    </row>
    <row r="563" spans="1:18" ht="29.85" customHeight="1" x14ac:dyDescent="0.45">
      <c r="A563" s="30">
        <v>66</v>
      </c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 t="str" cm="1">
        <f t="array" ref="N563">Main_Log_Status(Main_Log[[#This Row],[Carrier]],Main_Log[[#This Row],[Net Weight]])</f>
        <v/>
      </c>
      <c r="O563" s="30"/>
      <c r="P56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63" s="30"/>
      <c r="R563" s="30" t="str" cm="1">
        <f t="array" ref="R563">Main_Log_Ref(Main_Log[[#This Row],[Carrier]])</f>
        <v/>
      </c>
    </row>
    <row r="564" spans="1:18" ht="29.85" customHeight="1" x14ac:dyDescent="0.45">
      <c r="A564" s="30">
        <v>67</v>
      </c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 t="str" cm="1">
        <f t="array" ref="N564">Main_Log_Status(Main_Log[[#This Row],[Carrier]],Main_Log[[#This Row],[Net Weight]])</f>
        <v/>
      </c>
      <c r="O564" s="30"/>
      <c r="P56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64" s="30"/>
      <c r="R564" s="30" t="str" cm="1">
        <f t="array" ref="R564">Main_Log_Ref(Main_Log[[#This Row],[Carrier]])</f>
        <v/>
      </c>
    </row>
    <row r="565" spans="1:18" ht="29.85" customHeight="1" x14ac:dyDescent="0.45">
      <c r="A565" s="30">
        <v>68</v>
      </c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 t="str" cm="1">
        <f t="array" ref="N565">Main_Log_Status(Main_Log[[#This Row],[Carrier]],Main_Log[[#This Row],[Net Weight]])</f>
        <v/>
      </c>
      <c r="O565" s="30"/>
      <c r="P56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65" s="30"/>
      <c r="R565" s="30" t="str" cm="1">
        <f t="array" ref="R565">Main_Log_Ref(Main_Log[[#This Row],[Carrier]])</f>
        <v/>
      </c>
    </row>
    <row r="566" spans="1:18" ht="29.85" customHeight="1" x14ac:dyDescent="0.45">
      <c r="A566" s="30">
        <v>69</v>
      </c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 t="str" cm="1">
        <f t="array" ref="N566">Main_Log_Status(Main_Log[[#This Row],[Carrier]],Main_Log[[#This Row],[Net Weight]])</f>
        <v/>
      </c>
      <c r="O566" s="30"/>
      <c r="P56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66" s="30"/>
      <c r="R566" s="30" t="str" cm="1">
        <f t="array" ref="R566">Main_Log_Ref(Main_Log[[#This Row],[Carrier]])</f>
        <v/>
      </c>
    </row>
    <row r="567" spans="1:18" ht="29.85" customHeight="1" x14ac:dyDescent="0.45">
      <c r="A567" s="30">
        <v>70</v>
      </c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 t="str" cm="1">
        <f t="array" ref="N567">Main_Log_Status(Main_Log[[#This Row],[Carrier]],Main_Log[[#This Row],[Net Weight]])</f>
        <v/>
      </c>
      <c r="O567" s="30"/>
      <c r="P56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67" s="30"/>
      <c r="R567" s="30" t="str" cm="1">
        <f t="array" ref="R567">Main_Log_Ref(Main_Log[[#This Row],[Carrier]])</f>
        <v/>
      </c>
    </row>
    <row r="568" spans="1:18" ht="29.85" customHeight="1" x14ac:dyDescent="0.45">
      <c r="A568" s="30">
        <v>71</v>
      </c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 t="str" cm="1">
        <f t="array" ref="N568">Main_Log_Status(Main_Log[[#This Row],[Carrier]],Main_Log[[#This Row],[Net Weight]])</f>
        <v/>
      </c>
      <c r="O568" s="30"/>
      <c r="P56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68" s="30"/>
      <c r="R568" s="30" t="str" cm="1">
        <f t="array" ref="R568">Main_Log_Ref(Main_Log[[#This Row],[Carrier]])</f>
        <v/>
      </c>
    </row>
    <row r="569" spans="1:18" ht="29.85" customHeight="1" x14ac:dyDescent="0.45">
      <c r="A569" s="30">
        <v>72</v>
      </c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 t="str" cm="1">
        <f t="array" ref="N569">Main_Log_Status(Main_Log[[#This Row],[Carrier]],Main_Log[[#This Row],[Net Weight]])</f>
        <v/>
      </c>
      <c r="O569" s="30"/>
      <c r="P56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69" s="30"/>
      <c r="R569" s="30" t="str" cm="1">
        <f t="array" ref="R569">Main_Log_Ref(Main_Log[[#This Row],[Carrier]])</f>
        <v/>
      </c>
    </row>
    <row r="570" spans="1:18" ht="29.85" customHeight="1" x14ac:dyDescent="0.45">
      <c r="A570" s="30">
        <v>73</v>
      </c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 t="str" cm="1">
        <f t="array" ref="N570">Main_Log_Status(Main_Log[[#This Row],[Carrier]],Main_Log[[#This Row],[Net Weight]])</f>
        <v/>
      </c>
      <c r="O570" s="30"/>
      <c r="P57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70" s="30"/>
      <c r="R570" s="30" t="str" cm="1">
        <f t="array" ref="R570">Main_Log_Ref(Main_Log[[#This Row],[Carrier]])</f>
        <v/>
      </c>
    </row>
    <row r="571" spans="1:18" ht="29.85" customHeight="1" x14ac:dyDescent="0.45">
      <c r="A571" s="30">
        <v>74</v>
      </c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 t="str" cm="1">
        <f t="array" ref="N571">Main_Log_Status(Main_Log[[#This Row],[Carrier]],Main_Log[[#This Row],[Net Weight]])</f>
        <v/>
      </c>
      <c r="O571" s="30"/>
      <c r="P57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71" s="30"/>
      <c r="R571" s="30" t="str" cm="1">
        <f t="array" ref="R571">Main_Log_Ref(Main_Log[[#This Row],[Carrier]])</f>
        <v/>
      </c>
    </row>
    <row r="572" spans="1:18" ht="29.85" customHeight="1" x14ac:dyDescent="0.45">
      <c r="A572" s="30">
        <v>75</v>
      </c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 t="str" cm="1">
        <f t="array" ref="N572">Main_Log_Status(Main_Log[[#This Row],[Carrier]],Main_Log[[#This Row],[Net Weight]])</f>
        <v/>
      </c>
      <c r="O572" s="30"/>
      <c r="P57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72" s="30"/>
      <c r="R572" s="30" t="str" cm="1">
        <f t="array" ref="R572">Main_Log_Ref(Main_Log[[#This Row],[Carrier]])</f>
        <v/>
      </c>
    </row>
    <row r="573" spans="1:18" ht="29.85" customHeight="1" x14ac:dyDescent="0.45">
      <c r="A573" s="30">
        <v>76</v>
      </c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 t="str" cm="1">
        <f t="array" ref="N573">Main_Log_Status(Main_Log[[#This Row],[Carrier]],Main_Log[[#This Row],[Net Weight]])</f>
        <v/>
      </c>
      <c r="O573" s="30"/>
      <c r="P57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73" s="30"/>
      <c r="R573" s="30" t="str" cm="1">
        <f t="array" ref="R573">Main_Log_Ref(Main_Log[[#This Row],[Carrier]])</f>
        <v/>
      </c>
    </row>
    <row r="574" spans="1:18" ht="29.85" customHeight="1" x14ac:dyDescent="0.45">
      <c r="A574" s="30">
        <v>77</v>
      </c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 t="str" cm="1">
        <f t="array" ref="N574">Main_Log_Status(Main_Log[[#This Row],[Carrier]],Main_Log[[#This Row],[Net Weight]])</f>
        <v/>
      </c>
      <c r="O574" s="30"/>
      <c r="P57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74" s="30"/>
      <c r="R574" s="30" t="str" cm="1">
        <f t="array" ref="R574">Main_Log_Ref(Main_Log[[#This Row],[Carrier]])</f>
        <v/>
      </c>
    </row>
    <row r="575" spans="1:18" ht="29.85" customHeight="1" x14ac:dyDescent="0.45">
      <c r="A575" s="30">
        <v>78</v>
      </c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 t="str" cm="1">
        <f t="array" ref="N575">Main_Log_Status(Main_Log[[#This Row],[Carrier]],Main_Log[[#This Row],[Net Weight]])</f>
        <v/>
      </c>
      <c r="O575" s="30"/>
      <c r="P57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75" s="30"/>
      <c r="R575" s="30" t="str" cm="1">
        <f t="array" ref="R575">Main_Log_Ref(Main_Log[[#This Row],[Carrier]])</f>
        <v/>
      </c>
    </row>
    <row r="576" spans="1:18" ht="29.85" customHeight="1" x14ac:dyDescent="0.45">
      <c r="A576" s="30">
        <v>79</v>
      </c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 t="str" cm="1">
        <f t="array" ref="N576">Main_Log_Status(Main_Log[[#This Row],[Carrier]],Main_Log[[#This Row],[Net Weight]])</f>
        <v/>
      </c>
      <c r="O576" s="30"/>
      <c r="P57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76" s="30"/>
      <c r="R576" s="30" t="str" cm="1">
        <f t="array" ref="R576">Main_Log_Ref(Main_Log[[#This Row],[Carrier]])</f>
        <v/>
      </c>
    </row>
    <row r="577" spans="1:18" ht="29.85" customHeight="1" x14ac:dyDescent="0.45">
      <c r="A577" s="30">
        <v>80</v>
      </c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 t="str" cm="1">
        <f t="array" ref="N577">Main_Log_Status(Main_Log[[#This Row],[Carrier]],Main_Log[[#This Row],[Net Weight]])</f>
        <v/>
      </c>
      <c r="O577" s="30"/>
      <c r="P57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77" s="30"/>
      <c r="R577" s="30" t="str" cm="1">
        <f t="array" ref="R577">Main_Log_Ref(Main_Log[[#This Row],[Carrier]])</f>
        <v/>
      </c>
    </row>
    <row r="578" spans="1:18" ht="29.85" customHeight="1" x14ac:dyDescent="0.45">
      <c r="A578" s="30">
        <v>81</v>
      </c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 t="str" cm="1">
        <f t="array" ref="N578">Main_Log_Status(Main_Log[[#This Row],[Carrier]],Main_Log[[#This Row],[Net Weight]])</f>
        <v/>
      </c>
      <c r="O578" s="30"/>
      <c r="P57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78" s="30"/>
      <c r="R578" s="30" t="str" cm="1">
        <f t="array" ref="R578">Main_Log_Ref(Main_Log[[#This Row],[Carrier]])</f>
        <v/>
      </c>
    </row>
    <row r="579" spans="1:18" ht="29.85" customHeight="1" x14ac:dyDescent="0.45">
      <c r="A579" s="30">
        <v>82</v>
      </c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 t="str" cm="1">
        <f t="array" ref="N579">Main_Log_Status(Main_Log[[#This Row],[Carrier]],Main_Log[[#This Row],[Net Weight]])</f>
        <v/>
      </c>
      <c r="O579" s="30"/>
      <c r="P57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79" s="30"/>
      <c r="R579" s="30" t="str" cm="1">
        <f t="array" ref="R579">Main_Log_Ref(Main_Log[[#This Row],[Carrier]])</f>
        <v/>
      </c>
    </row>
    <row r="580" spans="1:18" ht="29.85" customHeight="1" x14ac:dyDescent="0.45">
      <c r="A580" s="30">
        <v>83</v>
      </c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 t="str" cm="1">
        <f t="array" ref="N580">Main_Log_Status(Main_Log[[#This Row],[Carrier]],Main_Log[[#This Row],[Net Weight]])</f>
        <v/>
      </c>
      <c r="O580" s="30"/>
      <c r="P58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80" s="30"/>
      <c r="R580" s="30" t="str" cm="1">
        <f t="array" ref="R580">Main_Log_Ref(Main_Log[[#This Row],[Carrier]])</f>
        <v/>
      </c>
    </row>
    <row r="581" spans="1:18" ht="29.85" customHeight="1" x14ac:dyDescent="0.45">
      <c r="A581" s="30">
        <v>84</v>
      </c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 t="str" cm="1">
        <f t="array" ref="N581">Main_Log_Status(Main_Log[[#This Row],[Carrier]],Main_Log[[#This Row],[Net Weight]])</f>
        <v/>
      </c>
      <c r="O581" s="30"/>
      <c r="P58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81" s="30"/>
      <c r="R581" s="30" t="str" cm="1">
        <f t="array" ref="R581">Main_Log_Ref(Main_Log[[#This Row],[Carrier]])</f>
        <v/>
      </c>
    </row>
    <row r="582" spans="1:18" ht="29.85" customHeight="1" x14ac:dyDescent="0.45">
      <c r="A582" s="30">
        <v>85</v>
      </c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 t="str" cm="1">
        <f t="array" ref="N582">Main_Log_Status(Main_Log[[#This Row],[Carrier]],Main_Log[[#This Row],[Net Weight]])</f>
        <v/>
      </c>
      <c r="O582" s="30"/>
      <c r="P58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82" s="30"/>
      <c r="R582" s="30" t="str" cm="1">
        <f t="array" ref="R582">Main_Log_Ref(Main_Log[[#This Row],[Carrier]])</f>
        <v/>
      </c>
    </row>
    <row r="583" spans="1:18" ht="29.85" customHeight="1" x14ac:dyDescent="0.45">
      <c r="A583" s="30">
        <v>86</v>
      </c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 t="str" cm="1">
        <f t="array" ref="N583">Main_Log_Status(Main_Log[[#This Row],[Carrier]],Main_Log[[#This Row],[Net Weight]])</f>
        <v/>
      </c>
      <c r="O583" s="30"/>
      <c r="P58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83" s="30"/>
      <c r="R583" s="30" t="str" cm="1">
        <f t="array" ref="R583">Main_Log_Ref(Main_Log[[#This Row],[Carrier]])</f>
        <v/>
      </c>
    </row>
    <row r="584" spans="1:18" ht="29.85" customHeight="1" x14ac:dyDescent="0.45">
      <c r="A584" s="30">
        <v>87</v>
      </c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 t="str" cm="1">
        <f t="array" ref="N584">Main_Log_Status(Main_Log[[#This Row],[Carrier]],Main_Log[[#This Row],[Net Weight]])</f>
        <v/>
      </c>
      <c r="O584" s="30"/>
      <c r="P58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84" s="30"/>
      <c r="R584" s="30" t="str" cm="1">
        <f t="array" ref="R584">Main_Log_Ref(Main_Log[[#This Row],[Carrier]])</f>
        <v/>
      </c>
    </row>
    <row r="585" spans="1:18" ht="29.85" customHeight="1" x14ac:dyDescent="0.45">
      <c r="A585" s="30">
        <v>88</v>
      </c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 t="str" cm="1">
        <f t="array" ref="N585">Main_Log_Status(Main_Log[[#This Row],[Carrier]],Main_Log[[#This Row],[Net Weight]])</f>
        <v/>
      </c>
      <c r="O585" s="30"/>
      <c r="P58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85" s="30"/>
      <c r="R585" s="30" t="str" cm="1">
        <f t="array" ref="R585">Main_Log_Ref(Main_Log[[#This Row],[Carrier]])</f>
        <v/>
      </c>
    </row>
    <row r="586" spans="1:18" ht="29.85" customHeight="1" x14ac:dyDescent="0.45">
      <c r="A586" s="30">
        <v>89</v>
      </c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 t="str" cm="1">
        <f t="array" ref="N586">Main_Log_Status(Main_Log[[#This Row],[Carrier]],Main_Log[[#This Row],[Net Weight]])</f>
        <v/>
      </c>
      <c r="O586" s="30"/>
      <c r="P58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86" s="30"/>
      <c r="R586" s="30" t="str" cm="1">
        <f t="array" ref="R586">Main_Log_Ref(Main_Log[[#This Row],[Carrier]])</f>
        <v/>
      </c>
    </row>
    <row r="587" spans="1:18" ht="29.85" customHeight="1" x14ac:dyDescent="0.45">
      <c r="A587" s="30">
        <v>90</v>
      </c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 t="str" cm="1">
        <f t="array" ref="N587">Main_Log_Status(Main_Log[[#This Row],[Carrier]],Main_Log[[#This Row],[Net Weight]])</f>
        <v/>
      </c>
      <c r="O587" s="30"/>
      <c r="P58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87" s="30"/>
      <c r="R587" s="30" t="str" cm="1">
        <f t="array" ref="R587">Main_Log_Ref(Main_Log[[#This Row],[Carrier]])</f>
        <v/>
      </c>
    </row>
    <row r="588" spans="1:18" ht="29.85" customHeight="1" x14ac:dyDescent="0.45">
      <c r="A588" s="30">
        <v>91</v>
      </c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 t="str" cm="1">
        <f t="array" ref="N588">Main_Log_Status(Main_Log[[#This Row],[Carrier]],Main_Log[[#This Row],[Net Weight]])</f>
        <v/>
      </c>
      <c r="O588" s="30"/>
      <c r="P58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88" s="30"/>
      <c r="R588" s="30" t="str" cm="1">
        <f t="array" ref="R588">Main_Log_Ref(Main_Log[[#This Row],[Carrier]])</f>
        <v/>
      </c>
    </row>
    <row r="589" spans="1:18" ht="29.85" customHeight="1" x14ac:dyDescent="0.45">
      <c r="A589" s="30">
        <v>92</v>
      </c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 t="str" cm="1">
        <f t="array" ref="N589">Main_Log_Status(Main_Log[[#This Row],[Carrier]],Main_Log[[#This Row],[Net Weight]])</f>
        <v/>
      </c>
      <c r="O589" s="30"/>
      <c r="P58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89" s="30"/>
      <c r="R589" s="30" t="str" cm="1">
        <f t="array" ref="R589">Main_Log_Ref(Main_Log[[#This Row],[Carrier]])</f>
        <v/>
      </c>
    </row>
    <row r="590" spans="1:18" ht="29.85" customHeight="1" x14ac:dyDescent="0.45">
      <c r="A590" s="30">
        <v>93</v>
      </c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 t="str" cm="1">
        <f t="array" ref="N590">Main_Log_Status(Main_Log[[#This Row],[Carrier]],Main_Log[[#This Row],[Net Weight]])</f>
        <v/>
      </c>
      <c r="O590" s="30"/>
      <c r="P59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90" s="30"/>
      <c r="R590" s="30" t="str" cm="1">
        <f t="array" ref="R590">Main_Log_Ref(Main_Log[[#This Row],[Carrier]])</f>
        <v/>
      </c>
    </row>
    <row r="591" spans="1:18" ht="29.85" customHeight="1" x14ac:dyDescent="0.45">
      <c r="A591" s="30">
        <v>94</v>
      </c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 t="str" cm="1">
        <f t="array" ref="N591">Main_Log_Status(Main_Log[[#This Row],[Carrier]],Main_Log[[#This Row],[Net Weight]])</f>
        <v/>
      </c>
      <c r="O591" s="30"/>
      <c r="P59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91" s="30"/>
      <c r="R591" s="30" t="str" cm="1">
        <f t="array" ref="R591">Main_Log_Ref(Main_Log[[#This Row],[Carrier]])</f>
        <v/>
      </c>
    </row>
    <row r="592" spans="1:18" ht="29.85" customHeight="1" x14ac:dyDescent="0.45">
      <c r="A592" s="30">
        <v>95</v>
      </c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 t="str" cm="1">
        <f t="array" ref="N592">Main_Log_Status(Main_Log[[#This Row],[Carrier]],Main_Log[[#This Row],[Net Weight]])</f>
        <v/>
      </c>
      <c r="O592" s="30"/>
      <c r="P59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92" s="30"/>
      <c r="R592" s="30" t="str" cm="1">
        <f t="array" ref="R592">Main_Log_Ref(Main_Log[[#This Row],[Carrier]])</f>
        <v/>
      </c>
    </row>
    <row r="593" spans="1:18" ht="29.85" customHeight="1" x14ac:dyDescent="0.45">
      <c r="A593" s="30">
        <v>96</v>
      </c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 t="str" cm="1">
        <f t="array" ref="N593">Main_Log_Status(Main_Log[[#This Row],[Carrier]],Main_Log[[#This Row],[Net Weight]])</f>
        <v/>
      </c>
      <c r="O593" s="30"/>
      <c r="P59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93" s="30"/>
      <c r="R593" s="30" t="str" cm="1">
        <f t="array" ref="R593">Main_Log_Ref(Main_Log[[#This Row],[Carrier]])</f>
        <v/>
      </c>
    </row>
    <row r="594" spans="1:18" ht="29.85" customHeight="1" x14ac:dyDescent="0.45">
      <c r="A594" s="30">
        <v>97</v>
      </c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 t="str" cm="1">
        <f t="array" ref="N594">Main_Log_Status(Main_Log[[#This Row],[Carrier]],Main_Log[[#This Row],[Net Weight]])</f>
        <v/>
      </c>
      <c r="O594" s="30"/>
      <c r="P59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94" s="30"/>
      <c r="R594" s="30" t="str" cm="1">
        <f t="array" ref="R594">Main_Log_Ref(Main_Log[[#This Row],[Carrier]])</f>
        <v/>
      </c>
    </row>
    <row r="595" spans="1:18" ht="29.85" customHeight="1" x14ac:dyDescent="0.45">
      <c r="A595" s="30">
        <v>98</v>
      </c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 t="str" cm="1">
        <f t="array" ref="N595">Main_Log_Status(Main_Log[[#This Row],[Carrier]],Main_Log[[#This Row],[Net Weight]])</f>
        <v/>
      </c>
      <c r="O595" s="30"/>
      <c r="P59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95" s="30"/>
      <c r="R595" s="30" t="str" cm="1">
        <f t="array" ref="R595">Main_Log_Ref(Main_Log[[#This Row],[Carrier]])</f>
        <v/>
      </c>
    </row>
    <row r="596" spans="1:18" ht="29.85" customHeight="1" x14ac:dyDescent="0.45">
      <c r="A596" s="30">
        <v>99</v>
      </c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 t="str" cm="1">
        <f t="array" ref="N596">Main_Log_Status(Main_Log[[#This Row],[Carrier]],Main_Log[[#This Row],[Net Weight]])</f>
        <v/>
      </c>
      <c r="O596" s="30"/>
      <c r="P59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96" s="30"/>
      <c r="R596" s="30" t="str" cm="1">
        <f t="array" ref="R596">Main_Log_Ref(Main_Log[[#This Row],[Carrier]])</f>
        <v/>
      </c>
    </row>
    <row r="597" spans="1:18" ht="29.85" customHeight="1" x14ac:dyDescent="0.45">
      <c r="A597" s="30">
        <v>1</v>
      </c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 t="str" cm="1">
        <f t="array" ref="N597">Main_Log_Status(Main_Log[[#This Row],[Carrier]],Main_Log[[#This Row],[Net Weight]])</f>
        <v/>
      </c>
      <c r="O597" s="30"/>
      <c r="P59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97" s="30"/>
      <c r="R597" s="30" t="str" cm="1">
        <f t="array" ref="R597">Main_Log_Ref(Main_Log[[#This Row],[Carrier]])</f>
        <v/>
      </c>
    </row>
    <row r="598" spans="1:18" ht="29.85" customHeight="1" x14ac:dyDescent="0.45">
      <c r="A598" s="30">
        <v>2</v>
      </c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 t="str" cm="1">
        <f t="array" ref="N598">Main_Log_Status(Main_Log[[#This Row],[Carrier]],Main_Log[[#This Row],[Net Weight]])</f>
        <v/>
      </c>
      <c r="O598" s="30"/>
      <c r="P59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98" s="30"/>
      <c r="R598" s="30" t="str" cm="1">
        <f t="array" ref="R598">Main_Log_Ref(Main_Log[[#This Row],[Carrier]])</f>
        <v/>
      </c>
    </row>
    <row r="599" spans="1:18" ht="29.85" customHeight="1" x14ac:dyDescent="0.45">
      <c r="A599" s="30">
        <v>3</v>
      </c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 t="str" cm="1">
        <f t="array" ref="N599">Main_Log_Status(Main_Log[[#This Row],[Carrier]],Main_Log[[#This Row],[Net Weight]])</f>
        <v/>
      </c>
      <c r="O599" s="30"/>
      <c r="P59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599" s="30"/>
      <c r="R599" s="30" t="str" cm="1">
        <f t="array" ref="R599">Main_Log_Ref(Main_Log[[#This Row],[Carrier]])</f>
        <v/>
      </c>
    </row>
    <row r="600" spans="1:18" ht="29.85" customHeight="1" x14ac:dyDescent="0.45">
      <c r="A600" s="30">
        <v>4</v>
      </c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 t="str" cm="1">
        <f t="array" ref="N600">Main_Log_Status(Main_Log[[#This Row],[Carrier]],Main_Log[[#This Row],[Net Weight]])</f>
        <v/>
      </c>
      <c r="O600" s="30"/>
      <c r="P60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00" s="30"/>
      <c r="R600" s="30" t="str" cm="1">
        <f t="array" ref="R600">Main_Log_Ref(Main_Log[[#This Row],[Carrier]])</f>
        <v/>
      </c>
    </row>
    <row r="601" spans="1:18" ht="29.85" customHeight="1" x14ac:dyDescent="0.45">
      <c r="A601" s="30">
        <v>5</v>
      </c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 t="str" cm="1">
        <f t="array" ref="N601">Main_Log_Status(Main_Log[[#This Row],[Carrier]],Main_Log[[#This Row],[Net Weight]])</f>
        <v/>
      </c>
      <c r="O601" s="30"/>
      <c r="P60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01" s="30"/>
      <c r="R601" s="30" t="str" cm="1">
        <f t="array" ref="R601">Main_Log_Ref(Main_Log[[#This Row],[Carrier]])</f>
        <v/>
      </c>
    </row>
    <row r="602" spans="1:18" ht="29.85" customHeight="1" x14ac:dyDescent="0.45">
      <c r="A602" s="30">
        <v>6</v>
      </c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 t="str" cm="1">
        <f t="array" ref="N602">Main_Log_Status(Main_Log[[#This Row],[Carrier]],Main_Log[[#This Row],[Net Weight]])</f>
        <v/>
      </c>
      <c r="O602" s="30"/>
      <c r="P60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02" s="30"/>
      <c r="R602" s="30" t="str" cm="1">
        <f t="array" ref="R602">Main_Log_Ref(Main_Log[[#This Row],[Carrier]])</f>
        <v/>
      </c>
    </row>
    <row r="603" spans="1:18" ht="29.85" customHeight="1" x14ac:dyDescent="0.45">
      <c r="A603" s="30">
        <v>7</v>
      </c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 t="str" cm="1">
        <f t="array" ref="N603">Main_Log_Status(Main_Log[[#This Row],[Carrier]],Main_Log[[#This Row],[Net Weight]])</f>
        <v/>
      </c>
      <c r="O603" s="30"/>
      <c r="P60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03" s="30"/>
      <c r="R603" s="30" t="str" cm="1">
        <f t="array" ref="R603">Main_Log_Ref(Main_Log[[#This Row],[Carrier]])</f>
        <v/>
      </c>
    </row>
    <row r="604" spans="1:18" ht="29.85" customHeight="1" x14ac:dyDescent="0.45">
      <c r="A604" s="30">
        <v>8</v>
      </c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 t="str" cm="1">
        <f t="array" ref="N604">Main_Log_Status(Main_Log[[#This Row],[Carrier]],Main_Log[[#This Row],[Net Weight]])</f>
        <v/>
      </c>
      <c r="O604" s="30"/>
      <c r="P60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04" s="30"/>
      <c r="R604" s="30" t="str" cm="1">
        <f t="array" ref="R604">Main_Log_Ref(Main_Log[[#This Row],[Carrier]])</f>
        <v/>
      </c>
    </row>
    <row r="605" spans="1:18" ht="29.85" customHeight="1" x14ac:dyDescent="0.45">
      <c r="A605" s="30">
        <v>9</v>
      </c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 t="str" cm="1">
        <f t="array" ref="N605">Main_Log_Status(Main_Log[[#This Row],[Carrier]],Main_Log[[#This Row],[Net Weight]])</f>
        <v/>
      </c>
      <c r="O605" s="30"/>
      <c r="P60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05" s="30"/>
      <c r="R605" s="30" t="str" cm="1">
        <f t="array" ref="R605">Main_Log_Ref(Main_Log[[#This Row],[Carrier]])</f>
        <v/>
      </c>
    </row>
    <row r="606" spans="1:18" ht="29.85" customHeight="1" x14ac:dyDescent="0.45">
      <c r="A606" s="30">
        <v>10</v>
      </c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 t="str" cm="1">
        <f t="array" ref="N606">Main_Log_Status(Main_Log[[#This Row],[Carrier]],Main_Log[[#This Row],[Net Weight]])</f>
        <v/>
      </c>
      <c r="O606" s="30"/>
      <c r="P60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06" s="30"/>
      <c r="R606" s="30" t="str" cm="1">
        <f t="array" ref="R606">Main_Log_Ref(Main_Log[[#This Row],[Carrier]])</f>
        <v/>
      </c>
    </row>
    <row r="607" spans="1:18" ht="29.85" customHeight="1" x14ac:dyDescent="0.45">
      <c r="A607" s="30">
        <v>11</v>
      </c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 t="str" cm="1">
        <f t="array" ref="N607">Main_Log_Status(Main_Log[[#This Row],[Carrier]],Main_Log[[#This Row],[Net Weight]])</f>
        <v/>
      </c>
      <c r="O607" s="30"/>
      <c r="P60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07" s="30"/>
      <c r="R607" s="30" t="str" cm="1">
        <f t="array" ref="R607">Main_Log_Ref(Main_Log[[#This Row],[Carrier]])</f>
        <v/>
      </c>
    </row>
    <row r="608" spans="1:18" ht="29.85" customHeight="1" x14ac:dyDescent="0.45">
      <c r="A608" s="30">
        <v>12</v>
      </c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 t="str" cm="1">
        <f t="array" ref="N608">Main_Log_Status(Main_Log[[#This Row],[Carrier]],Main_Log[[#This Row],[Net Weight]])</f>
        <v/>
      </c>
      <c r="O608" s="30"/>
      <c r="P60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08" s="30"/>
      <c r="R608" s="30" t="str" cm="1">
        <f t="array" ref="R608">Main_Log_Ref(Main_Log[[#This Row],[Carrier]])</f>
        <v/>
      </c>
    </row>
    <row r="609" spans="1:18" ht="29.85" customHeight="1" x14ac:dyDescent="0.45">
      <c r="A609" s="30">
        <v>13</v>
      </c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 t="str" cm="1">
        <f t="array" ref="N609">Main_Log_Status(Main_Log[[#This Row],[Carrier]],Main_Log[[#This Row],[Net Weight]])</f>
        <v/>
      </c>
      <c r="O609" s="30"/>
      <c r="P60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09" s="30"/>
      <c r="R609" s="30" t="str" cm="1">
        <f t="array" ref="R609">Main_Log_Ref(Main_Log[[#This Row],[Carrier]])</f>
        <v/>
      </c>
    </row>
    <row r="610" spans="1:18" ht="29.85" customHeight="1" x14ac:dyDescent="0.45">
      <c r="A610" s="30">
        <v>14</v>
      </c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 t="str" cm="1">
        <f t="array" ref="N610">Main_Log_Status(Main_Log[[#This Row],[Carrier]],Main_Log[[#This Row],[Net Weight]])</f>
        <v/>
      </c>
      <c r="O610" s="30"/>
      <c r="P61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10" s="30"/>
      <c r="R610" s="30" t="str" cm="1">
        <f t="array" ref="R610">Main_Log_Ref(Main_Log[[#This Row],[Carrier]])</f>
        <v/>
      </c>
    </row>
    <row r="611" spans="1:18" ht="29.85" customHeight="1" x14ac:dyDescent="0.45">
      <c r="A611" s="30">
        <v>15</v>
      </c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 t="str" cm="1">
        <f t="array" ref="N611">Main_Log_Status(Main_Log[[#This Row],[Carrier]],Main_Log[[#This Row],[Net Weight]])</f>
        <v/>
      </c>
      <c r="O611" s="30"/>
      <c r="P61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11" s="30"/>
      <c r="R611" s="30" t="str" cm="1">
        <f t="array" ref="R611">Main_Log_Ref(Main_Log[[#This Row],[Carrier]])</f>
        <v/>
      </c>
    </row>
    <row r="612" spans="1:18" ht="29.85" customHeight="1" x14ac:dyDescent="0.45">
      <c r="A612" s="30">
        <v>16</v>
      </c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 t="str" cm="1">
        <f t="array" ref="N612">Main_Log_Status(Main_Log[[#This Row],[Carrier]],Main_Log[[#This Row],[Net Weight]])</f>
        <v/>
      </c>
      <c r="O612" s="30"/>
      <c r="P61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12" s="30"/>
      <c r="R612" s="30" t="str" cm="1">
        <f t="array" ref="R612">Main_Log_Ref(Main_Log[[#This Row],[Carrier]])</f>
        <v/>
      </c>
    </row>
    <row r="613" spans="1:18" ht="29.85" customHeight="1" x14ac:dyDescent="0.45">
      <c r="A613" s="30">
        <v>17</v>
      </c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 t="str" cm="1">
        <f t="array" ref="N613">Main_Log_Status(Main_Log[[#This Row],[Carrier]],Main_Log[[#This Row],[Net Weight]])</f>
        <v/>
      </c>
      <c r="O613" s="30"/>
      <c r="P61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13" s="30"/>
      <c r="R613" s="30" t="str" cm="1">
        <f t="array" ref="R613">Main_Log_Ref(Main_Log[[#This Row],[Carrier]])</f>
        <v/>
      </c>
    </row>
    <row r="614" spans="1:18" ht="29.85" customHeight="1" x14ac:dyDescent="0.45">
      <c r="A614" s="30">
        <v>18</v>
      </c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 t="str" cm="1">
        <f t="array" ref="N614">Main_Log_Status(Main_Log[[#This Row],[Carrier]],Main_Log[[#This Row],[Net Weight]])</f>
        <v/>
      </c>
      <c r="O614" s="30"/>
      <c r="P61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14" s="30"/>
      <c r="R614" s="30" t="str" cm="1">
        <f t="array" ref="R614">Main_Log_Ref(Main_Log[[#This Row],[Carrier]])</f>
        <v/>
      </c>
    </row>
    <row r="615" spans="1:18" ht="29.85" customHeight="1" x14ac:dyDescent="0.45">
      <c r="A615" s="30">
        <v>19</v>
      </c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 t="str" cm="1">
        <f t="array" ref="N615">Main_Log_Status(Main_Log[[#This Row],[Carrier]],Main_Log[[#This Row],[Net Weight]])</f>
        <v/>
      </c>
      <c r="O615" s="30"/>
      <c r="P61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15" s="30"/>
      <c r="R615" s="30" t="str" cm="1">
        <f t="array" ref="R615">Main_Log_Ref(Main_Log[[#This Row],[Carrier]])</f>
        <v/>
      </c>
    </row>
    <row r="616" spans="1:18" ht="29.85" customHeight="1" x14ac:dyDescent="0.45">
      <c r="A616" s="30">
        <v>20</v>
      </c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 t="str" cm="1">
        <f t="array" ref="N616">Main_Log_Status(Main_Log[[#This Row],[Carrier]],Main_Log[[#This Row],[Net Weight]])</f>
        <v/>
      </c>
      <c r="O616" s="30"/>
      <c r="P61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16" s="30"/>
      <c r="R616" s="30" t="str" cm="1">
        <f t="array" ref="R616">Main_Log_Ref(Main_Log[[#This Row],[Carrier]])</f>
        <v/>
      </c>
    </row>
    <row r="617" spans="1:18" ht="29.85" customHeight="1" x14ac:dyDescent="0.45">
      <c r="A617" s="30">
        <v>21</v>
      </c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 t="str" cm="1">
        <f t="array" ref="N617">Main_Log_Status(Main_Log[[#This Row],[Carrier]],Main_Log[[#This Row],[Net Weight]])</f>
        <v/>
      </c>
      <c r="O617" s="30"/>
      <c r="P61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17" s="30"/>
      <c r="R617" s="30" t="str" cm="1">
        <f t="array" ref="R617">Main_Log_Ref(Main_Log[[#This Row],[Carrier]])</f>
        <v/>
      </c>
    </row>
    <row r="618" spans="1:18" ht="29.85" customHeight="1" x14ac:dyDescent="0.45">
      <c r="A618" s="30">
        <v>22</v>
      </c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 t="str" cm="1">
        <f t="array" ref="N618">Main_Log_Status(Main_Log[[#This Row],[Carrier]],Main_Log[[#This Row],[Net Weight]])</f>
        <v/>
      </c>
      <c r="O618" s="30"/>
      <c r="P61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18" s="30"/>
      <c r="R618" s="30" t="str" cm="1">
        <f t="array" ref="R618">Main_Log_Ref(Main_Log[[#This Row],[Carrier]])</f>
        <v/>
      </c>
    </row>
    <row r="619" spans="1:18" ht="29.85" customHeight="1" x14ac:dyDescent="0.45">
      <c r="A619" s="30">
        <v>23</v>
      </c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 t="str" cm="1">
        <f t="array" ref="N619">Main_Log_Status(Main_Log[[#This Row],[Carrier]],Main_Log[[#This Row],[Net Weight]])</f>
        <v/>
      </c>
      <c r="O619" s="30"/>
      <c r="P61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19" s="30"/>
      <c r="R619" s="30" t="str" cm="1">
        <f t="array" ref="R619">Main_Log_Ref(Main_Log[[#This Row],[Carrier]])</f>
        <v/>
      </c>
    </row>
    <row r="620" spans="1:18" ht="29.85" customHeight="1" x14ac:dyDescent="0.45">
      <c r="A620" s="30">
        <v>24</v>
      </c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 t="str" cm="1">
        <f t="array" ref="N620">Main_Log_Status(Main_Log[[#This Row],[Carrier]],Main_Log[[#This Row],[Net Weight]])</f>
        <v/>
      </c>
      <c r="O620" s="30"/>
      <c r="P62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20" s="30"/>
      <c r="R620" s="30" t="str" cm="1">
        <f t="array" ref="R620">Main_Log_Ref(Main_Log[[#This Row],[Carrier]])</f>
        <v/>
      </c>
    </row>
    <row r="621" spans="1:18" ht="29.85" customHeight="1" x14ac:dyDescent="0.45">
      <c r="A621" s="30">
        <v>25</v>
      </c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 t="str" cm="1">
        <f t="array" ref="N621">Main_Log_Status(Main_Log[[#This Row],[Carrier]],Main_Log[[#This Row],[Net Weight]])</f>
        <v/>
      </c>
      <c r="O621" s="30"/>
      <c r="P62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21" s="30"/>
      <c r="R621" s="30" t="str" cm="1">
        <f t="array" ref="R621">Main_Log_Ref(Main_Log[[#This Row],[Carrier]])</f>
        <v/>
      </c>
    </row>
    <row r="622" spans="1:18" ht="29.85" customHeight="1" x14ac:dyDescent="0.45">
      <c r="A622" s="30">
        <v>26</v>
      </c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 t="str" cm="1">
        <f t="array" ref="N622">Main_Log_Status(Main_Log[[#This Row],[Carrier]],Main_Log[[#This Row],[Net Weight]])</f>
        <v/>
      </c>
      <c r="O622" s="30"/>
      <c r="P62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22" s="30"/>
      <c r="R622" s="30" t="str" cm="1">
        <f t="array" ref="R622">Main_Log_Ref(Main_Log[[#This Row],[Carrier]])</f>
        <v/>
      </c>
    </row>
    <row r="623" spans="1:18" ht="29.85" customHeight="1" x14ac:dyDescent="0.45">
      <c r="A623" s="30">
        <v>27</v>
      </c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 t="str" cm="1">
        <f t="array" ref="N623">Main_Log_Status(Main_Log[[#This Row],[Carrier]],Main_Log[[#This Row],[Net Weight]])</f>
        <v/>
      </c>
      <c r="O623" s="30"/>
      <c r="P62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23" s="30"/>
      <c r="R623" s="30" t="str" cm="1">
        <f t="array" ref="R623">Main_Log_Ref(Main_Log[[#This Row],[Carrier]])</f>
        <v/>
      </c>
    </row>
    <row r="624" spans="1:18" ht="29.85" customHeight="1" x14ac:dyDescent="0.45">
      <c r="A624" s="30">
        <v>28</v>
      </c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 t="str" cm="1">
        <f t="array" ref="N624">Main_Log_Status(Main_Log[[#This Row],[Carrier]],Main_Log[[#This Row],[Net Weight]])</f>
        <v/>
      </c>
      <c r="O624" s="30"/>
      <c r="P62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24" s="30"/>
      <c r="R624" s="30" t="str" cm="1">
        <f t="array" ref="R624">Main_Log_Ref(Main_Log[[#This Row],[Carrier]])</f>
        <v/>
      </c>
    </row>
    <row r="625" spans="1:18" ht="29.85" customHeight="1" x14ac:dyDescent="0.45">
      <c r="A625" s="30">
        <v>29</v>
      </c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 t="str" cm="1">
        <f t="array" ref="N625">Main_Log_Status(Main_Log[[#This Row],[Carrier]],Main_Log[[#This Row],[Net Weight]])</f>
        <v/>
      </c>
      <c r="O625" s="30"/>
      <c r="P62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25" s="30"/>
      <c r="R625" s="30" t="str" cm="1">
        <f t="array" ref="R625">Main_Log_Ref(Main_Log[[#This Row],[Carrier]])</f>
        <v/>
      </c>
    </row>
    <row r="626" spans="1:18" ht="29.85" customHeight="1" x14ac:dyDescent="0.45">
      <c r="A626" s="30">
        <v>30</v>
      </c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 t="str" cm="1">
        <f t="array" ref="N626">Main_Log_Status(Main_Log[[#This Row],[Carrier]],Main_Log[[#This Row],[Net Weight]])</f>
        <v/>
      </c>
      <c r="O626" s="30"/>
      <c r="P62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26" s="30"/>
      <c r="R626" s="30" t="str" cm="1">
        <f t="array" ref="R626">Main_Log_Ref(Main_Log[[#This Row],[Carrier]])</f>
        <v/>
      </c>
    </row>
    <row r="627" spans="1:18" ht="29.85" customHeight="1" x14ac:dyDescent="0.45">
      <c r="A627" s="30">
        <v>31</v>
      </c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 t="str" cm="1">
        <f t="array" ref="N627">Main_Log_Status(Main_Log[[#This Row],[Carrier]],Main_Log[[#This Row],[Net Weight]])</f>
        <v/>
      </c>
      <c r="O627" s="30"/>
      <c r="P62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27" s="30"/>
      <c r="R627" s="30" t="str" cm="1">
        <f t="array" ref="R627">Main_Log_Ref(Main_Log[[#This Row],[Carrier]])</f>
        <v/>
      </c>
    </row>
    <row r="628" spans="1:18" ht="29.85" customHeight="1" x14ac:dyDescent="0.45">
      <c r="A628" s="30">
        <v>32</v>
      </c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 t="str" cm="1">
        <f t="array" ref="N628">Main_Log_Status(Main_Log[[#This Row],[Carrier]],Main_Log[[#This Row],[Net Weight]])</f>
        <v/>
      </c>
      <c r="O628" s="30"/>
      <c r="P62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28" s="30"/>
      <c r="R628" s="30" t="str" cm="1">
        <f t="array" ref="R628">Main_Log_Ref(Main_Log[[#This Row],[Carrier]])</f>
        <v/>
      </c>
    </row>
    <row r="629" spans="1:18" ht="29.85" customHeight="1" x14ac:dyDescent="0.45">
      <c r="A629" s="30">
        <v>33</v>
      </c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 t="str" cm="1">
        <f t="array" ref="N629">Main_Log_Status(Main_Log[[#This Row],[Carrier]],Main_Log[[#This Row],[Net Weight]])</f>
        <v/>
      </c>
      <c r="O629" s="30"/>
      <c r="P62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29" s="30"/>
      <c r="R629" s="30" t="str" cm="1">
        <f t="array" ref="R629">Main_Log_Ref(Main_Log[[#This Row],[Carrier]])</f>
        <v/>
      </c>
    </row>
    <row r="630" spans="1:18" ht="29.85" customHeight="1" x14ac:dyDescent="0.45">
      <c r="A630" s="30">
        <v>34</v>
      </c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 t="str" cm="1">
        <f t="array" ref="N630">Main_Log_Status(Main_Log[[#This Row],[Carrier]],Main_Log[[#This Row],[Net Weight]])</f>
        <v/>
      </c>
      <c r="O630" s="30"/>
      <c r="P63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30" s="30"/>
      <c r="R630" s="30" t="str" cm="1">
        <f t="array" ref="R630">Main_Log_Ref(Main_Log[[#This Row],[Carrier]])</f>
        <v/>
      </c>
    </row>
    <row r="631" spans="1:18" ht="29.85" customHeight="1" x14ac:dyDescent="0.45">
      <c r="A631" s="30">
        <v>35</v>
      </c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 t="str" cm="1">
        <f t="array" ref="N631">Main_Log_Status(Main_Log[[#This Row],[Carrier]],Main_Log[[#This Row],[Net Weight]])</f>
        <v/>
      </c>
      <c r="O631" s="30"/>
      <c r="P63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31" s="30"/>
      <c r="R631" s="30" t="str" cm="1">
        <f t="array" ref="R631">Main_Log_Ref(Main_Log[[#This Row],[Carrier]])</f>
        <v/>
      </c>
    </row>
    <row r="632" spans="1:18" ht="29.85" customHeight="1" x14ac:dyDescent="0.45">
      <c r="A632" s="30">
        <v>36</v>
      </c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 t="str" cm="1">
        <f t="array" ref="N632">Main_Log_Status(Main_Log[[#This Row],[Carrier]],Main_Log[[#This Row],[Net Weight]])</f>
        <v/>
      </c>
      <c r="O632" s="30"/>
      <c r="P63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32" s="30"/>
      <c r="R632" s="30" t="str" cm="1">
        <f t="array" ref="R632">Main_Log_Ref(Main_Log[[#This Row],[Carrier]])</f>
        <v/>
      </c>
    </row>
    <row r="633" spans="1:18" ht="29.85" customHeight="1" x14ac:dyDescent="0.45">
      <c r="A633" s="30">
        <v>37</v>
      </c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 t="str" cm="1">
        <f t="array" ref="N633">Main_Log_Status(Main_Log[[#This Row],[Carrier]],Main_Log[[#This Row],[Net Weight]])</f>
        <v/>
      </c>
      <c r="O633" s="30"/>
      <c r="P63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33" s="30"/>
      <c r="R633" s="30" t="str" cm="1">
        <f t="array" ref="R633">Main_Log_Ref(Main_Log[[#This Row],[Carrier]])</f>
        <v/>
      </c>
    </row>
    <row r="634" spans="1:18" ht="29.85" customHeight="1" x14ac:dyDescent="0.45">
      <c r="A634" s="30">
        <v>38</v>
      </c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 t="str" cm="1">
        <f t="array" ref="N634">Main_Log_Status(Main_Log[[#This Row],[Carrier]],Main_Log[[#This Row],[Net Weight]])</f>
        <v/>
      </c>
      <c r="O634" s="30"/>
      <c r="P63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34" s="30"/>
      <c r="R634" s="30" t="str" cm="1">
        <f t="array" ref="R634">Main_Log_Ref(Main_Log[[#This Row],[Carrier]])</f>
        <v/>
      </c>
    </row>
    <row r="635" spans="1:18" ht="29.85" customHeight="1" x14ac:dyDescent="0.45">
      <c r="A635" s="30">
        <v>39</v>
      </c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 t="str" cm="1">
        <f t="array" ref="N635">Main_Log_Status(Main_Log[[#This Row],[Carrier]],Main_Log[[#This Row],[Net Weight]])</f>
        <v/>
      </c>
      <c r="O635" s="30"/>
      <c r="P63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35" s="30"/>
      <c r="R635" s="30" t="str" cm="1">
        <f t="array" ref="R635">Main_Log_Ref(Main_Log[[#This Row],[Carrier]])</f>
        <v/>
      </c>
    </row>
    <row r="636" spans="1:18" ht="29.85" customHeight="1" x14ac:dyDescent="0.45">
      <c r="A636" s="30">
        <v>40</v>
      </c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 t="str" cm="1">
        <f t="array" ref="N636">Main_Log_Status(Main_Log[[#This Row],[Carrier]],Main_Log[[#This Row],[Net Weight]])</f>
        <v/>
      </c>
      <c r="O636" s="30"/>
      <c r="P63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36" s="30"/>
      <c r="R636" s="30" t="str" cm="1">
        <f t="array" ref="R636">Main_Log_Ref(Main_Log[[#This Row],[Carrier]])</f>
        <v/>
      </c>
    </row>
    <row r="637" spans="1:18" ht="29.85" customHeight="1" x14ac:dyDescent="0.45">
      <c r="A637" s="30">
        <v>41</v>
      </c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 t="str" cm="1">
        <f t="array" ref="N637">Main_Log_Status(Main_Log[[#This Row],[Carrier]],Main_Log[[#This Row],[Net Weight]])</f>
        <v/>
      </c>
      <c r="O637" s="30"/>
      <c r="P63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37" s="30"/>
      <c r="R637" s="30" t="str" cm="1">
        <f t="array" ref="R637">Main_Log_Ref(Main_Log[[#This Row],[Carrier]])</f>
        <v/>
      </c>
    </row>
    <row r="638" spans="1:18" ht="29.85" customHeight="1" x14ac:dyDescent="0.45">
      <c r="A638" s="30">
        <v>42</v>
      </c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 t="str" cm="1">
        <f t="array" ref="N638">Main_Log_Status(Main_Log[[#This Row],[Carrier]],Main_Log[[#This Row],[Net Weight]])</f>
        <v/>
      </c>
      <c r="O638" s="30"/>
      <c r="P63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38" s="30"/>
      <c r="R638" s="30" t="str" cm="1">
        <f t="array" ref="R638">Main_Log_Ref(Main_Log[[#This Row],[Carrier]])</f>
        <v/>
      </c>
    </row>
    <row r="639" spans="1:18" ht="29.85" customHeight="1" x14ac:dyDescent="0.45">
      <c r="A639" s="30">
        <v>43</v>
      </c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 t="str" cm="1">
        <f t="array" ref="N639">Main_Log_Status(Main_Log[[#This Row],[Carrier]],Main_Log[[#This Row],[Net Weight]])</f>
        <v/>
      </c>
      <c r="O639" s="30"/>
      <c r="P63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39" s="30"/>
      <c r="R639" s="30" t="str" cm="1">
        <f t="array" ref="R639">Main_Log_Ref(Main_Log[[#This Row],[Carrier]])</f>
        <v/>
      </c>
    </row>
    <row r="640" spans="1:18" ht="29.85" customHeight="1" x14ac:dyDescent="0.45">
      <c r="A640" s="30">
        <v>44</v>
      </c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 t="str" cm="1">
        <f t="array" ref="N640">Main_Log_Status(Main_Log[[#This Row],[Carrier]],Main_Log[[#This Row],[Net Weight]])</f>
        <v/>
      </c>
      <c r="O640" s="30"/>
      <c r="P64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40" s="30"/>
      <c r="R640" s="30" t="str" cm="1">
        <f t="array" ref="R640">Main_Log_Ref(Main_Log[[#This Row],[Carrier]])</f>
        <v/>
      </c>
    </row>
    <row r="641" spans="1:18" ht="29.85" customHeight="1" x14ac:dyDescent="0.45">
      <c r="A641" s="30">
        <v>45</v>
      </c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 t="str" cm="1">
        <f t="array" ref="N641">Main_Log_Status(Main_Log[[#This Row],[Carrier]],Main_Log[[#This Row],[Net Weight]])</f>
        <v/>
      </c>
      <c r="O641" s="30"/>
      <c r="P64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41" s="30"/>
      <c r="R641" s="30" t="str" cm="1">
        <f t="array" ref="R641">Main_Log_Ref(Main_Log[[#This Row],[Carrier]])</f>
        <v/>
      </c>
    </row>
    <row r="642" spans="1:18" ht="29.85" customHeight="1" x14ac:dyDescent="0.45">
      <c r="A642" s="30">
        <v>46</v>
      </c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 t="str" cm="1">
        <f t="array" ref="N642">Main_Log_Status(Main_Log[[#This Row],[Carrier]],Main_Log[[#This Row],[Net Weight]])</f>
        <v/>
      </c>
      <c r="O642" s="30"/>
      <c r="P64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42" s="30"/>
      <c r="R642" s="30" t="str" cm="1">
        <f t="array" ref="R642">Main_Log_Ref(Main_Log[[#This Row],[Carrier]])</f>
        <v/>
      </c>
    </row>
    <row r="643" spans="1:18" ht="29.85" customHeight="1" x14ac:dyDescent="0.45">
      <c r="A643" s="30">
        <v>47</v>
      </c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 t="str" cm="1">
        <f t="array" ref="N643">Main_Log_Status(Main_Log[[#This Row],[Carrier]],Main_Log[[#This Row],[Net Weight]])</f>
        <v/>
      </c>
      <c r="O643" s="30"/>
      <c r="P64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43" s="30"/>
      <c r="R643" s="30" t="str" cm="1">
        <f t="array" ref="R643">Main_Log_Ref(Main_Log[[#This Row],[Carrier]])</f>
        <v/>
      </c>
    </row>
    <row r="644" spans="1:18" ht="29.85" customHeight="1" x14ac:dyDescent="0.45">
      <c r="A644" s="30">
        <v>48</v>
      </c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 t="str" cm="1">
        <f t="array" ref="N644">Main_Log_Status(Main_Log[[#This Row],[Carrier]],Main_Log[[#This Row],[Net Weight]])</f>
        <v/>
      </c>
      <c r="O644" s="30"/>
      <c r="P64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44" s="30"/>
      <c r="R644" s="30" t="str" cm="1">
        <f t="array" ref="R644">Main_Log_Ref(Main_Log[[#This Row],[Carrier]])</f>
        <v/>
      </c>
    </row>
    <row r="645" spans="1:18" ht="29.85" customHeight="1" x14ac:dyDescent="0.45">
      <c r="A645" s="30">
        <v>49</v>
      </c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 t="str" cm="1">
        <f t="array" ref="N645">Main_Log_Status(Main_Log[[#This Row],[Carrier]],Main_Log[[#This Row],[Net Weight]])</f>
        <v/>
      </c>
      <c r="O645" s="30"/>
      <c r="P64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45" s="30"/>
      <c r="R645" s="30" t="str" cm="1">
        <f t="array" ref="R645">Main_Log_Ref(Main_Log[[#This Row],[Carrier]])</f>
        <v/>
      </c>
    </row>
    <row r="646" spans="1:18" ht="29.85" customHeight="1" x14ac:dyDescent="0.45">
      <c r="A646" s="30">
        <v>50</v>
      </c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 t="str" cm="1">
        <f t="array" ref="N646">Main_Log_Status(Main_Log[[#This Row],[Carrier]],Main_Log[[#This Row],[Net Weight]])</f>
        <v/>
      </c>
      <c r="O646" s="30"/>
      <c r="P64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46" s="30"/>
      <c r="R646" s="30" t="str" cm="1">
        <f t="array" ref="R646">Main_Log_Ref(Main_Log[[#This Row],[Carrier]])</f>
        <v/>
      </c>
    </row>
    <row r="647" spans="1:18" ht="29.85" customHeight="1" x14ac:dyDescent="0.45">
      <c r="A647" s="30">
        <v>51</v>
      </c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 t="str" cm="1">
        <f t="array" ref="N647">Main_Log_Status(Main_Log[[#This Row],[Carrier]],Main_Log[[#This Row],[Net Weight]])</f>
        <v/>
      </c>
      <c r="O647" s="30"/>
      <c r="P64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47" s="30"/>
      <c r="R647" s="30" t="str" cm="1">
        <f t="array" ref="R647">Main_Log_Ref(Main_Log[[#This Row],[Carrier]])</f>
        <v/>
      </c>
    </row>
    <row r="648" spans="1:18" ht="29.85" customHeight="1" x14ac:dyDescent="0.45">
      <c r="A648" s="30">
        <v>52</v>
      </c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 t="str" cm="1">
        <f t="array" ref="N648">Main_Log_Status(Main_Log[[#This Row],[Carrier]],Main_Log[[#This Row],[Net Weight]])</f>
        <v/>
      </c>
      <c r="O648" s="30"/>
      <c r="P64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48" s="30"/>
      <c r="R648" s="30" t="str" cm="1">
        <f t="array" ref="R648">Main_Log_Ref(Main_Log[[#This Row],[Carrier]])</f>
        <v/>
      </c>
    </row>
    <row r="649" spans="1:18" ht="29.85" customHeight="1" x14ac:dyDescent="0.45">
      <c r="A649" s="30">
        <v>53</v>
      </c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 t="str" cm="1">
        <f t="array" ref="N649">Main_Log_Status(Main_Log[[#This Row],[Carrier]],Main_Log[[#This Row],[Net Weight]])</f>
        <v/>
      </c>
      <c r="O649" s="30"/>
      <c r="P64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49" s="30"/>
      <c r="R649" s="30" t="str" cm="1">
        <f t="array" ref="R649">Main_Log_Ref(Main_Log[[#This Row],[Carrier]])</f>
        <v/>
      </c>
    </row>
    <row r="650" spans="1:18" ht="29.85" customHeight="1" x14ac:dyDescent="0.45">
      <c r="A650" s="30">
        <v>54</v>
      </c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 t="str" cm="1">
        <f t="array" ref="N650">Main_Log_Status(Main_Log[[#This Row],[Carrier]],Main_Log[[#This Row],[Net Weight]])</f>
        <v/>
      </c>
      <c r="O650" s="30"/>
      <c r="P65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50" s="30"/>
      <c r="R650" s="30" t="str" cm="1">
        <f t="array" ref="R650">Main_Log_Ref(Main_Log[[#This Row],[Carrier]])</f>
        <v/>
      </c>
    </row>
    <row r="651" spans="1:18" ht="29.85" customHeight="1" x14ac:dyDescent="0.45">
      <c r="A651" s="30">
        <v>55</v>
      </c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 t="str" cm="1">
        <f t="array" ref="N651">Main_Log_Status(Main_Log[[#This Row],[Carrier]],Main_Log[[#This Row],[Net Weight]])</f>
        <v/>
      </c>
      <c r="O651" s="30"/>
      <c r="P65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51" s="30"/>
      <c r="R651" s="30" t="str" cm="1">
        <f t="array" ref="R651">Main_Log_Ref(Main_Log[[#This Row],[Carrier]])</f>
        <v/>
      </c>
    </row>
    <row r="652" spans="1:18" ht="29.85" customHeight="1" x14ac:dyDescent="0.45">
      <c r="A652" s="30">
        <v>56</v>
      </c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 t="str" cm="1">
        <f t="array" ref="N652">Main_Log_Status(Main_Log[[#This Row],[Carrier]],Main_Log[[#This Row],[Net Weight]])</f>
        <v/>
      </c>
      <c r="O652" s="30"/>
      <c r="P65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52" s="30"/>
      <c r="R652" s="30" t="str" cm="1">
        <f t="array" ref="R652">Main_Log_Ref(Main_Log[[#This Row],[Carrier]])</f>
        <v/>
      </c>
    </row>
    <row r="653" spans="1:18" ht="29.85" customHeight="1" x14ac:dyDescent="0.45">
      <c r="A653" s="30">
        <v>57</v>
      </c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 t="str" cm="1">
        <f t="array" ref="N653">Main_Log_Status(Main_Log[[#This Row],[Carrier]],Main_Log[[#This Row],[Net Weight]])</f>
        <v/>
      </c>
      <c r="O653" s="30"/>
      <c r="P65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53" s="30"/>
      <c r="R653" s="30" t="str" cm="1">
        <f t="array" ref="R653">Main_Log_Ref(Main_Log[[#This Row],[Carrier]])</f>
        <v/>
      </c>
    </row>
    <row r="654" spans="1:18" ht="29.85" customHeight="1" x14ac:dyDescent="0.45">
      <c r="A654" s="30">
        <v>58</v>
      </c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 t="str" cm="1">
        <f t="array" ref="N654">Main_Log_Status(Main_Log[[#This Row],[Carrier]],Main_Log[[#This Row],[Net Weight]])</f>
        <v/>
      </c>
      <c r="O654" s="30"/>
      <c r="P65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54" s="30"/>
      <c r="R654" s="30" t="str" cm="1">
        <f t="array" ref="R654">Main_Log_Ref(Main_Log[[#This Row],[Carrier]])</f>
        <v/>
      </c>
    </row>
    <row r="655" spans="1:18" ht="29.85" customHeight="1" x14ac:dyDescent="0.45">
      <c r="A655" s="30">
        <v>59</v>
      </c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 t="str" cm="1">
        <f t="array" ref="N655">Main_Log_Status(Main_Log[[#This Row],[Carrier]],Main_Log[[#This Row],[Net Weight]])</f>
        <v/>
      </c>
      <c r="O655" s="30"/>
      <c r="P65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55" s="30"/>
      <c r="R655" s="30" t="str" cm="1">
        <f t="array" ref="R655">Main_Log_Ref(Main_Log[[#This Row],[Carrier]])</f>
        <v/>
      </c>
    </row>
    <row r="656" spans="1:18" ht="29.85" customHeight="1" x14ac:dyDescent="0.45">
      <c r="A656" s="30">
        <v>60</v>
      </c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 t="str" cm="1">
        <f t="array" ref="N656">Main_Log_Status(Main_Log[[#This Row],[Carrier]],Main_Log[[#This Row],[Net Weight]])</f>
        <v/>
      </c>
      <c r="O656" s="30"/>
      <c r="P65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56" s="30"/>
      <c r="R656" s="30" t="str" cm="1">
        <f t="array" ref="R656">Main_Log_Ref(Main_Log[[#This Row],[Carrier]])</f>
        <v/>
      </c>
    </row>
    <row r="657" spans="1:18" ht="29.85" customHeight="1" x14ac:dyDescent="0.45">
      <c r="A657" s="30">
        <v>61</v>
      </c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 t="str" cm="1">
        <f t="array" ref="N657">Main_Log_Status(Main_Log[[#This Row],[Carrier]],Main_Log[[#This Row],[Net Weight]])</f>
        <v/>
      </c>
      <c r="O657" s="30"/>
      <c r="P65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57" s="30"/>
      <c r="R657" s="30" t="str" cm="1">
        <f t="array" ref="R657">Main_Log_Ref(Main_Log[[#This Row],[Carrier]])</f>
        <v/>
      </c>
    </row>
    <row r="658" spans="1:18" ht="29.85" customHeight="1" x14ac:dyDescent="0.45">
      <c r="A658" s="30">
        <v>62</v>
      </c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 t="str" cm="1">
        <f t="array" ref="N658">Main_Log_Status(Main_Log[[#This Row],[Carrier]],Main_Log[[#This Row],[Net Weight]])</f>
        <v/>
      </c>
      <c r="O658" s="30"/>
      <c r="P65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58" s="30"/>
      <c r="R658" s="30" t="str" cm="1">
        <f t="array" ref="R658">Main_Log_Ref(Main_Log[[#This Row],[Carrier]])</f>
        <v/>
      </c>
    </row>
    <row r="659" spans="1:18" ht="29.85" customHeight="1" x14ac:dyDescent="0.45">
      <c r="A659" s="30">
        <v>63</v>
      </c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 t="str" cm="1">
        <f t="array" ref="N659">Main_Log_Status(Main_Log[[#This Row],[Carrier]],Main_Log[[#This Row],[Net Weight]])</f>
        <v/>
      </c>
      <c r="O659" s="30"/>
      <c r="P65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59" s="30"/>
      <c r="R659" s="30" t="str" cm="1">
        <f t="array" ref="R659">Main_Log_Ref(Main_Log[[#This Row],[Carrier]])</f>
        <v/>
      </c>
    </row>
    <row r="660" spans="1:18" ht="29.85" customHeight="1" x14ac:dyDescent="0.45">
      <c r="A660" s="30">
        <v>64</v>
      </c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 t="str" cm="1">
        <f t="array" ref="N660">Main_Log_Status(Main_Log[[#This Row],[Carrier]],Main_Log[[#This Row],[Net Weight]])</f>
        <v/>
      </c>
      <c r="O660" s="30"/>
      <c r="P66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60" s="30"/>
      <c r="R660" s="30" t="str" cm="1">
        <f t="array" ref="R660">Main_Log_Ref(Main_Log[[#This Row],[Carrier]])</f>
        <v/>
      </c>
    </row>
    <row r="661" spans="1:18" ht="29.85" customHeight="1" x14ac:dyDescent="0.45">
      <c r="A661" s="30">
        <v>65</v>
      </c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 t="str" cm="1">
        <f t="array" ref="N661">Main_Log_Status(Main_Log[[#This Row],[Carrier]],Main_Log[[#This Row],[Net Weight]])</f>
        <v/>
      </c>
      <c r="O661" s="30"/>
      <c r="P66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61" s="30"/>
      <c r="R661" s="30" t="str" cm="1">
        <f t="array" ref="R661">Main_Log_Ref(Main_Log[[#This Row],[Carrier]])</f>
        <v/>
      </c>
    </row>
    <row r="662" spans="1:18" ht="29.85" customHeight="1" x14ac:dyDescent="0.45">
      <c r="A662" s="30">
        <v>66</v>
      </c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 t="str" cm="1">
        <f t="array" ref="N662">Main_Log_Status(Main_Log[[#This Row],[Carrier]],Main_Log[[#This Row],[Net Weight]])</f>
        <v/>
      </c>
      <c r="O662" s="30"/>
      <c r="P66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62" s="30"/>
      <c r="R662" s="30" t="str" cm="1">
        <f t="array" ref="R662">Main_Log_Ref(Main_Log[[#This Row],[Carrier]])</f>
        <v/>
      </c>
    </row>
    <row r="663" spans="1:18" ht="29.85" customHeight="1" x14ac:dyDescent="0.45">
      <c r="A663" s="30">
        <v>67</v>
      </c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 t="str" cm="1">
        <f t="array" ref="N663">Main_Log_Status(Main_Log[[#This Row],[Carrier]],Main_Log[[#This Row],[Net Weight]])</f>
        <v/>
      </c>
      <c r="O663" s="30"/>
      <c r="P66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63" s="30"/>
      <c r="R663" s="30" t="str" cm="1">
        <f t="array" ref="R663">Main_Log_Ref(Main_Log[[#This Row],[Carrier]])</f>
        <v/>
      </c>
    </row>
    <row r="664" spans="1:18" ht="29.85" customHeight="1" x14ac:dyDescent="0.45">
      <c r="A664" s="30">
        <v>68</v>
      </c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 t="str" cm="1">
        <f t="array" ref="N664">Main_Log_Status(Main_Log[[#This Row],[Carrier]],Main_Log[[#This Row],[Net Weight]])</f>
        <v/>
      </c>
      <c r="O664" s="30"/>
      <c r="P66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64" s="30"/>
      <c r="R664" s="30" t="str" cm="1">
        <f t="array" ref="R664">Main_Log_Ref(Main_Log[[#This Row],[Carrier]])</f>
        <v/>
      </c>
    </row>
    <row r="665" spans="1:18" ht="29.85" customHeight="1" x14ac:dyDescent="0.45">
      <c r="A665" s="30">
        <v>69</v>
      </c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 t="str" cm="1">
        <f t="array" ref="N665">Main_Log_Status(Main_Log[[#This Row],[Carrier]],Main_Log[[#This Row],[Net Weight]])</f>
        <v/>
      </c>
      <c r="O665" s="30"/>
      <c r="P66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65" s="30"/>
      <c r="R665" s="30" t="str" cm="1">
        <f t="array" ref="R665">Main_Log_Ref(Main_Log[[#This Row],[Carrier]])</f>
        <v/>
      </c>
    </row>
    <row r="666" spans="1:18" ht="29.85" customHeight="1" x14ac:dyDescent="0.45">
      <c r="A666" s="30">
        <v>70</v>
      </c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 t="str" cm="1">
        <f t="array" ref="N666">Main_Log_Status(Main_Log[[#This Row],[Carrier]],Main_Log[[#This Row],[Net Weight]])</f>
        <v/>
      </c>
      <c r="O666" s="30"/>
      <c r="P66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66" s="30"/>
      <c r="R666" s="30" t="str" cm="1">
        <f t="array" ref="R666">Main_Log_Ref(Main_Log[[#This Row],[Carrier]])</f>
        <v/>
      </c>
    </row>
    <row r="667" spans="1:18" ht="29.85" customHeight="1" x14ac:dyDescent="0.45">
      <c r="A667" s="30">
        <v>71</v>
      </c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 t="str" cm="1">
        <f t="array" ref="N667">Main_Log_Status(Main_Log[[#This Row],[Carrier]],Main_Log[[#This Row],[Net Weight]])</f>
        <v/>
      </c>
      <c r="O667" s="30"/>
      <c r="P66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67" s="30"/>
      <c r="R667" s="30" t="str" cm="1">
        <f t="array" ref="R667">Main_Log_Ref(Main_Log[[#This Row],[Carrier]])</f>
        <v/>
      </c>
    </row>
    <row r="668" spans="1:18" ht="29.85" customHeight="1" x14ac:dyDescent="0.45">
      <c r="A668" s="30">
        <v>72</v>
      </c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 t="str" cm="1">
        <f t="array" ref="N668">Main_Log_Status(Main_Log[[#This Row],[Carrier]],Main_Log[[#This Row],[Net Weight]])</f>
        <v/>
      </c>
      <c r="O668" s="30"/>
      <c r="P66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68" s="30"/>
      <c r="R668" s="30" t="str" cm="1">
        <f t="array" ref="R668">Main_Log_Ref(Main_Log[[#This Row],[Carrier]])</f>
        <v/>
      </c>
    </row>
    <row r="669" spans="1:18" ht="29.85" customHeight="1" x14ac:dyDescent="0.45">
      <c r="A669" s="30">
        <v>73</v>
      </c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 t="str" cm="1">
        <f t="array" ref="N669">Main_Log_Status(Main_Log[[#This Row],[Carrier]],Main_Log[[#This Row],[Net Weight]])</f>
        <v/>
      </c>
      <c r="O669" s="30"/>
      <c r="P66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69" s="30"/>
      <c r="R669" s="30" t="str" cm="1">
        <f t="array" ref="R669">Main_Log_Ref(Main_Log[[#This Row],[Carrier]])</f>
        <v/>
      </c>
    </row>
    <row r="670" spans="1:18" ht="29.85" customHeight="1" x14ac:dyDescent="0.45">
      <c r="A670" s="30">
        <v>74</v>
      </c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 t="str" cm="1">
        <f t="array" ref="N670">Main_Log_Status(Main_Log[[#This Row],[Carrier]],Main_Log[[#This Row],[Net Weight]])</f>
        <v/>
      </c>
      <c r="O670" s="30"/>
      <c r="P67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70" s="30"/>
      <c r="R670" s="30" t="str" cm="1">
        <f t="array" ref="R670">Main_Log_Ref(Main_Log[[#This Row],[Carrier]])</f>
        <v/>
      </c>
    </row>
    <row r="671" spans="1:18" ht="29.85" customHeight="1" x14ac:dyDescent="0.45">
      <c r="A671" s="30">
        <v>75</v>
      </c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 t="str" cm="1">
        <f t="array" ref="N671">Main_Log_Status(Main_Log[[#This Row],[Carrier]],Main_Log[[#This Row],[Net Weight]])</f>
        <v/>
      </c>
      <c r="O671" s="30"/>
      <c r="P67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71" s="30"/>
      <c r="R671" s="30" t="str" cm="1">
        <f t="array" ref="R671">Main_Log_Ref(Main_Log[[#This Row],[Carrier]])</f>
        <v/>
      </c>
    </row>
    <row r="672" spans="1:18" ht="29.85" customHeight="1" x14ac:dyDescent="0.45">
      <c r="A672" s="30">
        <v>76</v>
      </c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 t="str" cm="1">
        <f t="array" ref="N672">Main_Log_Status(Main_Log[[#This Row],[Carrier]],Main_Log[[#This Row],[Net Weight]])</f>
        <v/>
      </c>
      <c r="O672" s="30"/>
      <c r="P67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72" s="30"/>
      <c r="R672" s="30" t="str" cm="1">
        <f t="array" ref="R672">Main_Log_Ref(Main_Log[[#This Row],[Carrier]])</f>
        <v/>
      </c>
    </row>
    <row r="673" spans="1:18" ht="29.85" customHeight="1" x14ac:dyDescent="0.45">
      <c r="A673" s="30">
        <v>77</v>
      </c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 t="str" cm="1">
        <f t="array" ref="N673">Main_Log_Status(Main_Log[[#This Row],[Carrier]],Main_Log[[#This Row],[Net Weight]])</f>
        <v/>
      </c>
      <c r="O673" s="30"/>
      <c r="P67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73" s="30"/>
      <c r="R673" s="30" t="str" cm="1">
        <f t="array" ref="R673">Main_Log_Ref(Main_Log[[#This Row],[Carrier]])</f>
        <v/>
      </c>
    </row>
    <row r="674" spans="1:18" ht="29.85" customHeight="1" x14ac:dyDescent="0.45">
      <c r="A674" s="30">
        <v>78</v>
      </c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 t="str" cm="1">
        <f t="array" ref="N674">Main_Log_Status(Main_Log[[#This Row],[Carrier]],Main_Log[[#This Row],[Net Weight]])</f>
        <v/>
      </c>
      <c r="O674" s="30"/>
      <c r="P67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74" s="30"/>
      <c r="R674" s="30" t="str" cm="1">
        <f t="array" ref="R674">Main_Log_Ref(Main_Log[[#This Row],[Carrier]])</f>
        <v/>
      </c>
    </row>
    <row r="675" spans="1:18" ht="29.85" customHeight="1" x14ac:dyDescent="0.45">
      <c r="A675" s="30">
        <v>79</v>
      </c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 t="str" cm="1">
        <f t="array" ref="N675">Main_Log_Status(Main_Log[[#This Row],[Carrier]],Main_Log[[#This Row],[Net Weight]])</f>
        <v/>
      </c>
      <c r="O675" s="30"/>
      <c r="P67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75" s="30"/>
      <c r="R675" s="30" t="str" cm="1">
        <f t="array" ref="R675">Main_Log_Ref(Main_Log[[#This Row],[Carrier]])</f>
        <v/>
      </c>
    </row>
    <row r="676" spans="1:18" ht="29.85" customHeight="1" x14ac:dyDescent="0.45">
      <c r="A676" s="30">
        <v>80</v>
      </c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 t="str" cm="1">
        <f t="array" ref="N676">Main_Log_Status(Main_Log[[#This Row],[Carrier]],Main_Log[[#This Row],[Net Weight]])</f>
        <v/>
      </c>
      <c r="O676" s="30"/>
      <c r="P67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76" s="30"/>
      <c r="R676" s="30" t="str" cm="1">
        <f t="array" ref="R676">Main_Log_Ref(Main_Log[[#This Row],[Carrier]])</f>
        <v/>
      </c>
    </row>
    <row r="677" spans="1:18" ht="29.85" customHeight="1" x14ac:dyDescent="0.45">
      <c r="A677" s="30">
        <v>81</v>
      </c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 t="str" cm="1">
        <f t="array" ref="N677">Main_Log_Status(Main_Log[[#This Row],[Carrier]],Main_Log[[#This Row],[Net Weight]])</f>
        <v/>
      </c>
      <c r="O677" s="30"/>
      <c r="P67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77" s="30"/>
      <c r="R677" s="30" t="str" cm="1">
        <f t="array" ref="R677">Main_Log_Ref(Main_Log[[#This Row],[Carrier]])</f>
        <v/>
      </c>
    </row>
    <row r="678" spans="1:18" ht="29.85" customHeight="1" x14ac:dyDescent="0.45">
      <c r="A678" s="30">
        <v>82</v>
      </c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 t="str" cm="1">
        <f t="array" ref="N678">Main_Log_Status(Main_Log[[#This Row],[Carrier]],Main_Log[[#This Row],[Net Weight]])</f>
        <v/>
      </c>
      <c r="O678" s="30"/>
      <c r="P67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78" s="30"/>
      <c r="R678" s="30" t="str" cm="1">
        <f t="array" ref="R678">Main_Log_Ref(Main_Log[[#This Row],[Carrier]])</f>
        <v/>
      </c>
    </row>
    <row r="679" spans="1:18" ht="29.85" customHeight="1" x14ac:dyDescent="0.45">
      <c r="A679" s="30">
        <v>83</v>
      </c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 t="str" cm="1">
        <f t="array" ref="N679">Main_Log_Status(Main_Log[[#This Row],[Carrier]],Main_Log[[#This Row],[Net Weight]])</f>
        <v/>
      </c>
      <c r="O679" s="30"/>
      <c r="P67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79" s="30"/>
      <c r="R679" s="30" t="str" cm="1">
        <f t="array" ref="R679">Main_Log_Ref(Main_Log[[#This Row],[Carrier]])</f>
        <v/>
      </c>
    </row>
    <row r="680" spans="1:18" ht="29.85" customHeight="1" x14ac:dyDescent="0.45">
      <c r="A680" s="30">
        <v>84</v>
      </c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 t="str" cm="1">
        <f t="array" ref="N680">Main_Log_Status(Main_Log[[#This Row],[Carrier]],Main_Log[[#This Row],[Net Weight]])</f>
        <v/>
      </c>
      <c r="O680" s="30"/>
      <c r="P68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80" s="30"/>
      <c r="R680" s="30" t="str" cm="1">
        <f t="array" ref="R680">Main_Log_Ref(Main_Log[[#This Row],[Carrier]])</f>
        <v/>
      </c>
    </row>
    <row r="681" spans="1:18" ht="29.85" customHeight="1" x14ac:dyDescent="0.45">
      <c r="A681" s="30">
        <v>85</v>
      </c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 t="str" cm="1">
        <f t="array" ref="N681">Main_Log_Status(Main_Log[[#This Row],[Carrier]],Main_Log[[#This Row],[Net Weight]])</f>
        <v/>
      </c>
      <c r="O681" s="30"/>
      <c r="P68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81" s="30"/>
      <c r="R681" s="30" t="str" cm="1">
        <f t="array" ref="R681">Main_Log_Ref(Main_Log[[#This Row],[Carrier]])</f>
        <v/>
      </c>
    </row>
    <row r="682" spans="1:18" ht="29.85" customHeight="1" x14ac:dyDescent="0.45">
      <c r="A682" s="30">
        <v>86</v>
      </c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 t="str" cm="1">
        <f t="array" ref="N682">Main_Log_Status(Main_Log[[#This Row],[Carrier]],Main_Log[[#This Row],[Net Weight]])</f>
        <v/>
      </c>
      <c r="O682" s="30"/>
      <c r="P68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82" s="30"/>
      <c r="R682" s="30" t="str" cm="1">
        <f t="array" ref="R682">Main_Log_Ref(Main_Log[[#This Row],[Carrier]])</f>
        <v/>
      </c>
    </row>
    <row r="683" spans="1:18" ht="29.85" customHeight="1" x14ac:dyDescent="0.45">
      <c r="A683" s="30">
        <v>87</v>
      </c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 t="str" cm="1">
        <f t="array" ref="N683">Main_Log_Status(Main_Log[[#This Row],[Carrier]],Main_Log[[#This Row],[Net Weight]])</f>
        <v/>
      </c>
      <c r="O683" s="30"/>
      <c r="P68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83" s="30"/>
      <c r="R683" s="30" t="str" cm="1">
        <f t="array" ref="R683">Main_Log_Ref(Main_Log[[#This Row],[Carrier]])</f>
        <v/>
      </c>
    </row>
    <row r="684" spans="1:18" ht="29.85" customHeight="1" x14ac:dyDescent="0.45">
      <c r="A684" s="30">
        <v>88</v>
      </c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 t="str" cm="1">
        <f t="array" ref="N684">Main_Log_Status(Main_Log[[#This Row],[Carrier]],Main_Log[[#This Row],[Net Weight]])</f>
        <v/>
      </c>
      <c r="O684" s="30"/>
      <c r="P68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84" s="30"/>
      <c r="R684" s="30" t="str" cm="1">
        <f t="array" ref="R684">Main_Log_Ref(Main_Log[[#This Row],[Carrier]])</f>
        <v/>
      </c>
    </row>
    <row r="685" spans="1:18" ht="29.85" customHeight="1" x14ac:dyDescent="0.45">
      <c r="A685" s="30">
        <v>89</v>
      </c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 t="str" cm="1">
        <f t="array" ref="N685">Main_Log_Status(Main_Log[[#This Row],[Carrier]],Main_Log[[#This Row],[Net Weight]])</f>
        <v/>
      </c>
      <c r="O685" s="30"/>
      <c r="P68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85" s="30"/>
      <c r="R685" s="30" t="str" cm="1">
        <f t="array" ref="R685">Main_Log_Ref(Main_Log[[#This Row],[Carrier]])</f>
        <v/>
      </c>
    </row>
    <row r="686" spans="1:18" ht="29.85" customHeight="1" x14ac:dyDescent="0.45">
      <c r="A686" s="30">
        <v>90</v>
      </c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 t="str" cm="1">
        <f t="array" ref="N686">Main_Log_Status(Main_Log[[#This Row],[Carrier]],Main_Log[[#This Row],[Net Weight]])</f>
        <v/>
      </c>
      <c r="O686" s="30"/>
      <c r="P68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86" s="30"/>
      <c r="R686" s="30" t="str" cm="1">
        <f t="array" ref="R686">Main_Log_Ref(Main_Log[[#This Row],[Carrier]])</f>
        <v/>
      </c>
    </row>
    <row r="687" spans="1:18" ht="29.85" customHeight="1" x14ac:dyDescent="0.45">
      <c r="A687" s="30">
        <v>91</v>
      </c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 t="str" cm="1">
        <f t="array" ref="N687">Main_Log_Status(Main_Log[[#This Row],[Carrier]],Main_Log[[#This Row],[Net Weight]])</f>
        <v/>
      </c>
      <c r="O687" s="30"/>
      <c r="P68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87" s="30"/>
      <c r="R687" s="30" t="str" cm="1">
        <f t="array" ref="R687">Main_Log_Ref(Main_Log[[#This Row],[Carrier]])</f>
        <v/>
      </c>
    </row>
    <row r="688" spans="1:18" ht="29.85" customHeight="1" x14ac:dyDescent="0.45">
      <c r="A688" s="30">
        <v>92</v>
      </c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 t="str" cm="1">
        <f t="array" ref="N688">Main_Log_Status(Main_Log[[#This Row],[Carrier]],Main_Log[[#This Row],[Net Weight]])</f>
        <v/>
      </c>
      <c r="O688" s="30"/>
      <c r="P68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88" s="30"/>
      <c r="R688" s="30" t="str" cm="1">
        <f t="array" ref="R688">Main_Log_Ref(Main_Log[[#This Row],[Carrier]])</f>
        <v/>
      </c>
    </row>
    <row r="689" spans="1:18" ht="29.85" customHeight="1" x14ac:dyDescent="0.45">
      <c r="A689" s="30">
        <v>93</v>
      </c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 t="str" cm="1">
        <f t="array" ref="N689">Main_Log_Status(Main_Log[[#This Row],[Carrier]],Main_Log[[#This Row],[Net Weight]])</f>
        <v/>
      </c>
      <c r="O689" s="30"/>
      <c r="P68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89" s="30"/>
      <c r="R689" s="30" t="str" cm="1">
        <f t="array" ref="R689">Main_Log_Ref(Main_Log[[#This Row],[Carrier]])</f>
        <v/>
      </c>
    </row>
    <row r="690" spans="1:18" ht="29.85" customHeight="1" x14ac:dyDescent="0.45">
      <c r="A690" s="30">
        <v>94</v>
      </c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 t="str" cm="1">
        <f t="array" ref="N690">Main_Log_Status(Main_Log[[#This Row],[Carrier]],Main_Log[[#This Row],[Net Weight]])</f>
        <v/>
      </c>
      <c r="O690" s="30"/>
      <c r="P69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90" s="30"/>
      <c r="R690" s="30" t="str" cm="1">
        <f t="array" ref="R690">Main_Log_Ref(Main_Log[[#This Row],[Carrier]])</f>
        <v/>
      </c>
    </row>
    <row r="691" spans="1:18" ht="29.85" customHeight="1" x14ac:dyDescent="0.45">
      <c r="A691" s="30">
        <v>95</v>
      </c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 t="str" cm="1">
        <f t="array" ref="N691">Main_Log_Status(Main_Log[[#This Row],[Carrier]],Main_Log[[#This Row],[Net Weight]])</f>
        <v/>
      </c>
      <c r="O691" s="30"/>
      <c r="P69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91" s="30"/>
      <c r="R691" s="30" t="str" cm="1">
        <f t="array" ref="R691">Main_Log_Ref(Main_Log[[#This Row],[Carrier]])</f>
        <v/>
      </c>
    </row>
    <row r="692" spans="1:18" ht="29.85" customHeight="1" x14ac:dyDescent="0.45">
      <c r="A692" s="30">
        <v>96</v>
      </c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 t="str" cm="1">
        <f t="array" ref="N692">Main_Log_Status(Main_Log[[#This Row],[Carrier]],Main_Log[[#This Row],[Net Weight]])</f>
        <v/>
      </c>
      <c r="O692" s="30"/>
      <c r="P69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92" s="30"/>
      <c r="R692" s="30" t="str" cm="1">
        <f t="array" ref="R692">Main_Log_Ref(Main_Log[[#This Row],[Carrier]])</f>
        <v/>
      </c>
    </row>
    <row r="693" spans="1:18" ht="29.85" customHeight="1" x14ac:dyDescent="0.45">
      <c r="A693" s="30">
        <v>97</v>
      </c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 t="str" cm="1">
        <f t="array" ref="N693">Main_Log_Status(Main_Log[[#This Row],[Carrier]],Main_Log[[#This Row],[Net Weight]])</f>
        <v/>
      </c>
      <c r="O693" s="30"/>
      <c r="P69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93" s="30"/>
      <c r="R693" s="30" t="str" cm="1">
        <f t="array" ref="R693">Main_Log_Ref(Main_Log[[#This Row],[Carrier]])</f>
        <v/>
      </c>
    </row>
    <row r="694" spans="1:18" ht="29.85" customHeight="1" x14ac:dyDescent="0.45">
      <c r="A694" s="30">
        <v>98</v>
      </c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 t="str" cm="1">
        <f t="array" ref="N694">Main_Log_Status(Main_Log[[#This Row],[Carrier]],Main_Log[[#This Row],[Net Weight]])</f>
        <v/>
      </c>
      <c r="O694" s="30"/>
      <c r="P69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94" s="30"/>
      <c r="R694" s="30" t="str" cm="1">
        <f t="array" ref="R694">Main_Log_Ref(Main_Log[[#This Row],[Carrier]])</f>
        <v/>
      </c>
    </row>
    <row r="695" spans="1:18" ht="29.85" customHeight="1" x14ac:dyDescent="0.45">
      <c r="A695" s="30">
        <v>99</v>
      </c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 t="str" cm="1">
        <f t="array" ref="N695">Main_Log_Status(Main_Log[[#This Row],[Carrier]],Main_Log[[#This Row],[Net Weight]])</f>
        <v/>
      </c>
      <c r="O695" s="30"/>
      <c r="P69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95" s="30"/>
      <c r="R695" s="30" t="str" cm="1">
        <f t="array" ref="R695">Main_Log_Ref(Main_Log[[#This Row],[Carrier]])</f>
        <v/>
      </c>
    </row>
    <row r="696" spans="1:18" ht="29.85" customHeight="1" x14ac:dyDescent="0.45">
      <c r="A696" s="30">
        <v>1</v>
      </c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 t="str" cm="1">
        <f t="array" ref="N696">Main_Log_Status(Main_Log[[#This Row],[Carrier]],Main_Log[[#This Row],[Net Weight]])</f>
        <v/>
      </c>
      <c r="O696" s="30"/>
      <c r="P69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96" s="30"/>
      <c r="R696" s="30" t="str" cm="1">
        <f t="array" ref="R696">Main_Log_Ref(Main_Log[[#This Row],[Carrier]])</f>
        <v/>
      </c>
    </row>
    <row r="697" spans="1:18" ht="29.85" customHeight="1" x14ac:dyDescent="0.45">
      <c r="A697" s="30">
        <v>2</v>
      </c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 t="str" cm="1">
        <f t="array" ref="N697">Main_Log_Status(Main_Log[[#This Row],[Carrier]],Main_Log[[#This Row],[Net Weight]])</f>
        <v/>
      </c>
      <c r="O697" s="30"/>
      <c r="P69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97" s="30"/>
      <c r="R697" s="30" t="str" cm="1">
        <f t="array" ref="R697">Main_Log_Ref(Main_Log[[#This Row],[Carrier]])</f>
        <v/>
      </c>
    </row>
    <row r="698" spans="1:18" ht="29.85" customHeight="1" x14ac:dyDescent="0.45">
      <c r="A698" s="30">
        <v>3</v>
      </c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 t="str" cm="1">
        <f t="array" ref="N698">Main_Log_Status(Main_Log[[#This Row],[Carrier]],Main_Log[[#This Row],[Net Weight]])</f>
        <v/>
      </c>
      <c r="O698" s="30"/>
      <c r="P69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98" s="30"/>
      <c r="R698" s="30" t="str" cm="1">
        <f t="array" ref="R698">Main_Log_Ref(Main_Log[[#This Row],[Carrier]])</f>
        <v/>
      </c>
    </row>
    <row r="699" spans="1:18" ht="29.85" customHeight="1" x14ac:dyDescent="0.45">
      <c r="A699" s="30">
        <v>4</v>
      </c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 t="str" cm="1">
        <f t="array" ref="N699">Main_Log_Status(Main_Log[[#This Row],[Carrier]],Main_Log[[#This Row],[Net Weight]])</f>
        <v/>
      </c>
      <c r="O699" s="30"/>
      <c r="P69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699" s="30"/>
      <c r="R699" s="30" t="str" cm="1">
        <f t="array" ref="R699">Main_Log_Ref(Main_Log[[#This Row],[Carrier]])</f>
        <v/>
      </c>
    </row>
    <row r="700" spans="1:18" ht="29.85" customHeight="1" x14ac:dyDescent="0.45">
      <c r="A700" s="30">
        <v>5</v>
      </c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 t="str" cm="1">
        <f t="array" ref="N700">Main_Log_Status(Main_Log[[#This Row],[Carrier]],Main_Log[[#This Row],[Net Weight]])</f>
        <v/>
      </c>
      <c r="O700" s="30"/>
      <c r="P70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00" s="30"/>
      <c r="R700" s="30" t="str" cm="1">
        <f t="array" ref="R700">Main_Log_Ref(Main_Log[[#This Row],[Carrier]])</f>
        <v/>
      </c>
    </row>
    <row r="701" spans="1:18" ht="29.85" customHeight="1" x14ac:dyDescent="0.45">
      <c r="A701" s="30">
        <v>6</v>
      </c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 t="str" cm="1">
        <f t="array" ref="N701">Main_Log_Status(Main_Log[[#This Row],[Carrier]],Main_Log[[#This Row],[Net Weight]])</f>
        <v/>
      </c>
      <c r="O701" s="30"/>
      <c r="P70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01" s="30"/>
      <c r="R701" s="30" t="str" cm="1">
        <f t="array" ref="R701">Main_Log_Ref(Main_Log[[#This Row],[Carrier]])</f>
        <v/>
      </c>
    </row>
    <row r="702" spans="1:18" ht="29.85" customHeight="1" x14ac:dyDescent="0.45">
      <c r="A702" s="30">
        <v>7</v>
      </c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 t="str" cm="1">
        <f t="array" ref="N702">Main_Log_Status(Main_Log[[#This Row],[Carrier]],Main_Log[[#This Row],[Net Weight]])</f>
        <v/>
      </c>
      <c r="O702" s="30"/>
      <c r="P70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02" s="30"/>
      <c r="R702" s="30" t="str" cm="1">
        <f t="array" ref="R702">Main_Log_Ref(Main_Log[[#This Row],[Carrier]])</f>
        <v/>
      </c>
    </row>
    <row r="703" spans="1:18" ht="29.85" customHeight="1" x14ac:dyDescent="0.45">
      <c r="A703" s="30">
        <v>8</v>
      </c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 t="str" cm="1">
        <f t="array" ref="N703">Main_Log_Status(Main_Log[[#This Row],[Carrier]],Main_Log[[#This Row],[Net Weight]])</f>
        <v/>
      </c>
      <c r="O703" s="30"/>
      <c r="P70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03" s="30"/>
      <c r="R703" s="30" t="str" cm="1">
        <f t="array" ref="R703">Main_Log_Ref(Main_Log[[#This Row],[Carrier]])</f>
        <v/>
      </c>
    </row>
    <row r="704" spans="1:18" ht="29.85" customHeight="1" x14ac:dyDescent="0.45">
      <c r="A704" s="30">
        <v>9</v>
      </c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 t="str" cm="1">
        <f t="array" ref="N704">Main_Log_Status(Main_Log[[#This Row],[Carrier]],Main_Log[[#This Row],[Net Weight]])</f>
        <v/>
      </c>
      <c r="O704" s="30"/>
      <c r="P70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04" s="30"/>
      <c r="R704" s="30" t="str" cm="1">
        <f t="array" ref="R704">Main_Log_Ref(Main_Log[[#This Row],[Carrier]])</f>
        <v/>
      </c>
    </row>
    <row r="705" spans="1:18" ht="29.85" customHeight="1" x14ac:dyDescent="0.45">
      <c r="A705" s="30">
        <v>10</v>
      </c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 t="str" cm="1">
        <f t="array" ref="N705">Main_Log_Status(Main_Log[[#This Row],[Carrier]],Main_Log[[#This Row],[Net Weight]])</f>
        <v/>
      </c>
      <c r="O705" s="30"/>
      <c r="P70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05" s="30"/>
      <c r="R705" s="30" t="str" cm="1">
        <f t="array" ref="R705">Main_Log_Ref(Main_Log[[#This Row],[Carrier]])</f>
        <v/>
      </c>
    </row>
    <row r="706" spans="1:18" ht="29.85" customHeight="1" x14ac:dyDescent="0.45">
      <c r="A706" s="30">
        <v>11</v>
      </c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 t="str" cm="1">
        <f t="array" ref="N706">Main_Log_Status(Main_Log[[#This Row],[Carrier]],Main_Log[[#This Row],[Net Weight]])</f>
        <v/>
      </c>
      <c r="O706" s="30"/>
      <c r="P70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06" s="30"/>
      <c r="R706" s="30" t="str" cm="1">
        <f t="array" ref="R706">Main_Log_Ref(Main_Log[[#This Row],[Carrier]])</f>
        <v/>
      </c>
    </row>
    <row r="707" spans="1:18" ht="29.85" customHeight="1" x14ac:dyDescent="0.45">
      <c r="A707" s="30">
        <v>12</v>
      </c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 t="str" cm="1">
        <f t="array" ref="N707">Main_Log_Status(Main_Log[[#This Row],[Carrier]],Main_Log[[#This Row],[Net Weight]])</f>
        <v/>
      </c>
      <c r="O707" s="30"/>
      <c r="P70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07" s="30"/>
      <c r="R707" s="30" t="str" cm="1">
        <f t="array" ref="R707">Main_Log_Ref(Main_Log[[#This Row],[Carrier]])</f>
        <v/>
      </c>
    </row>
    <row r="708" spans="1:18" ht="29.85" customHeight="1" x14ac:dyDescent="0.45">
      <c r="A708" s="30">
        <v>13</v>
      </c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 t="str" cm="1">
        <f t="array" ref="N708">Main_Log_Status(Main_Log[[#This Row],[Carrier]],Main_Log[[#This Row],[Net Weight]])</f>
        <v/>
      </c>
      <c r="O708" s="30"/>
      <c r="P70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08" s="30"/>
      <c r="R708" s="30" t="str" cm="1">
        <f t="array" ref="R708">Main_Log_Ref(Main_Log[[#This Row],[Carrier]])</f>
        <v/>
      </c>
    </row>
    <row r="709" spans="1:18" ht="29.85" customHeight="1" x14ac:dyDescent="0.45">
      <c r="A709" s="30">
        <v>14</v>
      </c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 t="str" cm="1">
        <f t="array" ref="N709">Main_Log_Status(Main_Log[[#This Row],[Carrier]],Main_Log[[#This Row],[Net Weight]])</f>
        <v/>
      </c>
      <c r="O709" s="30"/>
      <c r="P70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09" s="30"/>
      <c r="R709" s="30" t="str" cm="1">
        <f t="array" ref="R709">Main_Log_Ref(Main_Log[[#This Row],[Carrier]])</f>
        <v/>
      </c>
    </row>
    <row r="710" spans="1:18" ht="29.85" customHeight="1" x14ac:dyDescent="0.45">
      <c r="A710" s="30">
        <v>15</v>
      </c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 t="str" cm="1">
        <f t="array" ref="N710">Main_Log_Status(Main_Log[[#This Row],[Carrier]],Main_Log[[#This Row],[Net Weight]])</f>
        <v/>
      </c>
      <c r="O710" s="30"/>
      <c r="P71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10" s="30"/>
      <c r="R710" s="30" t="str" cm="1">
        <f t="array" ref="R710">Main_Log_Ref(Main_Log[[#This Row],[Carrier]])</f>
        <v/>
      </c>
    </row>
    <row r="711" spans="1:18" ht="29.85" customHeight="1" x14ac:dyDescent="0.45">
      <c r="A711" s="30">
        <v>16</v>
      </c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 t="str" cm="1">
        <f t="array" ref="N711">Main_Log_Status(Main_Log[[#This Row],[Carrier]],Main_Log[[#This Row],[Net Weight]])</f>
        <v/>
      </c>
      <c r="O711" s="30"/>
      <c r="P71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11" s="30"/>
      <c r="R711" s="30" t="str" cm="1">
        <f t="array" ref="R711">Main_Log_Ref(Main_Log[[#This Row],[Carrier]])</f>
        <v/>
      </c>
    </row>
    <row r="712" spans="1:18" ht="29.85" customHeight="1" x14ac:dyDescent="0.45">
      <c r="A712" s="30">
        <v>17</v>
      </c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 t="str" cm="1">
        <f t="array" ref="N712">Main_Log_Status(Main_Log[[#This Row],[Carrier]],Main_Log[[#This Row],[Net Weight]])</f>
        <v/>
      </c>
      <c r="O712" s="30"/>
      <c r="P71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12" s="30"/>
      <c r="R712" s="30" t="str" cm="1">
        <f t="array" ref="R712">Main_Log_Ref(Main_Log[[#This Row],[Carrier]])</f>
        <v/>
      </c>
    </row>
    <row r="713" spans="1:18" ht="29.85" customHeight="1" x14ac:dyDescent="0.45">
      <c r="A713" s="30">
        <v>18</v>
      </c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 t="str" cm="1">
        <f t="array" ref="N713">Main_Log_Status(Main_Log[[#This Row],[Carrier]],Main_Log[[#This Row],[Net Weight]])</f>
        <v/>
      </c>
      <c r="O713" s="30"/>
      <c r="P71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13" s="30"/>
      <c r="R713" s="30" t="str" cm="1">
        <f t="array" ref="R713">Main_Log_Ref(Main_Log[[#This Row],[Carrier]])</f>
        <v/>
      </c>
    </row>
    <row r="714" spans="1:18" ht="29.85" customHeight="1" x14ac:dyDescent="0.45">
      <c r="A714" s="30">
        <v>19</v>
      </c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 t="str" cm="1">
        <f t="array" ref="N714">Main_Log_Status(Main_Log[[#This Row],[Carrier]],Main_Log[[#This Row],[Net Weight]])</f>
        <v/>
      </c>
      <c r="O714" s="30"/>
      <c r="P71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14" s="30"/>
      <c r="R714" s="30" t="str" cm="1">
        <f t="array" ref="R714">Main_Log_Ref(Main_Log[[#This Row],[Carrier]])</f>
        <v/>
      </c>
    </row>
    <row r="715" spans="1:18" ht="29.85" customHeight="1" x14ac:dyDescent="0.45">
      <c r="A715" s="30">
        <v>20</v>
      </c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 t="str" cm="1">
        <f t="array" ref="N715">Main_Log_Status(Main_Log[[#This Row],[Carrier]],Main_Log[[#This Row],[Net Weight]])</f>
        <v/>
      </c>
      <c r="O715" s="30"/>
      <c r="P71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15" s="30"/>
      <c r="R715" s="30" t="str" cm="1">
        <f t="array" ref="R715">Main_Log_Ref(Main_Log[[#This Row],[Carrier]])</f>
        <v/>
      </c>
    </row>
    <row r="716" spans="1:18" ht="29.85" customHeight="1" x14ac:dyDescent="0.45">
      <c r="A716" s="30">
        <v>21</v>
      </c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 t="str" cm="1">
        <f t="array" ref="N716">Main_Log_Status(Main_Log[[#This Row],[Carrier]],Main_Log[[#This Row],[Net Weight]])</f>
        <v/>
      </c>
      <c r="O716" s="30"/>
      <c r="P71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16" s="30"/>
      <c r="R716" s="30" t="str" cm="1">
        <f t="array" ref="R716">Main_Log_Ref(Main_Log[[#This Row],[Carrier]])</f>
        <v/>
      </c>
    </row>
    <row r="717" spans="1:18" ht="29.85" customHeight="1" x14ac:dyDescent="0.45">
      <c r="A717" s="30">
        <v>22</v>
      </c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 t="str" cm="1">
        <f t="array" ref="N717">Main_Log_Status(Main_Log[[#This Row],[Carrier]],Main_Log[[#This Row],[Net Weight]])</f>
        <v/>
      </c>
      <c r="O717" s="30"/>
      <c r="P71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17" s="30"/>
      <c r="R717" s="30" t="str" cm="1">
        <f t="array" ref="R717">Main_Log_Ref(Main_Log[[#This Row],[Carrier]])</f>
        <v/>
      </c>
    </row>
    <row r="718" spans="1:18" ht="29.85" customHeight="1" x14ac:dyDescent="0.45">
      <c r="A718" s="30">
        <v>23</v>
      </c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 t="str" cm="1">
        <f t="array" ref="N718">Main_Log_Status(Main_Log[[#This Row],[Carrier]],Main_Log[[#This Row],[Net Weight]])</f>
        <v/>
      </c>
      <c r="O718" s="30"/>
      <c r="P71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18" s="30"/>
      <c r="R718" s="30" t="str" cm="1">
        <f t="array" ref="R718">Main_Log_Ref(Main_Log[[#This Row],[Carrier]])</f>
        <v/>
      </c>
    </row>
    <row r="719" spans="1:18" ht="29.85" customHeight="1" x14ac:dyDescent="0.45">
      <c r="A719" s="30">
        <v>24</v>
      </c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 t="str" cm="1">
        <f t="array" ref="N719">Main_Log_Status(Main_Log[[#This Row],[Carrier]],Main_Log[[#This Row],[Net Weight]])</f>
        <v/>
      </c>
      <c r="O719" s="30"/>
      <c r="P71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19" s="30"/>
      <c r="R719" s="30" t="str" cm="1">
        <f t="array" ref="R719">Main_Log_Ref(Main_Log[[#This Row],[Carrier]])</f>
        <v/>
      </c>
    </row>
    <row r="720" spans="1:18" ht="29.85" customHeight="1" x14ac:dyDescent="0.45">
      <c r="A720" s="30">
        <v>25</v>
      </c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 t="str" cm="1">
        <f t="array" ref="N720">Main_Log_Status(Main_Log[[#This Row],[Carrier]],Main_Log[[#This Row],[Net Weight]])</f>
        <v/>
      </c>
      <c r="O720" s="30"/>
      <c r="P72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20" s="30"/>
      <c r="R720" s="30" t="str" cm="1">
        <f t="array" ref="R720">Main_Log_Ref(Main_Log[[#This Row],[Carrier]])</f>
        <v/>
      </c>
    </row>
    <row r="721" spans="1:18" ht="29.85" customHeight="1" x14ac:dyDescent="0.45">
      <c r="A721" s="30">
        <v>26</v>
      </c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 t="str" cm="1">
        <f t="array" ref="N721">Main_Log_Status(Main_Log[[#This Row],[Carrier]],Main_Log[[#This Row],[Net Weight]])</f>
        <v/>
      </c>
      <c r="O721" s="30"/>
      <c r="P72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21" s="30"/>
      <c r="R721" s="30" t="str" cm="1">
        <f t="array" ref="R721">Main_Log_Ref(Main_Log[[#This Row],[Carrier]])</f>
        <v/>
      </c>
    </row>
    <row r="722" spans="1:18" ht="29.85" customHeight="1" x14ac:dyDescent="0.45">
      <c r="A722" s="30">
        <v>27</v>
      </c>
      <c r="B722" s="30"/>
      <c r="C722" s="30"/>
      <c r="D722" s="30"/>
      <c r="E722" s="30"/>
      <c r="F722" s="30"/>
      <c r="G722" s="30"/>
      <c r="H722" s="30"/>
      <c r="I722" s="30"/>
      <c r="J722" s="30"/>
      <c r="K722" s="30"/>
      <c r="L722" s="30"/>
      <c r="M722" s="30"/>
      <c r="N722" s="30" t="str" cm="1">
        <f t="array" ref="N722">Main_Log_Status(Main_Log[[#This Row],[Carrier]],Main_Log[[#This Row],[Net Weight]])</f>
        <v/>
      </c>
      <c r="O722" s="30"/>
      <c r="P72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22" s="30"/>
      <c r="R722" s="30" t="str" cm="1">
        <f t="array" ref="R722">Main_Log_Ref(Main_Log[[#This Row],[Carrier]])</f>
        <v/>
      </c>
    </row>
    <row r="723" spans="1:18" ht="29.85" customHeight="1" x14ac:dyDescent="0.45">
      <c r="A723" s="30">
        <v>28</v>
      </c>
      <c r="B723" s="30"/>
      <c r="C723" s="30"/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 t="str" cm="1">
        <f t="array" ref="N723">Main_Log_Status(Main_Log[[#This Row],[Carrier]],Main_Log[[#This Row],[Net Weight]])</f>
        <v/>
      </c>
      <c r="O723" s="30"/>
      <c r="P72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23" s="30"/>
      <c r="R723" s="30" t="str" cm="1">
        <f t="array" ref="R723">Main_Log_Ref(Main_Log[[#This Row],[Carrier]])</f>
        <v/>
      </c>
    </row>
    <row r="724" spans="1:18" ht="29.85" customHeight="1" x14ac:dyDescent="0.45">
      <c r="A724" s="30">
        <v>29</v>
      </c>
      <c r="B724" s="30"/>
      <c r="C724" s="30"/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 t="str" cm="1">
        <f t="array" ref="N724">Main_Log_Status(Main_Log[[#This Row],[Carrier]],Main_Log[[#This Row],[Net Weight]])</f>
        <v/>
      </c>
      <c r="O724" s="30"/>
      <c r="P72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24" s="30"/>
      <c r="R724" s="30" t="str" cm="1">
        <f t="array" ref="R724">Main_Log_Ref(Main_Log[[#This Row],[Carrier]])</f>
        <v/>
      </c>
    </row>
    <row r="725" spans="1:18" ht="29.85" customHeight="1" x14ac:dyDescent="0.45">
      <c r="A725" s="30">
        <v>30</v>
      </c>
      <c r="B725" s="30"/>
      <c r="C725" s="30"/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 t="str" cm="1">
        <f t="array" ref="N725">Main_Log_Status(Main_Log[[#This Row],[Carrier]],Main_Log[[#This Row],[Net Weight]])</f>
        <v/>
      </c>
      <c r="O725" s="30"/>
      <c r="P72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25" s="30"/>
      <c r="R725" s="30" t="str" cm="1">
        <f t="array" ref="R725">Main_Log_Ref(Main_Log[[#This Row],[Carrier]])</f>
        <v/>
      </c>
    </row>
    <row r="726" spans="1:18" ht="29.85" customHeight="1" x14ac:dyDescent="0.45">
      <c r="A726" s="30">
        <v>31</v>
      </c>
      <c r="B726" s="30"/>
      <c r="C726" s="30"/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 t="str" cm="1">
        <f t="array" ref="N726">Main_Log_Status(Main_Log[[#This Row],[Carrier]],Main_Log[[#This Row],[Net Weight]])</f>
        <v/>
      </c>
      <c r="O726" s="30"/>
      <c r="P72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26" s="30"/>
      <c r="R726" s="30" t="str" cm="1">
        <f t="array" ref="R726">Main_Log_Ref(Main_Log[[#This Row],[Carrier]])</f>
        <v/>
      </c>
    </row>
    <row r="727" spans="1:18" ht="29.85" customHeight="1" x14ac:dyDescent="0.45">
      <c r="A727" s="30">
        <v>32</v>
      </c>
      <c r="B727" s="30"/>
      <c r="C727" s="30"/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 t="str" cm="1">
        <f t="array" ref="N727">Main_Log_Status(Main_Log[[#This Row],[Carrier]],Main_Log[[#This Row],[Net Weight]])</f>
        <v/>
      </c>
      <c r="O727" s="30"/>
      <c r="P72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27" s="30"/>
      <c r="R727" s="30" t="str" cm="1">
        <f t="array" ref="R727">Main_Log_Ref(Main_Log[[#This Row],[Carrier]])</f>
        <v/>
      </c>
    </row>
    <row r="728" spans="1:18" ht="29.85" customHeight="1" x14ac:dyDescent="0.45">
      <c r="A728" s="30">
        <v>33</v>
      </c>
      <c r="B728" s="30"/>
      <c r="C728" s="30"/>
      <c r="D728" s="30"/>
      <c r="E728" s="30"/>
      <c r="F728" s="30"/>
      <c r="G728" s="30"/>
      <c r="H728" s="30"/>
      <c r="I728" s="30"/>
      <c r="J728" s="30"/>
      <c r="K728" s="30"/>
      <c r="L728" s="30"/>
      <c r="M728" s="30"/>
      <c r="N728" s="30" t="str" cm="1">
        <f t="array" ref="N728">Main_Log_Status(Main_Log[[#This Row],[Carrier]],Main_Log[[#This Row],[Net Weight]])</f>
        <v/>
      </c>
      <c r="O728" s="30"/>
      <c r="P72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28" s="30"/>
      <c r="R728" s="30" t="str" cm="1">
        <f t="array" ref="R728">Main_Log_Ref(Main_Log[[#This Row],[Carrier]])</f>
        <v/>
      </c>
    </row>
    <row r="729" spans="1:18" ht="29.85" customHeight="1" x14ac:dyDescent="0.45">
      <c r="A729" s="30">
        <v>34</v>
      </c>
      <c r="B729" s="30"/>
      <c r="C729" s="30"/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 t="str" cm="1">
        <f t="array" ref="N729">Main_Log_Status(Main_Log[[#This Row],[Carrier]],Main_Log[[#This Row],[Net Weight]])</f>
        <v/>
      </c>
      <c r="O729" s="30"/>
      <c r="P72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29" s="30"/>
      <c r="R729" s="30" t="str" cm="1">
        <f t="array" ref="R729">Main_Log_Ref(Main_Log[[#This Row],[Carrier]])</f>
        <v/>
      </c>
    </row>
    <row r="730" spans="1:18" ht="29.85" customHeight="1" x14ac:dyDescent="0.45">
      <c r="A730" s="30">
        <v>35</v>
      </c>
      <c r="B730" s="30"/>
      <c r="C730" s="30"/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 t="str" cm="1">
        <f t="array" ref="N730">Main_Log_Status(Main_Log[[#This Row],[Carrier]],Main_Log[[#This Row],[Net Weight]])</f>
        <v/>
      </c>
      <c r="O730" s="30"/>
      <c r="P73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30" s="30"/>
      <c r="R730" s="30" t="str" cm="1">
        <f t="array" ref="R730">Main_Log_Ref(Main_Log[[#This Row],[Carrier]])</f>
        <v/>
      </c>
    </row>
    <row r="731" spans="1:18" ht="29.85" customHeight="1" x14ac:dyDescent="0.45">
      <c r="A731" s="30">
        <v>36</v>
      </c>
      <c r="B731" s="30"/>
      <c r="C731" s="30"/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 t="str" cm="1">
        <f t="array" ref="N731">Main_Log_Status(Main_Log[[#This Row],[Carrier]],Main_Log[[#This Row],[Net Weight]])</f>
        <v/>
      </c>
      <c r="O731" s="30"/>
      <c r="P73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31" s="30"/>
      <c r="R731" s="30" t="str" cm="1">
        <f t="array" ref="R731">Main_Log_Ref(Main_Log[[#This Row],[Carrier]])</f>
        <v/>
      </c>
    </row>
    <row r="732" spans="1:18" ht="29.85" customHeight="1" x14ac:dyDescent="0.45">
      <c r="A732" s="30">
        <v>37</v>
      </c>
      <c r="B732" s="30"/>
      <c r="C732" s="30"/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 t="str" cm="1">
        <f t="array" ref="N732">Main_Log_Status(Main_Log[[#This Row],[Carrier]],Main_Log[[#This Row],[Net Weight]])</f>
        <v/>
      </c>
      <c r="O732" s="30"/>
      <c r="P73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32" s="30"/>
      <c r="R732" s="30" t="str" cm="1">
        <f t="array" ref="R732">Main_Log_Ref(Main_Log[[#This Row],[Carrier]])</f>
        <v/>
      </c>
    </row>
    <row r="733" spans="1:18" ht="29.85" customHeight="1" x14ac:dyDescent="0.45">
      <c r="A733" s="30">
        <v>38</v>
      </c>
      <c r="B733" s="30"/>
      <c r="C733" s="30"/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 t="str" cm="1">
        <f t="array" ref="N733">Main_Log_Status(Main_Log[[#This Row],[Carrier]],Main_Log[[#This Row],[Net Weight]])</f>
        <v/>
      </c>
      <c r="O733" s="30"/>
      <c r="P73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33" s="30"/>
      <c r="R733" s="30" t="str" cm="1">
        <f t="array" ref="R733">Main_Log_Ref(Main_Log[[#This Row],[Carrier]])</f>
        <v/>
      </c>
    </row>
    <row r="734" spans="1:18" ht="29.85" customHeight="1" x14ac:dyDescent="0.45">
      <c r="A734" s="30">
        <v>39</v>
      </c>
      <c r="B734" s="30"/>
      <c r="C734" s="30"/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 t="str" cm="1">
        <f t="array" ref="N734">Main_Log_Status(Main_Log[[#This Row],[Carrier]],Main_Log[[#This Row],[Net Weight]])</f>
        <v/>
      </c>
      <c r="O734" s="30"/>
      <c r="P73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34" s="30"/>
      <c r="R734" s="30" t="str" cm="1">
        <f t="array" ref="R734">Main_Log_Ref(Main_Log[[#This Row],[Carrier]])</f>
        <v/>
      </c>
    </row>
    <row r="735" spans="1:18" ht="29.85" customHeight="1" x14ac:dyDescent="0.45">
      <c r="A735" s="30">
        <v>40</v>
      </c>
      <c r="B735" s="30"/>
      <c r="C735" s="30"/>
      <c r="D735" s="30"/>
      <c r="E735" s="30"/>
      <c r="F735" s="30"/>
      <c r="G735" s="30"/>
      <c r="H735" s="30"/>
      <c r="I735" s="30"/>
      <c r="J735" s="30"/>
      <c r="K735" s="30"/>
      <c r="L735" s="30"/>
      <c r="M735" s="30"/>
      <c r="N735" s="30" t="str" cm="1">
        <f t="array" ref="N735">Main_Log_Status(Main_Log[[#This Row],[Carrier]],Main_Log[[#This Row],[Net Weight]])</f>
        <v/>
      </c>
      <c r="O735" s="30"/>
      <c r="P73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35" s="30"/>
      <c r="R735" s="30" t="str" cm="1">
        <f t="array" ref="R735">Main_Log_Ref(Main_Log[[#This Row],[Carrier]])</f>
        <v/>
      </c>
    </row>
    <row r="736" spans="1:18" ht="29.85" customHeight="1" x14ac:dyDescent="0.45">
      <c r="A736" s="30">
        <v>41</v>
      </c>
      <c r="B736" s="30"/>
      <c r="C736" s="30"/>
      <c r="D736" s="30"/>
      <c r="E736" s="30"/>
      <c r="F736" s="30"/>
      <c r="G736" s="30"/>
      <c r="H736" s="30"/>
      <c r="I736" s="30"/>
      <c r="J736" s="30"/>
      <c r="K736" s="30"/>
      <c r="L736" s="30"/>
      <c r="M736" s="30"/>
      <c r="N736" s="30" t="str" cm="1">
        <f t="array" ref="N736">Main_Log_Status(Main_Log[[#This Row],[Carrier]],Main_Log[[#This Row],[Net Weight]])</f>
        <v/>
      </c>
      <c r="O736" s="30"/>
      <c r="P73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36" s="30"/>
      <c r="R736" s="30" t="str" cm="1">
        <f t="array" ref="R736">Main_Log_Ref(Main_Log[[#This Row],[Carrier]])</f>
        <v/>
      </c>
    </row>
    <row r="737" spans="1:18" ht="29.85" customHeight="1" x14ac:dyDescent="0.45">
      <c r="A737" s="30">
        <v>42</v>
      </c>
      <c r="B737" s="30"/>
      <c r="C737" s="30"/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 t="str" cm="1">
        <f t="array" ref="N737">Main_Log_Status(Main_Log[[#This Row],[Carrier]],Main_Log[[#This Row],[Net Weight]])</f>
        <v/>
      </c>
      <c r="O737" s="30"/>
      <c r="P73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37" s="30"/>
      <c r="R737" s="30" t="str" cm="1">
        <f t="array" ref="R737">Main_Log_Ref(Main_Log[[#This Row],[Carrier]])</f>
        <v/>
      </c>
    </row>
    <row r="738" spans="1:18" ht="29.85" customHeight="1" x14ac:dyDescent="0.45">
      <c r="A738" s="30">
        <v>43</v>
      </c>
      <c r="B738" s="30"/>
      <c r="C738" s="30"/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 t="str" cm="1">
        <f t="array" ref="N738">Main_Log_Status(Main_Log[[#This Row],[Carrier]],Main_Log[[#This Row],[Net Weight]])</f>
        <v/>
      </c>
      <c r="O738" s="30"/>
      <c r="P73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38" s="30"/>
      <c r="R738" s="30" t="str" cm="1">
        <f t="array" ref="R738">Main_Log_Ref(Main_Log[[#This Row],[Carrier]])</f>
        <v/>
      </c>
    </row>
    <row r="739" spans="1:18" ht="29.85" customHeight="1" x14ac:dyDescent="0.45">
      <c r="A739" s="30">
        <v>44</v>
      </c>
      <c r="B739" s="30"/>
      <c r="C739" s="30"/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 t="str" cm="1">
        <f t="array" ref="N739">Main_Log_Status(Main_Log[[#This Row],[Carrier]],Main_Log[[#This Row],[Net Weight]])</f>
        <v/>
      </c>
      <c r="O739" s="30"/>
      <c r="P73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39" s="30"/>
      <c r="R739" s="30" t="str" cm="1">
        <f t="array" ref="R739">Main_Log_Ref(Main_Log[[#This Row],[Carrier]])</f>
        <v/>
      </c>
    </row>
    <row r="740" spans="1:18" ht="29.85" customHeight="1" x14ac:dyDescent="0.45">
      <c r="A740" s="30">
        <v>45</v>
      </c>
      <c r="B740" s="30"/>
      <c r="C740" s="30"/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 t="str" cm="1">
        <f t="array" ref="N740">Main_Log_Status(Main_Log[[#This Row],[Carrier]],Main_Log[[#This Row],[Net Weight]])</f>
        <v/>
      </c>
      <c r="O740" s="30"/>
      <c r="P74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40" s="30"/>
      <c r="R740" s="30" t="str" cm="1">
        <f t="array" ref="R740">Main_Log_Ref(Main_Log[[#This Row],[Carrier]])</f>
        <v/>
      </c>
    </row>
    <row r="741" spans="1:18" ht="29.85" customHeight="1" x14ac:dyDescent="0.45">
      <c r="A741" s="30">
        <v>46</v>
      </c>
      <c r="B741" s="30"/>
      <c r="C741" s="30"/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 t="str" cm="1">
        <f t="array" ref="N741">Main_Log_Status(Main_Log[[#This Row],[Carrier]],Main_Log[[#This Row],[Net Weight]])</f>
        <v/>
      </c>
      <c r="O741" s="30"/>
      <c r="P74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41" s="30"/>
      <c r="R741" s="30" t="str" cm="1">
        <f t="array" ref="R741">Main_Log_Ref(Main_Log[[#This Row],[Carrier]])</f>
        <v/>
      </c>
    </row>
    <row r="742" spans="1:18" ht="29.85" customHeight="1" x14ac:dyDescent="0.45">
      <c r="A742" s="30">
        <v>47</v>
      </c>
      <c r="B742" s="30"/>
      <c r="C742" s="30"/>
      <c r="D742" s="30"/>
      <c r="E742" s="30"/>
      <c r="F742" s="30"/>
      <c r="G742" s="30"/>
      <c r="H742" s="30"/>
      <c r="I742" s="30"/>
      <c r="J742" s="30"/>
      <c r="K742" s="30"/>
      <c r="L742" s="30"/>
      <c r="M742" s="30"/>
      <c r="N742" s="30" t="str" cm="1">
        <f t="array" ref="N742">Main_Log_Status(Main_Log[[#This Row],[Carrier]],Main_Log[[#This Row],[Net Weight]])</f>
        <v/>
      </c>
      <c r="O742" s="30"/>
      <c r="P74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42" s="30"/>
      <c r="R742" s="30" t="str" cm="1">
        <f t="array" ref="R742">Main_Log_Ref(Main_Log[[#This Row],[Carrier]])</f>
        <v/>
      </c>
    </row>
    <row r="743" spans="1:18" ht="29.85" customHeight="1" x14ac:dyDescent="0.45">
      <c r="A743" s="30">
        <v>48</v>
      </c>
      <c r="B743" s="30"/>
      <c r="C743" s="30"/>
      <c r="D743" s="30"/>
      <c r="E743" s="30"/>
      <c r="F743" s="30"/>
      <c r="G743" s="30"/>
      <c r="H743" s="30"/>
      <c r="I743" s="30"/>
      <c r="J743" s="30"/>
      <c r="K743" s="30"/>
      <c r="L743" s="30"/>
      <c r="M743" s="30"/>
      <c r="N743" s="30" t="str" cm="1">
        <f t="array" ref="N743">Main_Log_Status(Main_Log[[#This Row],[Carrier]],Main_Log[[#This Row],[Net Weight]])</f>
        <v/>
      </c>
      <c r="O743" s="30"/>
      <c r="P74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43" s="30"/>
      <c r="R743" s="30" t="str" cm="1">
        <f t="array" ref="R743">Main_Log_Ref(Main_Log[[#This Row],[Carrier]])</f>
        <v/>
      </c>
    </row>
    <row r="744" spans="1:18" ht="29.85" customHeight="1" x14ac:dyDescent="0.45">
      <c r="A744" s="30">
        <v>49</v>
      </c>
      <c r="B744" s="30"/>
      <c r="C744" s="30"/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 t="str" cm="1">
        <f t="array" ref="N744">Main_Log_Status(Main_Log[[#This Row],[Carrier]],Main_Log[[#This Row],[Net Weight]])</f>
        <v/>
      </c>
      <c r="O744" s="30"/>
      <c r="P74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44" s="30"/>
      <c r="R744" s="30" t="str" cm="1">
        <f t="array" ref="R744">Main_Log_Ref(Main_Log[[#This Row],[Carrier]])</f>
        <v/>
      </c>
    </row>
    <row r="745" spans="1:18" ht="29.85" customHeight="1" x14ac:dyDescent="0.45">
      <c r="A745" s="30">
        <v>50</v>
      </c>
      <c r="B745" s="30"/>
      <c r="C745" s="30"/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 t="str" cm="1">
        <f t="array" ref="N745">Main_Log_Status(Main_Log[[#This Row],[Carrier]],Main_Log[[#This Row],[Net Weight]])</f>
        <v/>
      </c>
      <c r="O745" s="30"/>
      <c r="P74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45" s="30"/>
      <c r="R745" s="30" t="str" cm="1">
        <f t="array" ref="R745">Main_Log_Ref(Main_Log[[#This Row],[Carrier]])</f>
        <v/>
      </c>
    </row>
    <row r="746" spans="1:18" ht="29.85" customHeight="1" x14ac:dyDescent="0.45">
      <c r="A746" s="30">
        <v>51</v>
      </c>
      <c r="B746" s="30"/>
      <c r="C746" s="30"/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 t="str" cm="1">
        <f t="array" ref="N746">Main_Log_Status(Main_Log[[#This Row],[Carrier]],Main_Log[[#This Row],[Net Weight]])</f>
        <v/>
      </c>
      <c r="O746" s="30"/>
      <c r="P74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46" s="30"/>
      <c r="R746" s="30" t="str" cm="1">
        <f t="array" ref="R746">Main_Log_Ref(Main_Log[[#This Row],[Carrier]])</f>
        <v/>
      </c>
    </row>
    <row r="747" spans="1:18" ht="29.85" customHeight="1" x14ac:dyDescent="0.45">
      <c r="A747" s="30">
        <v>52</v>
      </c>
      <c r="B747" s="30"/>
      <c r="C747" s="30"/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 t="str" cm="1">
        <f t="array" ref="N747">Main_Log_Status(Main_Log[[#This Row],[Carrier]],Main_Log[[#This Row],[Net Weight]])</f>
        <v/>
      </c>
      <c r="O747" s="30"/>
      <c r="P74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47" s="30"/>
      <c r="R747" s="30" t="str" cm="1">
        <f t="array" ref="R747">Main_Log_Ref(Main_Log[[#This Row],[Carrier]])</f>
        <v/>
      </c>
    </row>
    <row r="748" spans="1:18" ht="29.85" customHeight="1" x14ac:dyDescent="0.45">
      <c r="A748" s="30">
        <v>53</v>
      </c>
      <c r="B748" s="30"/>
      <c r="C748" s="30"/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 t="str" cm="1">
        <f t="array" ref="N748">Main_Log_Status(Main_Log[[#This Row],[Carrier]],Main_Log[[#This Row],[Net Weight]])</f>
        <v/>
      </c>
      <c r="O748" s="30"/>
      <c r="P74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48" s="30"/>
      <c r="R748" s="30" t="str" cm="1">
        <f t="array" ref="R748">Main_Log_Ref(Main_Log[[#This Row],[Carrier]])</f>
        <v/>
      </c>
    </row>
    <row r="749" spans="1:18" ht="29.85" customHeight="1" x14ac:dyDescent="0.45">
      <c r="A749" s="30">
        <v>54</v>
      </c>
      <c r="B749" s="30"/>
      <c r="C749" s="30"/>
      <c r="D749" s="30"/>
      <c r="E749" s="30"/>
      <c r="F749" s="30"/>
      <c r="G749" s="30"/>
      <c r="H749" s="30"/>
      <c r="I749" s="30"/>
      <c r="J749" s="30"/>
      <c r="K749" s="30"/>
      <c r="L749" s="30"/>
      <c r="M749" s="30"/>
      <c r="N749" s="30" t="str" cm="1">
        <f t="array" ref="N749">Main_Log_Status(Main_Log[[#This Row],[Carrier]],Main_Log[[#This Row],[Net Weight]])</f>
        <v/>
      </c>
      <c r="O749" s="30"/>
      <c r="P74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49" s="30"/>
      <c r="R749" s="30" t="str" cm="1">
        <f t="array" ref="R749">Main_Log_Ref(Main_Log[[#This Row],[Carrier]])</f>
        <v/>
      </c>
    </row>
    <row r="750" spans="1:18" ht="29.85" customHeight="1" x14ac:dyDescent="0.45">
      <c r="A750" s="30">
        <v>55</v>
      </c>
      <c r="B750" s="30"/>
      <c r="C750" s="30"/>
      <c r="D750" s="30"/>
      <c r="E750" s="30"/>
      <c r="F750" s="30"/>
      <c r="G750" s="30"/>
      <c r="H750" s="30"/>
      <c r="I750" s="30"/>
      <c r="J750" s="30"/>
      <c r="K750" s="30"/>
      <c r="L750" s="30"/>
      <c r="M750" s="30"/>
      <c r="N750" s="30" t="str" cm="1">
        <f t="array" ref="N750">Main_Log_Status(Main_Log[[#This Row],[Carrier]],Main_Log[[#This Row],[Net Weight]])</f>
        <v/>
      </c>
      <c r="O750" s="30"/>
      <c r="P75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50" s="30"/>
      <c r="R750" s="30" t="str" cm="1">
        <f t="array" ref="R750">Main_Log_Ref(Main_Log[[#This Row],[Carrier]])</f>
        <v/>
      </c>
    </row>
    <row r="751" spans="1:18" ht="29.85" customHeight="1" x14ac:dyDescent="0.45">
      <c r="A751" s="30">
        <v>56</v>
      </c>
      <c r="B751" s="30"/>
      <c r="C751" s="30"/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 t="str" cm="1">
        <f t="array" ref="N751">Main_Log_Status(Main_Log[[#This Row],[Carrier]],Main_Log[[#This Row],[Net Weight]])</f>
        <v/>
      </c>
      <c r="O751" s="30"/>
      <c r="P75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51" s="30"/>
      <c r="R751" s="30" t="str" cm="1">
        <f t="array" ref="R751">Main_Log_Ref(Main_Log[[#This Row],[Carrier]])</f>
        <v/>
      </c>
    </row>
    <row r="752" spans="1:18" ht="29.85" customHeight="1" x14ac:dyDescent="0.45">
      <c r="A752" s="30">
        <v>57</v>
      </c>
      <c r="B752" s="30"/>
      <c r="C752" s="30"/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 t="str" cm="1">
        <f t="array" ref="N752">Main_Log_Status(Main_Log[[#This Row],[Carrier]],Main_Log[[#This Row],[Net Weight]])</f>
        <v/>
      </c>
      <c r="O752" s="30"/>
      <c r="P75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52" s="30"/>
      <c r="R752" s="30" t="str" cm="1">
        <f t="array" ref="R752">Main_Log_Ref(Main_Log[[#This Row],[Carrier]])</f>
        <v/>
      </c>
    </row>
    <row r="753" spans="1:18" ht="29.85" customHeight="1" x14ac:dyDescent="0.45">
      <c r="A753" s="30">
        <v>58</v>
      </c>
      <c r="B753" s="30"/>
      <c r="C753" s="30"/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 t="str" cm="1">
        <f t="array" ref="N753">Main_Log_Status(Main_Log[[#This Row],[Carrier]],Main_Log[[#This Row],[Net Weight]])</f>
        <v/>
      </c>
      <c r="O753" s="30"/>
      <c r="P75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53" s="30"/>
      <c r="R753" s="30" t="str" cm="1">
        <f t="array" ref="R753">Main_Log_Ref(Main_Log[[#This Row],[Carrier]])</f>
        <v/>
      </c>
    </row>
    <row r="754" spans="1:18" ht="29.85" customHeight="1" x14ac:dyDescent="0.45">
      <c r="A754" s="30">
        <v>59</v>
      </c>
      <c r="B754" s="30"/>
      <c r="C754" s="30"/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 t="str" cm="1">
        <f t="array" ref="N754">Main_Log_Status(Main_Log[[#This Row],[Carrier]],Main_Log[[#This Row],[Net Weight]])</f>
        <v/>
      </c>
      <c r="O754" s="30"/>
      <c r="P75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54" s="30"/>
      <c r="R754" s="30" t="str" cm="1">
        <f t="array" ref="R754">Main_Log_Ref(Main_Log[[#This Row],[Carrier]])</f>
        <v/>
      </c>
    </row>
    <row r="755" spans="1:18" ht="29.85" customHeight="1" x14ac:dyDescent="0.45">
      <c r="A755" s="30">
        <v>60</v>
      </c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 t="str" cm="1">
        <f t="array" ref="N755">Main_Log_Status(Main_Log[[#This Row],[Carrier]],Main_Log[[#This Row],[Net Weight]])</f>
        <v/>
      </c>
      <c r="O755" s="30"/>
      <c r="P75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55" s="30"/>
      <c r="R755" s="30" t="str" cm="1">
        <f t="array" ref="R755">Main_Log_Ref(Main_Log[[#This Row],[Carrier]])</f>
        <v/>
      </c>
    </row>
    <row r="756" spans="1:18" ht="29.85" customHeight="1" x14ac:dyDescent="0.45">
      <c r="A756" s="30">
        <v>61</v>
      </c>
      <c r="B756" s="30"/>
      <c r="C756" s="30"/>
      <c r="D756" s="30"/>
      <c r="E756" s="30"/>
      <c r="F756" s="30"/>
      <c r="G756" s="30"/>
      <c r="H756" s="30"/>
      <c r="I756" s="30"/>
      <c r="J756" s="30"/>
      <c r="K756" s="30"/>
      <c r="L756" s="30"/>
      <c r="M756" s="30"/>
      <c r="N756" s="30" t="str" cm="1">
        <f t="array" ref="N756">Main_Log_Status(Main_Log[[#This Row],[Carrier]],Main_Log[[#This Row],[Net Weight]])</f>
        <v/>
      </c>
      <c r="O756" s="30"/>
      <c r="P75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56" s="30"/>
      <c r="R756" s="30" t="str" cm="1">
        <f t="array" ref="R756">Main_Log_Ref(Main_Log[[#This Row],[Carrier]])</f>
        <v/>
      </c>
    </row>
    <row r="757" spans="1:18" ht="29.85" customHeight="1" x14ac:dyDescent="0.45">
      <c r="A757" s="30">
        <v>62</v>
      </c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 t="str" cm="1">
        <f t="array" ref="N757">Main_Log_Status(Main_Log[[#This Row],[Carrier]],Main_Log[[#This Row],[Net Weight]])</f>
        <v/>
      </c>
      <c r="O757" s="30"/>
      <c r="P75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57" s="30"/>
      <c r="R757" s="30" t="str" cm="1">
        <f t="array" ref="R757">Main_Log_Ref(Main_Log[[#This Row],[Carrier]])</f>
        <v/>
      </c>
    </row>
    <row r="758" spans="1:18" ht="29.85" customHeight="1" x14ac:dyDescent="0.45">
      <c r="A758" s="30">
        <v>63</v>
      </c>
      <c r="B758" s="30"/>
      <c r="C758" s="30"/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 t="str" cm="1">
        <f t="array" ref="N758">Main_Log_Status(Main_Log[[#This Row],[Carrier]],Main_Log[[#This Row],[Net Weight]])</f>
        <v/>
      </c>
      <c r="O758" s="30"/>
      <c r="P75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58" s="30"/>
      <c r="R758" s="30" t="str" cm="1">
        <f t="array" ref="R758">Main_Log_Ref(Main_Log[[#This Row],[Carrier]])</f>
        <v/>
      </c>
    </row>
    <row r="759" spans="1:18" ht="29.85" customHeight="1" x14ac:dyDescent="0.45">
      <c r="A759" s="30">
        <v>64</v>
      </c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 t="str" cm="1">
        <f t="array" ref="N759">Main_Log_Status(Main_Log[[#This Row],[Carrier]],Main_Log[[#This Row],[Net Weight]])</f>
        <v/>
      </c>
      <c r="O759" s="30"/>
      <c r="P75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59" s="30"/>
      <c r="R759" s="30" t="str" cm="1">
        <f t="array" ref="R759">Main_Log_Ref(Main_Log[[#This Row],[Carrier]])</f>
        <v/>
      </c>
    </row>
    <row r="760" spans="1:18" ht="29.85" customHeight="1" x14ac:dyDescent="0.45">
      <c r="A760" s="30">
        <v>65</v>
      </c>
      <c r="B760" s="30"/>
      <c r="C760" s="30"/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 t="str" cm="1">
        <f t="array" ref="N760">Main_Log_Status(Main_Log[[#This Row],[Carrier]],Main_Log[[#This Row],[Net Weight]])</f>
        <v/>
      </c>
      <c r="O760" s="30"/>
      <c r="P76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60" s="30"/>
      <c r="R760" s="30" t="str" cm="1">
        <f t="array" ref="R760">Main_Log_Ref(Main_Log[[#This Row],[Carrier]])</f>
        <v/>
      </c>
    </row>
    <row r="761" spans="1:18" ht="29.85" customHeight="1" x14ac:dyDescent="0.45">
      <c r="A761" s="30">
        <v>66</v>
      </c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 t="str" cm="1">
        <f t="array" ref="N761">Main_Log_Status(Main_Log[[#This Row],[Carrier]],Main_Log[[#This Row],[Net Weight]])</f>
        <v/>
      </c>
      <c r="O761" s="30"/>
      <c r="P76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61" s="30"/>
      <c r="R761" s="30" t="str" cm="1">
        <f t="array" ref="R761">Main_Log_Ref(Main_Log[[#This Row],[Carrier]])</f>
        <v/>
      </c>
    </row>
    <row r="762" spans="1:18" ht="29.85" customHeight="1" x14ac:dyDescent="0.45">
      <c r="A762" s="30">
        <v>67</v>
      </c>
      <c r="B762" s="30"/>
      <c r="C762" s="30"/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 t="str" cm="1">
        <f t="array" ref="N762">Main_Log_Status(Main_Log[[#This Row],[Carrier]],Main_Log[[#This Row],[Net Weight]])</f>
        <v/>
      </c>
      <c r="O762" s="30"/>
      <c r="P76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62" s="30"/>
      <c r="R762" s="30" t="str" cm="1">
        <f t="array" ref="R762">Main_Log_Ref(Main_Log[[#This Row],[Carrier]])</f>
        <v/>
      </c>
    </row>
    <row r="763" spans="1:18" ht="29.85" customHeight="1" x14ac:dyDescent="0.45">
      <c r="A763" s="30">
        <v>68</v>
      </c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 t="str" cm="1">
        <f t="array" ref="N763">Main_Log_Status(Main_Log[[#This Row],[Carrier]],Main_Log[[#This Row],[Net Weight]])</f>
        <v/>
      </c>
      <c r="O763" s="30"/>
      <c r="P76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63" s="30"/>
      <c r="R763" s="30" t="str" cm="1">
        <f t="array" ref="R763">Main_Log_Ref(Main_Log[[#This Row],[Carrier]])</f>
        <v/>
      </c>
    </row>
    <row r="764" spans="1:18" ht="29.85" customHeight="1" x14ac:dyDescent="0.45">
      <c r="A764" s="30">
        <v>69</v>
      </c>
      <c r="B764" s="30"/>
      <c r="C764" s="30"/>
      <c r="D764" s="30"/>
      <c r="E764" s="30"/>
      <c r="F764" s="30"/>
      <c r="G764" s="30"/>
      <c r="H764" s="30"/>
      <c r="I764" s="30"/>
      <c r="J764" s="30"/>
      <c r="K764" s="30"/>
      <c r="L764" s="30"/>
      <c r="M764" s="30"/>
      <c r="N764" s="30" t="str" cm="1">
        <f t="array" ref="N764">Main_Log_Status(Main_Log[[#This Row],[Carrier]],Main_Log[[#This Row],[Net Weight]])</f>
        <v/>
      </c>
      <c r="O764" s="30"/>
      <c r="P76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64" s="30"/>
      <c r="R764" s="30" t="str" cm="1">
        <f t="array" ref="R764">Main_Log_Ref(Main_Log[[#This Row],[Carrier]])</f>
        <v/>
      </c>
    </row>
    <row r="765" spans="1:18" ht="29.85" customHeight="1" x14ac:dyDescent="0.45">
      <c r="A765" s="30">
        <v>70</v>
      </c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 t="str" cm="1">
        <f t="array" ref="N765">Main_Log_Status(Main_Log[[#This Row],[Carrier]],Main_Log[[#This Row],[Net Weight]])</f>
        <v/>
      </c>
      <c r="O765" s="30"/>
      <c r="P76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65" s="30"/>
      <c r="R765" s="30" t="str" cm="1">
        <f t="array" ref="R765">Main_Log_Ref(Main_Log[[#This Row],[Carrier]])</f>
        <v/>
      </c>
    </row>
    <row r="766" spans="1:18" ht="29.85" customHeight="1" x14ac:dyDescent="0.45">
      <c r="A766" s="30">
        <v>71</v>
      </c>
      <c r="B766" s="30"/>
      <c r="C766" s="30"/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 t="str" cm="1">
        <f t="array" ref="N766">Main_Log_Status(Main_Log[[#This Row],[Carrier]],Main_Log[[#This Row],[Net Weight]])</f>
        <v/>
      </c>
      <c r="O766" s="30"/>
      <c r="P76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66" s="30"/>
      <c r="R766" s="30" t="str" cm="1">
        <f t="array" ref="R766">Main_Log_Ref(Main_Log[[#This Row],[Carrier]])</f>
        <v/>
      </c>
    </row>
    <row r="767" spans="1:18" ht="29.85" customHeight="1" x14ac:dyDescent="0.45">
      <c r="A767" s="30">
        <v>72</v>
      </c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 t="str" cm="1">
        <f t="array" ref="N767">Main_Log_Status(Main_Log[[#This Row],[Carrier]],Main_Log[[#This Row],[Net Weight]])</f>
        <v/>
      </c>
      <c r="O767" s="30"/>
      <c r="P76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67" s="30"/>
      <c r="R767" s="30" t="str" cm="1">
        <f t="array" ref="R767">Main_Log_Ref(Main_Log[[#This Row],[Carrier]])</f>
        <v/>
      </c>
    </row>
    <row r="768" spans="1:18" ht="29.85" customHeight="1" x14ac:dyDescent="0.45">
      <c r="A768" s="30">
        <v>73</v>
      </c>
      <c r="B768" s="30"/>
      <c r="C768" s="30"/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 t="str" cm="1">
        <f t="array" ref="N768">Main_Log_Status(Main_Log[[#This Row],[Carrier]],Main_Log[[#This Row],[Net Weight]])</f>
        <v/>
      </c>
      <c r="O768" s="30"/>
      <c r="P76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68" s="30"/>
      <c r="R768" s="30" t="str" cm="1">
        <f t="array" ref="R768">Main_Log_Ref(Main_Log[[#This Row],[Carrier]])</f>
        <v/>
      </c>
    </row>
    <row r="769" spans="1:18" ht="29.85" customHeight="1" x14ac:dyDescent="0.45">
      <c r="A769" s="30">
        <v>74</v>
      </c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 t="str" cm="1">
        <f t="array" ref="N769">Main_Log_Status(Main_Log[[#This Row],[Carrier]],Main_Log[[#This Row],[Net Weight]])</f>
        <v/>
      </c>
      <c r="O769" s="30"/>
      <c r="P76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69" s="30"/>
      <c r="R769" s="30" t="str" cm="1">
        <f t="array" ref="R769">Main_Log_Ref(Main_Log[[#This Row],[Carrier]])</f>
        <v/>
      </c>
    </row>
    <row r="770" spans="1:18" ht="29.85" customHeight="1" x14ac:dyDescent="0.45">
      <c r="A770" s="30">
        <v>75</v>
      </c>
      <c r="B770" s="30"/>
      <c r="C770" s="30"/>
      <c r="D770" s="30"/>
      <c r="E770" s="30"/>
      <c r="F770" s="30"/>
      <c r="G770" s="30"/>
      <c r="H770" s="30"/>
      <c r="I770" s="30"/>
      <c r="J770" s="30"/>
      <c r="K770" s="30"/>
      <c r="L770" s="30"/>
      <c r="M770" s="30"/>
      <c r="N770" s="30" t="str" cm="1">
        <f t="array" ref="N770">Main_Log_Status(Main_Log[[#This Row],[Carrier]],Main_Log[[#This Row],[Net Weight]])</f>
        <v/>
      </c>
      <c r="O770" s="30"/>
      <c r="P77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70" s="30"/>
      <c r="R770" s="30" t="str" cm="1">
        <f t="array" ref="R770">Main_Log_Ref(Main_Log[[#This Row],[Carrier]])</f>
        <v/>
      </c>
    </row>
    <row r="771" spans="1:18" ht="29.85" customHeight="1" x14ac:dyDescent="0.45">
      <c r="A771" s="30">
        <v>76</v>
      </c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 t="str" cm="1">
        <f t="array" ref="N771">Main_Log_Status(Main_Log[[#This Row],[Carrier]],Main_Log[[#This Row],[Net Weight]])</f>
        <v/>
      </c>
      <c r="O771" s="30"/>
      <c r="P77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71" s="30"/>
      <c r="R771" s="30" t="str" cm="1">
        <f t="array" ref="R771">Main_Log_Ref(Main_Log[[#This Row],[Carrier]])</f>
        <v/>
      </c>
    </row>
    <row r="772" spans="1:18" ht="29.85" customHeight="1" x14ac:dyDescent="0.45">
      <c r="A772" s="30">
        <v>77</v>
      </c>
      <c r="B772" s="30"/>
      <c r="C772" s="30"/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 t="str" cm="1">
        <f t="array" ref="N772">Main_Log_Status(Main_Log[[#This Row],[Carrier]],Main_Log[[#This Row],[Net Weight]])</f>
        <v/>
      </c>
      <c r="O772" s="30"/>
      <c r="P77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72" s="30"/>
      <c r="R772" s="30" t="str" cm="1">
        <f t="array" ref="R772">Main_Log_Ref(Main_Log[[#This Row],[Carrier]])</f>
        <v/>
      </c>
    </row>
    <row r="773" spans="1:18" ht="29.85" customHeight="1" x14ac:dyDescent="0.45">
      <c r="A773" s="30">
        <v>78</v>
      </c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 t="str" cm="1">
        <f t="array" ref="N773">Main_Log_Status(Main_Log[[#This Row],[Carrier]],Main_Log[[#This Row],[Net Weight]])</f>
        <v/>
      </c>
      <c r="O773" s="30"/>
      <c r="P77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73" s="30"/>
      <c r="R773" s="30" t="str" cm="1">
        <f t="array" ref="R773">Main_Log_Ref(Main_Log[[#This Row],[Carrier]])</f>
        <v/>
      </c>
    </row>
    <row r="774" spans="1:18" ht="29.85" customHeight="1" x14ac:dyDescent="0.45">
      <c r="A774" s="30">
        <v>79</v>
      </c>
      <c r="B774" s="30"/>
      <c r="C774" s="30"/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 t="str" cm="1">
        <f t="array" ref="N774">Main_Log_Status(Main_Log[[#This Row],[Carrier]],Main_Log[[#This Row],[Net Weight]])</f>
        <v/>
      </c>
      <c r="O774" s="30"/>
      <c r="P77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74" s="30"/>
      <c r="R774" s="30" t="str" cm="1">
        <f t="array" ref="R774">Main_Log_Ref(Main_Log[[#This Row],[Carrier]])</f>
        <v/>
      </c>
    </row>
    <row r="775" spans="1:18" ht="29.85" customHeight="1" x14ac:dyDescent="0.45">
      <c r="A775" s="30">
        <v>80</v>
      </c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 t="str" cm="1">
        <f t="array" ref="N775">Main_Log_Status(Main_Log[[#This Row],[Carrier]],Main_Log[[#This Row],[Net Weight]])</f>
        <v/>
      </c>
      <c r="O775" s="30"/>
      <c r="P77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75" s="30"/>
      <c r="R775" s="30" t="str" cm="1">
        <f t="array" ref="R775">Main_Log_Ref(Main_Log[[#This Row],[Carrier]])</f>
        <v/>
      </c>
    </row>
    <row r="776" spans="1:18" ht="29.85" customHeight="1" x14ac:dyDescent="0.45">
      <c r="A776" s="30">
        <v>81</v>
      </c>
      <c r="B776" s="30"/>
      <c r="C776" s="30"/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 t="str" cm="1">
        <f t="array" ref="N776">Main_Log_Status(Main_Log[[#This Row],[Carrier]],Main_Log[[#This Row],[Net Weight]])</f>
        <v/>
      </c>
      <c r="O776" s="30"/>
      <c r="P77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76" s="30"/>
      <c r="R776" s="30" t="str" cm="1">
        <f t="array" ref="R776">Main_Log_Ref(Main_Log[[#This Row],[Carrier]])</f>
        <v/>
      </c>
    </row>
    <row r="777" spans="1:18" ht="29.85" customHeight="1" x14ac:dyDescent="0.45">
      <c r="A777" s="30">
        <v>82</v>
      </c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 t="str" cm="1">
        <f t="array" ref="N777">Main_Log_Status(Main_Log[[#This Row],[Carrier]],Main_Log[[#This Row],[Net Weight]])</f>
        <v/>
      </c>
      <c r="O777" s="30"/>
      <c r="P77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77" s="30"/>
      <c r="R777" s="30" t="str" cm="1">
        <f t="array" ref="R777">Main_Log_Ref(Main_Log[[#This Row],[Carrier]])</f>
        <v/>
      </c>
    </row>
    <row r="778" spans="1:18" ht="29.85" customHeight="1" x14ac:dyDescent="0.45">
      <c r="A778" s="30">
        <v>83</v>
      </c>
      <c r="B778" s="30"/>
      <c r="C778" s="30"/>
      <c r="D778" s="30"/>
      <c r="E778" s="30"/>
      <c r="F778" s="30"/>
      <c r="G778" s="30"/>
      <c r="H778" s="30"/>
      <c r="I778" s="30"/>
      <c r="J778" s="30"/>
      <c r="K778" s="30"/>
      <c r="L778" s="30"/>
      <c r="M778" s="30"/>
      <c r="N778" s="30" t="str" cm="1">
        <f t="array" ref="N778">Main_Log_Status(Main_Log[[#This Row],[Carrier]],Main_Log[[#This Row],[Net Weight]])</f>
        <v/>
      </c>
      <c r="O778" s="30"/>
      <c r="P77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78" s="30"/>
      <c r="R778" s="30" t="str" cm="1">
        <f t="array" ref="R778">Main_Log_Ref(Main_Log[[#This Row],[Carrier]])</f>
        <v/>
      </c>
    </row>
    <row r="779" spans="1:18" ht="29.85" customHeight="1" x14ac:dyDescent="0.45">
      <c r="A779" s="30">
        <v>84</v>
      </c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 t="str" cm="1">
        <f t="array" ref="N779">Main_Log_Status(Main_Log[[#This Row],[Carrier]],Main_Log[[#This Row],[Net Weight]])</f>
        <v/>
      </c>
      <c r="O779" s="30"/>
      <c r="P77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79" s="30"/>
      <c r="R779" s="30" t="str" cm="1">
        <f t="array" ref="R779">Main_Log_Ref(Main_Log[[#This Row],[Carrier]])</f>
        <v/>
      </c>
    </row>
    <row r="780" spans="1:18" ht="29.85" customHeight="1" x14ac:dyDescent="0.45">
      <c r="A780" s="30">
        <v>85</v>
      </c>
      <c r="B780" s="30"/>
      <c r="C780" s="30"/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 t="str" cm="1">
        <f t="array" ref="N780">Main_Log_Status(Main_Log[[#This Row],[Carrier]],Main_Log[[#This Row],[Net Weight]])</f>
        <v/>
      </c>
      <c r="O780" s="30"/>
      <c r="P78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80" s="30"/>
      <c r="R780" s="30" t="str" cm="1">
        <f t="array" ref="R780">Main_Log_Ref(Main_Log[[#This Row],[Carrier]])</f>
        <v/>
      </c>
    </row>
    <row r="781" spans="1:18" ht="29.85" customHeight="1" x14ac:dyDescent="0.45">
      <c r="A781" s="30">
        <v>86</v>
      </c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 t="str" cm="1">
        <f t="array" ref="N781">Main_Log_Status(Main_Log[[#This Row],[Carrier]],Main_Log[[#This Row],[Net Weight]])</f>
        <v/>
      </c>
      <c r="O781" s="30"/>
      <c r="P78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81" s="30"/>
      <c r="R781" s="30" t="str" cm="1">
        <f t="array" ref="R781">Main_Log_Ref(Main_Log[[#This Row],[Carrier]])</f>
        <v/>
      </c>
    </row>
    <row r="782" spans="1:18" ht="29.85" customHeight="1" x14ac:dyDescent="0.45">
      <c r="A782" s="30">
        <v>87</v>
      </c>
      <c r="B782" s="30"/>
      <c r="C782" s="30"/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 t="str" cm="1">
        <f t="array" ref="N782">Main_Log_Status(Main_Log[[#This Row],[Carrier]],Main_Log[[#This Row],[Net Weight]])</f>
        <v/>
      </c>
      <c r="O782" s="30"/>
      <c r="P78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82" s="30"/>
      <c r="R782" s="30" t="str" cm="1">
        <f t="array" ref="R782">Main_Log_Ref(Main_Log[[#This Row],[Carrier]])</f>
        <v/>
      </c>
    </row>
    <row r="783" spans="1:18" ht="29.85" customHeight="1" x14ac:dyDescent="0.45">
      <c r="A783" s="30">
        <v>88</v>
      </c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 t="str" cm="1">
        <f t="array" ref="N783">Main_Log_Status(Main_Log[[#This Row],[Carrier]],Main_Log[[#This Row],[Net Weight]])</f>
        <v/>
      </c>
      <c r="O783" s="30"/>
      <c r="P78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83" s="30"/>
      <c r="R783" s="30" t="str" cm="1">
        <f t="array" ref="R783">Main_Log_Ref(Main_Log[[#This Row],[Carrier]])</f>
        <v/>
      </c>
    </row>
    <row r="784" spans="1:18" ht="29.85" customHeight="1" x14ac:dyDescent="0.45">
      <c r="A784" s="30">
        <v>89</v>
      </c>
      <c r="B784" s="30"/>
      <c r="C784" s="30"/>
      <c r="D784" s="30"/>
      <c r="E784" s="30"/>
      <c r="F784" s="30"/>
      <c r="G784" s="30"/>
      <c r="H784" s="30"/>
      <c r="I784" s="30"/>
      <c r="J784" s="30"/>
      <c r="K784" s="30"/>
      <c r="L784" s="30"/>
      <c r="M784" s="30"/>
      <c r="N784" s="30" t="str" cm="1">
        <f t="array" ref="N784">Main_Log_Status(Main_Log[[#This Row],[Carrier]],Main_Log[[#This Row],[Net Weight]])</f>
        <v/>
      </c>
      <c r="O784" s="30"/>
      <c r="P78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84" s="30"/>
      <c r="R784" s="30" t="str" cm="1">
        <f t="array" ref="R784">Main_Log_Ref(Main_Log[[#This Row],[Carrier]])</f>
        <v/>
      </c>
    </row>
    <row r="785" spans="1:18" ht="29.85" customHeight="1" x14ac:dyDescent="0.45">
      <c r="A785" s="30">
        <v>90</v>
      </c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 t="str" cm="1">
        <f t="array" ref="N785">Main_Log_Status(Main_Log[[#This Row],[Carrier]],Main_Log[[#This Row],[Net Weight]])</f>
        <v/>
      </c>
      <c r="O785" s="30"/>
      <c r="P78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85" s="30"/>
      <c r="R785" s="30" t="str" cm="1">
        <f t="array" ref="R785">Main_Log_Ref(Main_Log[[#This Row],[Carrier]])</f>
        <v/>
      </c>
    </row>
    <row r="786" spans="1:18" ht="29.85" customHeight="1" x14ac:dyDescent="0.45">
      <c r="A786" s="30">
        <v>91</v>
      </c>
      <c r="B786" s="30"/>
      <c r="C786" s="30"/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 t="str" cm="1">
        <f t="array" ref="N786">Main_Log_Status(Main_Log[[#This Row],[Carrier]],Main_Log[[#This Row],[Net Weight]])</f>
        <v/>
      </c>
      <c r="O786" s="30"/>
      <c r="P78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86" s="30"/>
      <c r="R786" s="30" t="str" cm="1">
        <f t="array" ref="R786">Main_Log_Ref(Main_Log[[#This Row],[Carrier]])</f>
        <v/>
      </c>
    </row>
    <row r="787" spans="1:18" ht="29.85" customHeight="1" x14ac:dyDescent="0.45">
      <c r="A787" s="30">
        <v>92</v>
      </c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 t="str" cm="1">
        <f t="array" ref="N787">Main_Log_Status(Main_Log[[#This Row],[Carrier]],Main_Log[[#This Row],[Net Weight]])</f>
        <v/>
      </c>
      <c r="O787" s="30"/>
      <c r="P78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87" s="30"/>
      <c r="R787" s="30" t="str" cm="1">
        <f t="array" ref="R787">Main_Log_Ref(Main_Log[[#This Row],[Carrier]])</f>
        <v/>
      </c>
    </row>
    <row r="788" spans="1:18" ht="29.85" customHeight="1" x14ac:dyDescent="0.45">
      <c r="A788" s="30">
        <v>93</v>
      </c>
      <c r="B788" s="30"/>
      <c r="C788" s="30"/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 t="str" cm="1">
        <f t="array" ref="N788">Main_Log_Status(Main_Log[[#This Row],[Carrier]],Main_Log[[#This Row],[Net Weight]])</f>
        <v/>
      </c>
      <c r="O788" s="30"/>
      <c r="P78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88" s="30"/>
      <c r="R788" s="30" t="str" cm="1">
        <f t="array" ref="R788">Main_Log_Ref(Main_Log[[#This Row],[Carrier]])</f>
        <v/>
      </c>
    </row>
    <row r="789" spans="1:18" ht="29.85" customHeight="1" x14ac:dyDescent="0.45">
      <c r="A789" s="30">
        <v>94</v>
      </c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 t="str" cm="1">
        <f t="array" ref="N789">Main_Log_Status(Main_Log[[#This Row],[Carrier]],Main_Log[[#This Row],[Net Weight]])</f>
        <v/>
      </c>
      <c r="O789" s="30"/>
      <c r="P78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89" s="30"/>
      <c r="R789" s="30" t="str" cm="1">
        <f t="array" ref="R789">Main_Log_Ref(Main_Log[[#This Row],[Carrier]])</f>
        <v/>
      </c>
    </row>
    <row r="790" spans="1:18" ht="29.85" customHeight="1" x14ac:dyDescent="0.45">
      <c r="A790" s="30">
        <v>95</v>
      </c>
      <c r="B790" s="30"/>
      <c r="C790" s="30"/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 t="str" cm="1">
        <f t="array" ref="N790">Main_Log_Status(Main_Log[[#This Row],[Carrier]],Main_Log[[#This Row],[Net Weight]])</f>
        <v/>
      </c>
      <c r="O790" s="30"/>
      <c r="P79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90" s="30"/>
      <c r="R790" s="30" t="str" cm="1">
        <f t="array" ref="R790">Main_Log_Ref(Main_Log[[#This Row],[Carrier]])</f>
        <v/>
      </c>
    </row>
    <row r="791" spans="1:18" ht="29.85" customHeight="1" x14ac:dyDescent="0.45">
      <c r="A791" s="30">
        <v>96</v>
      </c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 t="str" cm="1">
        <f t="array" ref="N791">Main_Log_Status(Main_Log[[#This Row],[Carrier]],Main_Log[[#This Row],[Net Weight]])</f>
        <v/>
      </c>
      <c r="O791" s="30"/>
      <c r="P79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91" s="30"/>
      <c r="R791" s="30" t="str" cm="1">
        <f t="array" ref="R791">Main_Log_Ref(Main_Log[[#This Row],[Carrier]])</f>
        <v/>
      </c>
    </row>
    <row r="792" spans="1:18" ht="29.85" customHeight="1" x14ac:dyDescent="0.45">
      <c r="A792" s="30">
        <v>97</v>
      </c>
      <c r="B792" s="30"/>
      <c r="C792" s="30"/>
      <c r="D792" s="30"/>
      <c r="E792" s="30"/>
      <c r="F792" s="30"/>
      <c r="G792" s="30"/>
      <c r="H792" s="30"/>
      <c r="I792" s="30"/>
      <c r="J792" s="30"/>
      <c r="K792" s="30"/>
      <c r="L792" s="30"/>
      <c r="M792" s="30"/>
      <c r="N792" s="30" t="str" cm="1">
        <f t="array" ref="N792">Main_Log_Status(Main_Log[[#This Row],[Carrier]],Main_Log[[#This Row],[Net Weight]])</f>
        <v/>
      </c>
      <c r="O792" s="30"/>
      <c r="P79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92" s="30"/>
      <c r="R792" s="30" t="str" cm="1">
        <f t="array" ref="R792">Main_Log_Ref(Main_Log[[#This Row],[Carrier]])</f>
        <v/>
      </c>
    </row>
    <row r="793" spans="1:18" ht="29.85" customHeight="1" x14ac:dyDescent="0.45">
      <c r="A793" s="30">
        <v>98</v>
      </c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 t="str" cm="1">
        <f t="array" ref="N793">Main_Log_Status(Main_Log[[#This Row],[Carrier]],Main_Log[[#This Row],[Net Weight]])</f>
        <v/>
      </c>
      <c r="O793" s="30"/>
      <c r="P79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93" s="30"/>
      <c r="R793" s="30" t="str" cm="1">
        <f t="array" ref="R793">Main_Log_Ref(Main_Log[[#This Row],[Carrier]])</f>
        <v/>
      </c>
    </row>
    <row r="794" spans="1:18" ht="29.85" customHeight="1" x14ac:dyDescent="0.45">
      <c r="A794" s="30">
        <v>99</v>
      </c>
      <c r="B794" s="30"/>
      <c r="C794" s="30"/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 t="str" cm="1">
        <f t="array" ref="N794">Main_Log_Status(Main_Log[[#This Row],[Carrier]],Main_Log[[#This Row],[Net Weight]])</f>
        <v/>
      </c>
      <c r="O794" s="30"/>
      <c r="P79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94" s="30"/>
      <c r="R794" s="30" t="str" cm="1">
        <f t="array" ref="R794">Main_Log_Ref(Main_Log[[#This Row],[Carrier]])</f>
        <v/>
      </c>
    </row>
    <row r="795" spans="1:18" ht="29.85" customHeight="1" x14ac:dyDescent="0.45">
      <c r="A795" s="30">
        <v>1</v>
      </c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 t="str" cm="1">
        <f t="array" ref="N795">Main_Log_Status(Main_Log[[#This Row],[Carrier]],Main_Log[[#This Row],[Net Weight]])</f>
        <v/>
      </c>
      <c r="O795" s="30"/>
      <c r="P79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95" s="30"/>
      <c r="R795" s="30" t="str" cm="1">
        <f t="array" ref="R795">Main_Log_Ref(Main_Log[[#This Row],[Carrier]])</f>
        <v/>
      </c>
    </row>
    <row r="796" spans="1:18" ht="29.85" customHeight="1" x14ac:dyDescent="0.45">
      <c r="A796" s="30">
        <v>2</v>
      </c>
      <c r="B796" s="30"/>
      <c r="C796" s="30"/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 t="str" cm="1">
        <f t="array" ref="N796">Main_Log_Status(Main_Log[[#This Row],[Carrier]],Main_Log[[#This Row],[Net Weight]])</f>
        <v/>
      </c>
      <c r="O796" s="30"/>
      <c r="P79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96" s="30"/>
      <c r="R796" s="30" t="str" cm="1">
        <f t="array" ref="R796">Main_Log_Ref(Main_Log[[#This Row],[Carrier]])</f>
        <v/>
      </c>
    </row>
    <row r="797" spans="1:18" ht="29.85" customHeight="1" x14ac:dyDescent="0.45">
      <c r="A797" s="30">
        <v>3</v>
      </c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 t="str" cm="1">
        <f t="array" ref="N797">Main_Log_Status(Main_Log[[#This Row],[Carrier]],Main_Log[[#This Row],[Net Weight]])</f>
        <v/>
      </c>
      <c r="O797" s="30"/>
      <c r="P79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97" s="30"/>
      <c r="R797" s="30" t="str" cm="1">
        <f t="array" ref="R797">Main_Log_Ref(Main_Log[[#This Row],[Carrier]])</f>
        <v/>
      </c>
    </row>
    <row r="798" spans="1:18" ht="29.85" customHeight="1" x14ac:dyDescent="0.45">
      <c r="A798" s="30">
        <v>4</v>
      </c>
      <c r="B798" s="30"/>
      <c r="C798" s="30"/>
      <c r="D798" s="30"/>
      <c r="E798" s="30"/>
      <c r="F798" s="30"/>
      <c r="G798" s="30"/>
      <c r="H798" s="30"/>
      <c r="I798" s="30"/>
      <c r="J798" s="30"/>
      <c r="K798" s="30"/>
      <c r="L798" s="30"/>
      <c r="M798" s="30"/>
      <c r="N798" s="30" t="str" cm="1">
        <f t="array" ref="N798">Main_Log_Status(Main_Log[[#This Row],[Carrier]],Main_Log[[#This Row],[Net Weight]])</f>
        <v/>
      </c>
      <c r="O798" s="30"/>
      <c r="P79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98" s="30"/>
      <c r="R798" s="30" t="str" cm="1">
        <f t="array" ref="R798">Main_Log_Ref(Main_Log[[#This Row],[Carrier]])</f>
        <v/>
      </c>
    </row>
    <row r="799" spans="1:18" ht="29.85" customHeight="1" x14ac:dyDescent="0.45">
      <c r="A799" s="30">
        <v>5</v>
      </c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 t="str" cm="1">
        <f t="array" ref="N799">Main_Log_Status(Main_Log[[#This Row],[Carrier]],Main_Log[[#This Row],[Net Weight]])</f>
        <v/>
      </c>
      <c r="O799" s="30"/>
      <c r="P79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799" s="30"/>
      <c r="R799" s="30" t="str" cm="1">
        <f t="array" ref="R799">Main_Log_Ref(Main_Log[[#This Row],[Carrier]])</f>
        <v/>
      </c>
    </row>
    <row r="800" spans="1:18" ht="29.85" customHeight="1" x14ac:dyDescent="0.45">
      <c r="A800" s="30">
        <v>6</v>
      </c>
      <c r="B800" s="30"/>
      <c r="C800" s="30"/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 t="str" cm="1">
        <f t="array" ref="N800">Main_Log_Status(Main_Log[[#This Row],[Carrier]],Main_Log[[#This Row],[Net Weight]])</f>
        <v/>
      </c>
      <c r="O800" s="30"/>
      <c r="P80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00" s="30"/>
      <c r="R800" s="30" t="str" cm="1">
        <f t="array" ref="R800">Main_Log_Ref(Main_Log[[#This Row],[Carrier]])</f>
        <v/>
      </c>
    </row>
    <row r="801" spans="1:18" ht="29.85" customHeight="1" x14ac:dyDescent="0.45">
      <c r="A801" s="30">
        <v>7</v>
      </c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 t="str" cm="1">
        <f t="array" ref="N801">Main_Log_Status(Main_Log[[#This Row],[Carrier]],Main_Log[[#This Row],[Net Weight]])</f>
        <v/>
      </c>
      <c r="O801" s="30"/>
      <c r="P80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01" s="30"/>
      <c r="R801" s="30" t="str" cm="1">
        <f t="array" ref="R801">Main_Log_Ref(Main_Log[[#This Row],[Carrier]])</f>
        <v/>
      </c>
    </row>
    <row r="802" spans="1:18" ht="29.85" customHeight="1" x14ac:dyDescent="0.45">
      <c r="A802" s="30">
        <v>8</v>
      </c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 t="str" cm="1">
        <f t="array" ref="N802">Main_Log_Status(Main_Log[[#This Row],[Carrier]],Main_Log[[#This Row],[Net Weight]])</f>
        <v/>
      </c>
      <c r="O802" s="30"/>
      <c r="P80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02" s="30"/>
      <c r="R802" s="30" t="str" cm="1">
        <f t="array" ref="R802">Main_Log_Ref(Main_Log[[#This Row],[Carrier]])</f>
        <v/>
      </c>
    </row>
    <row r="803" spans="1:18" ht="29.85" customHeight="1" x14ac:dyDescent="0.45">
      <c r="A803" s="30">
        <v>9</v>
      </c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 t="str" cm="1">
        <f t="array" ref="N803">Main_Log_Status(Main_Log[[#This Row],[Carrier]],Main_Log[[#This Row],[Net Weight]])</f>
        <v/>
      </c>
      <c r="O803" s="30"/>
      <c r="P80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03" s="30"/>
      <c r="R803" s="30" t="str" cm="1">
        <f t="array" ref="R803">Main_Log_Ref(Main_Log[[#This Row],[Carrier]])</f>
        <v/>
      </c>
    </row>
    <row r="804" spans="1:18" ht="29.85" customHeight="1" x14ac:dyDescent="0.45">
      <c r="A804" s="30">
        <v>10</v>
      </c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 t="str" cm="1">
        <f t="array" ref="N804">Main_Log_Status(Main_Log[[#This Row],[Carrier]],Main_Log[[#This Row],[Net Weight]])</f>
        <v/>
      </c>
      <c r="O804" s="30"/>
      <c r="P80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04" s="30"/>
      <c r="R804" s="30" t="str" cm="1">
        <f t="array" ref="R804">Main_Log_Ref(Main_Log[[#This Row],[Carrier]])</f>
        <v/>
      </c>
    </row>
    <row r="805" spans="1:18" ht="29.85" customHeight="1" x14ac:dyDescent="0.45">
      <c r="A805" s="30">
        <v>11</v>
      </c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 t="str" cm="1">
        <f t="array" ref="N805">Main_Log_Status(Main_Log[[#This Row],[Carrier]],Main_Log[[#This Row],[Net Weight]])</f>
        <v/>
      </c>
      <c r="O805" s="30"/>
      <c r="P80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05" s="30"/>
      <c r="R805" s="30" t="str" cm="1">
        <f t="array" ref="R805">Main_Log_Ref(Main_Log[[#This Row],[Carrier]])</f>
        <v/>
      </c>
    </row>
    <row r="806" spans="1:18" ht="29.85" customHeight="1" x14ac:dyDescent="0.45">
      <c r="A806" s="30">
        <v>12</v>
      </c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 t="str" cm="1">
        <f t="array" ref="N806">Main_Log_Status(Main_Log[[#This Row],[Carrier]],Main_Log[[#This Row],[Net Weight]])</f>
        <v/>
      </c>
      <c r="O806" s="30"/>
      <c r="P80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06" s="30"/>
      <c r="R806" s="30" t="str" cm="1">
        <f t="array" ref="R806">Main_Log_Ref(Main_Log[[#This Row],[Carrier]])</f>
        <v/>
      </c>
    </row>
    <row r="807" spans="1:18" ht="29.85" customHeight="1" x14ac:dyDescent="0.45">
      <c r="A807" s="30">
        <v>13</v>
      </c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 t="str" cm="1">
        <f t="array" ref="N807">Main_Log_Status(Main_Log[[#This Row],[Carrier]],Main_Log[[#This Row],[Net Weight]])</f>
        <v/>
      </c>
      <c r="O807" s="30"/>
      <c r="P80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07" s="30"/>
      <c r="R807" s="30" t="str" cm="1">
        <f t="array" ref="R807">Main_Log_Ref(Main_Log[[#This Row],[Carrier]])</f>
        <v/>
      </c>
    </row>
    <row r="808" spans="1:18" ht="29.85" customHeight="1" x14ac:dyDescent="0.45">
      <c r="A808" s="30">
        <v>14</v>
      </c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 t="str" cm="1">
        <f t="array" ref="N808">Main_Log_Status(Main_Log[[#This Row],[Carrier]],Main_Log[[#This Row],[Net Weight]])</f>
        <v/>
      </c>
      <c r="O808" s="30"/>
      <c r="P80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08" s="30"/>
      <c r="R808" s="30" t="str" cm="1">
        <f t="array" ref="R808">Main_Log_Ref(Main_Log[[#This Row],[Carrier]])</f>
        <v/>
      </c>
    </row>
    <row r="809" spans="1:18" ht="29.85" customHeight="1" x14ac:dyDescent="0.45">
      <c r="A809" s="30">
        <v>15</v>
      </c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 t="str" cm="1">
        <f t="array" ref="N809">Main_Log_Status(Main_Log[[#This Row],[Carrier]],Main_Log[[#This Row],[Net Weight]])</f>
        <v/>
      </c>
      <c r="O809" s="30"/>
      <c r="P80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09" s="30"/>
      <c r="R809" s="30" t="str" cm="1">
        <f t="array" ref="R809">Main_Log_Ref(Main_Log[[#This Row],[Carrier]])</f>
        <v/>
      </c>
    </row>
    <row r="810" spans="1:18" ht="29.85" customHeight="1" x14ac:dyDescent="0.45">
      <c r="A810" s="30">
        <v>16</v>
      </c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 t="str" cm="1">
        <f t="array" ref="N810">Main_Log_Status(Main_Log[[#This Row],[Carrier]],Main_Log[[#This Row],[Net Weight]])</f>
        <v/>
      </c>
      <c r="O810" s="30"/>
      <c r="P81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10" s="30"/>
      <c r="R810" s="30" t="str" cm="1">
        <f t="array" ref="R810">Main_Log_Ref(Main_Log[[#This Row],[Carrier]])</f>
        <v/>
      </c>
    </row>
    <row r="811" spans="1:18" ht="29.85" customHeight="1" x14ac:dyDescent="0.45">
      <c r="A811" s="30">
        <v>17</v>
      </c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 t="str" cm="1">
        <f t="array" ref="N811">Main_Log_Status(Main_Log[[#This Row],[Carrier]],Main_Log[[#This Row],[Net Weight]])</f>
        <v/>
      </c>
      <c r="O811" s="30"/>
      <c r="P81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11" s="30"/>
      <c r="R811" s="30" t="str" cm="1">
        <f t="array" ref="R811">Main_Log_Ref(Main_Log[[#This Row],[Carrier]])</f>
        <v/>
      </c>
    </row>
    <row r="812" spans="1:18" ht="29.85" customHeight="1" x14ac:dyDescent="0.45">
      <c r="A812" s="30">
        <v>18</v>
      </c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 t="str" cm="1">
        <f t="array" ref="N812">Main_Log_Status(Main_Log[[#This Row],[Carrier]],Main_Log[[#This Row],[Net Weight]])</f>
        <v/>
      </c>
      <c r="O812" s="30"/>
      <c r="P81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12" s="30"/>
      <c r="R812" s="30" t="str" cm="1">
        <f t="array" ref="R812">Main_Log_Ref(Main_Log[[#This Row],[Carrier]])</f>
        <v/>
      </c>
    </row>
    <row r="813" spans="1:18" ht="29.85" customHeight="1" x14ac:dyDescent="0.45">
      <c r="A813" s="30">
        <v>19</v>
      </c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 t="str" cm="1">
        <f t="array" ref="N813">Main_Log_Status(Main_Log[[#This Row],[Carrier]],Main_Log[[#This Row],[Net Weight]])</f>
        <v/>
      </c>
      <c r="O813" s="30"/>
      <c r="P81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13" s="30"/>
      <c r="R813" s="30" t="str" cm="1">
        <f t="array" ref="R813">Main_Log_Ref(Main_Log[[#This Row],[Carrier]])</f>
        <v/>
      </c>
    </row>
    <row r="814" spans="1:18" ht="29.85" customHeight="1" x14ac:dyDescent="0.45">
      <c r="A814" s="30">
        <v>20</v>
      </c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 t="str" cm="1">
        <f t="array" ref="N814">Main_Log_Status(Main_Log[[#This Row],[Carrier]],Main_Log[[#This Row],[Net Weight]])</f>
        <v/>
      </c>
      <c r="O814" s="30"/>
      <c r="P81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14" s="30"/>
      <c r="R814" s="30" t="str" cm="1">
        <f t="array" ref="R814">Main_Log_Ref(Main_Log[[#This Row],[Carrier]])</f>
        <v/>
      </c>
    </row>
    <row r="815" spans="1:18" ht="29.85" customHeight="1" x14ac:dyDescent="0.45">
      <c r="A815" s="30">
        <v>21</v>
      </c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 t="str" cm="1">
        <f t="array" ref="N815">Main_Log_Status(Main_Log[[#This Row],[Carrier]],Main_Log[[#This Row],[Net Weight]])</f>
        <v/>
      </c>
      <c r="O815" s="30"/>
      <c r="P81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15" s="30"/>
      <c r="R815" s="30" t="str" cm="1">
        <f t="array" ref="R815">Main_Log_Ref(Main_Log[[#This Row],[Carrier]])</f>
        <v/>
      </c>
    </row>
    <row r="816" spans="1:18" ht="29.85" customHeight="1" x14ac:dyDescent="0.45">
      <c r="A816" s="30">
        <v>22</v>
      </c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 t="str" cm="1">
        <f t="array" ref="N816">Main_Log_Status(Main_Log[[#This Row],[Carrier]],Main_Log[[#This Row],[Net Weight]])</f>
        <v/>
      </c>
      <c r="O816" s="30"/>
      <c r="P81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16" s="30"/>
      <c r="R816" s="30" t="str" cm="1">
        <f t="array" ref="R816">Main_Log_Ref(Main_Log[[#This Row],[Carrier]])</f>
        <v/>
      </c>
    </row>
    <row r="817" spans="1:18" ht="29.85" customHeight="1" x14ac:dyDescent="0.45">
      <c r="A817" s="30">
        <v>23</v>
      </c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 t="str" cm="1">
        <f t="array" ref="N817">Main_Log_Status(Main_Log[[#This Row],[Carrier]],Main_Log[[#This Row],[Net Weight]])</f>
        <v/>
      </c>
      <c r="O817" s="30"/>
      <c r="P81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17" s="30"/>
      <c r="R817" s="30" t="str" cm="1">
        <f t="array" ref="R817">Main_Log_Ref(Main_Log[[#This Row],[Carrier]])</f>
        <v/>
      </c>
    </row>
    <row r="818" spans="1:18" ht="29.85" customHeight="1" x14ac:dyDescent="0.45">
      <c r="A818" s="30">
        <v>24</v>
      </c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 t="str" cm="1">
        <f t="array" ref="N818">Main_Log_Status(Main_Log[[#This Row],[Carrier]],Main_Log[[#This Row],[Net Weight]])</f>
        <v/>
      </c>
      <c r="O818" s="30"/>
      <c r="P81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18" s="30"/>
      <c r="R818" s="30" t="str" cm="1">
        <f t="array" ref="R818">Main_Log_Ref(Main_Log[[#This Row],[Carrier]])</f>
        <v/>
      </c>
    </row>
    <row r="819" spans="1:18" ht="29.85" customHeight="1" x14ac:dyDescent="0.45">
      <c r="A819" s="30">
        <v>25</v>
      </c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 t="str" cm="1">
        <f t="array" ref="N819">Main_Log_Status(Main_Log[[#This Row],[Carrier]],Main_Log[[#This Row],[Net Weight]])</f>
        <v/>
      </c>
      <c r="O819" s="30"/>
      <c r="P81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19" s="30"/>
      <c r="R819" s="30" t="str" cm="1">
        <f t="array" ref="R819">Main_Log_Ref(Main_Log[[#This Row],[Carrier]])</f>
        <v/>
      </c>
    </row>
    <row r="820" spans="1:18" ht="29.85" customHeight="1" x14ac:dyDescent="0.45">
      <c r="A820" s="30">
        <v>26</v>
      </c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 t="str" cm="1">
        <f t="array" ref="N820">Main_Log_Status(Main_Log[[#This Row],[Carrier]],Main_Log[[#This Row],[Net Weight]])</f>
        <v/>
      </c>
      <c r="O820" s="30"/>
      <c r="P82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20" s="30"/>
      <c r="R820" s="30" t="str" cm="1">
        <f t="array" ref="R820">Main_Log_Ref(Main_Log[[#This Row],[Carrier]])</f>
        <v/>
      </c>
    </row>
    <row r="821" spans="1:18" ht="29.85" customHeight="1" x14ac:dyDescent="0.45">
      <c r="A821" s="30">
        <v>27</v>
      </c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 t="str" cm="1">
        <f t="array" ref="N821">Main_Log_Status(Main_Log[[#This Row],[Carrier]],Main_Log[[#This Row],[Net Weight]])</f>
        <v/>
      </c>
      <c r="O821" s="30"/>
      <c r="P82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21" s="30"/>
      <c r="R821" s="30" t="str" cm="1">
        <f t="array" ref="R821">Main_Log_Ref(Main_Log[[#This Row],[Carrier]])</f>
        <v/>
      </c>
    </row>
    <row r="822" spans="1:18" ht="29.85" customHeight="1" x14ac:dyDescent="0.45">
      <c r="A822" s="30">
        <v>28</v>
      </c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 t="str" cm="1">
        <f t="array" ref="N822">Main_Log_Status(Main_Log[[#This Row],[Carrier]],Main_Log[[#This Row],[Net Weight]])</f>
        <v/>
      </c>
      <c r="O822" s="30"/>
      <c r="P82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22" s="30"/>
      <c r="R822" s="30" t="str" cm="1">
        <f t="array" ref="R822">Main_Log_Ref(Main_Log[[#This Row],[Carrier]])</f>
        <v/>
      </c>
    </row>
    <row r="823" spans="1:18" ht="29.85" customHeight="1" x14ac:dyDescent="0.45">
      <c r="A823" s="30">
        <v>29</v>
      </c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 t="str" cm="1">
        <f t="array" ref="N823">Main_Log_Status(Main_Log[[#This Row],[Carrier]],Main_Log[[#This Row],[Net Weight]])</f>
        <v/>
      </c>
      <c r="O823" s="30"/>
      <c r="P82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23" s="30"/>
      <c r="R823" s="30" t="str" cm="1">
        <f t="array" ref="R823">Main_Log_Ref(Main_Log[[#This Row],[Carrier]])</f>
        <v/>
      </c>
    </row>
    <row r="824" spans="1:18" ht="29.85" customHeight="1" x14ac:dyDescent="0.45">
      <c r="A824" s="30">
        <v>30</v>
      </c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 t="str" cm="1">
        <f t="array" ref="N824">Main_Log_Status(Main_Log[[#This Row],[Carrier]],Main_Log[[#This Row],[Net Weight]])</f>
        <v/>
      </c>
      <c r="O824" s="30"/>
      <c r="P82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24" s="30"/>
      <c r="R824" s="30" t="str" cm="1">
        <f t="array" ref="R824">Main_Log_Ref(Main_Log[[#This Row],[Carrier]])</f>
        <v/>
      </c>
    </row>
    <row r="825" spans="1:18" ht="29.85" customHeight="1" x14ac:dyDescent="0.45">
      <c r="A825" s="30">
        <v>31</v>
      </c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 t="str" cm="1">
        <f t="array" ref="N825">Main_Log_Status(Main_Log[[#This Row],[Carrier]],Main_Log[[#This Row],[Net Weight]])</f>
        <v/>
      </c>
      <c r="O825" s="30"/>
      <c r="P82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25" s="30"/>
      <c r="R825" s="30" t="str" cm="1">
        <f t="array" ref="R825">Main_Log_Ref(Main_Log[[#This Row],[Carrier]])</f>
        <v/>
      </c>
    </row>
    <row r="826" spans="1:18" ht="29.85" customHeight="1" x14ac:dyDescent="0.45">
      <c r="A826" s="30">
        <v>32</v>
      </c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 t="str" cm="1">
        <f t="array" ref="N826">Main_Log_Status(Main_Log[[#This Row],[Carrier]],Main_Log[[#This Row],[Net Weight]])</f>
        <v/>
      </c>
      <c r="O826" s="30"/>
      <c r="P82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26" s="30"/>
      <c r="R826" s="30" t="str" cm="1">
        <f t="array" ref="R826">Main_Log_Ref(Main_Log[[#This Row],[Carrier]])</f>
        <v/>
      </c>
    </row>
    <row r="827" spans="1:18" ht="29.85" customHeight="1" x14ac:dyDescent="0.45">
      <c r="A827" s="30">
        <v>33</v>
      </c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 t="str" cm="1">
        <f t="array" ref="N827">Main_Log_Status(Main_Log[[#This Row],[Carrier]],Main_Log[[#This Row],[Net Weight]])</f>
        <v/>
      </c>
      <c r="O827" s="30"/>
      <c r="P82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27" s="30"/>
      <c r="R827" s="30" t="str" cm="1">
        <f t="array" ref="R827">Main_Log_Ref(Main_Log[[#This Row],[Carrier]])</f>
        <v/>
      </c>
    </row>
    <row r="828" spans="1:18" ht="29.85" customHeight="1" x14ac:dyDescent="0.45">
      <c r="A828" s="30">
        <v>34</v>
      </c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 t="str" cm="1">
        <f t="array" ref="N828">Main_Log_Status(Main_Log[[#This Row],[Carrier]],Main_Log[[#This Row],[Net Weight]])</f>
        <v/>
      </c>
      <c r="O828" s="30"/>
      <c r="P82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28" s="30"/>
      <c r="R828" s="30" t="str" cm="1">
        <f t="array" ref="R828">Main_Log_Ref(Main_Log[[#This Row],[Carrier]])</f>
        <v/>
      </c>
    </row>
    <row r="829" spans="1:18" ht="29.85" customHeight="1" x14ac:dyDescent="0.45">
      <c r="A829" s="30">
        <v>35</v>
      </c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 t="str" cm="1">
        <f t="array" ref="N829">Main_Log_Status(Main_Log[[#This Row],[Carrier]],Main_Log[[#This Row],[Net Weight]])</f>
        <v/>
      </c>
      <c r="O829" s="30"/>
      <c r="P82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29" s="30"/>
      <c r="R829" s="30" t="str" cm="1">
        <f t="array" ref="R829">Main_Log_Ref(Main_Log[[#This Row],[Carrier]])</f>
        <v/>
      </c>
    </row>
    <row r="830" spans="1:18" ht="29.85" customHeight="1" x14ac:dyDescent="0.45">
      <c r="A830" s="30">
        <v>36</v>
      </c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 t="str" cm="1">
        <f t="array" ref="N830">Main_Log_Status(Main_Log[[#This Row],[Carrier]],Main_Log[[#This Row],[Net Weight]])</f>
        <v/>
      </c>
      <c r="O830" s="30"/>
      <c r="P83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30" s="30"/>
      <c r="R830" s="30" t="str" cm="1">
        <f t="array" ref="R830">Main_Log_Ref(Main_Log[[#This Row],[Carrier]])</f>
        <v/>
      </c>
    </row>
    <row r="831" spans="1:18" ht="29.85" customHeight="1" x14ac:dyDescent="0.45">
      <c r="A831" s="30">
        <v>37</v>
      </c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 t="str" cm="1">
        <f t="array" ref="N831">Main_Log_Status(Main_Log[[#This Row],[Carrier]],Main_Log[[#This Row],[Net Weight]])</f>
        <v/>
      </c>
      <c r="O831" s="30"/>
      <c r="P83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31" s="30"/>
      <c r="R831" s="30" t="str" cm="1">
        <f t="array" ref="R831">Main_Log_Ref(Main_Log[[#This Row],[Carrier]])</f>
        <v/>
      </c>
    </row>
    <row r="832" spans="1:18" ht="29.85" customHeight="1" x14ac:dyDescent="0.45">
      <c r="A832" s="30">
        <v>38</v>
      </c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 t="str" cm="1">
        <f t="array" ref="N832">Main_Log_Status(Main_Log[[#This Row],[Carrier]],Main_Log[[#This Row],[Net Weight]])</f>
        <v/>
      </c>
      <c r="O832" s="30"/>
      <c r="P83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32" s="30"/>
      <c r="R832" s="30" t="str" cm="1">
        <f t="array" ref="R832">Main_Log_Ref(Main_Log[[#This Row],[Carrier]])</f>
        <v/>
      </c>
    </row>
    <row r="833" spans="1:18" ht="29.85" customHeight="1" x14ac:dyDescent="0.45">
      <c r="A833" s="30">
        <v>39</v>
      </c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 t="str" cm="1">
        <f t="array" ref="N833">Main_Log_Status(Main_Log[[#This Row],[Carrier]],Main_Log[[#This Row],[Net Weight]])</f>
        <v/>
      </c>
      <c r="O833" s="30"/>
      <c r="P83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33" s="30"/>
      <c r="R833" s="30" t="str" cm="1">
        <f t="array" ref="R833">Main_Log_Ref(Main_Log[[#This Row],[Carrier]])</f>
        <v/>
      </c>
    </row>
    <row r="834" spans="1:18" ht="29.85" customHeight="1" x14ac:dyDescent="0.45">
      <c r="A834" s="30">
        <v>40</v>
      </c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 t="str" cm="1">
        <f t="array" ref="N834">Main_Log_Status(Main_Log[[#This Row],[Carrier]],Main_Log[[#This Row],[Net Weight]])</f>
        <v/>
      </c>
      <c r="O834" s="30"/>
      <c r="P83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34" s="30"/>
      <c r="R834" s="30" t="str" cm="1">
        <f t="array" ref="R834">Main_Log_Ref(Main_Log[[#This Row],[Carrier]])</f>
        <v/>
      </c>
    </row>
    <row r="835" spans="1:18" ht="29.85" customHeight="1" x14ac:dyDescent="0.45">
      <c r="A835" s="30">
        <v>41</v>
      </c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 t="str" cm="1">
        <f t="array" ref="N835">Main_Log_Status(Main_Log[[#This Row],[Carrier]],Main_Log[[#This Row],[Net Weight]])</f>
        <v/>
      </c>
      <c r="O835" s="30"/>
      <c r="P83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35" s="30"/>
      <c r="R835" s="30" t="str" cm="1">
        <f t="array" ref="R835">Main_Log_Ref(Main_Log[[#This Row],[Carrier]])</f>
        <v/>
      </c>
    </row>
    <row r="836" spans="1:18" ht="29.85" customHeight="1" x14ac:dyDescent="0.45">
      <c r="A836" s="30">
        <v>42</v>
      </c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 t="str" cm="1">
        <f t="array" ref="N836">Main_Log_Status(Main_Log[[#This Row],[Carrier]],Main_Log[[#This Row],[Net Weight]])</f>
        <v/>
      </c>
      <c r="O836" s="30"/>
      <c r="P83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36" s="30"/>
      <c r="R836" s="30" t="str" cm="1">
        <f t="array" ref="R836">Main_Log_Ref(Main_Log[[#This Row],[Carrier]])</f>
        <v/>
      </c>
    </row>
    <row r="837" spans="1:18" ht="29.85" customHeight="1" x14ac:dyDescent="0.45">
      <c r="A837" s="30">
        <v>43</v>
      </c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 t="str" cm="1">
        <f t="array" ref="N837">Main_Log_Status(Main_Log[[#This Row],[Carrier]],Main_Log[[#This Row],[Net Weight]])</f>
        <v/>
      </c>
      <c r="O837" s="30"/>
      <c r="P83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37" s="30"/>
      <c r="R837" s="30" t="str" cm="1">
        <f t="array" ref="R837">Main_Log_Ref(Main_Log[[#This Row],[Carrier]])</f>
        <v/>
      </c>
    </row>
    <row r="838" spans="1:18" ht="29.85" customHeight="1" x14ac:dyDescent="0.45">
      <c r="A838" s="30">
        <v>44</v>
      </c>
      <c r="B838" s="30"/>
      <c r="C838" s="30"/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 t="str" cm="1">
        <f t="array" ref="N838">Main_Log_Status(Main_Log[[#This Row],[Carrier]],Main_Log[[#This Row],[Net Weight]])</f>
        <v/>
      </c>
      <c r="O838" s="30"/>
      <c r="P83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38" s="30"/>
      <c r="R838" s="30" t="str" cm="1">
        <f t="array" ref="R838">Main_Log_Ref(Main_Log[[#This Row],[Carrier]])</f>
        <v/>
      </c>
    </row>
    <row r="839" spans="1:18" ht="29.85" customHeight="1" x14ac:dyDescent="0.45">
      <c r="A839" s="30">
        <v>45</v>
      </c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 t="str" cm="1">
        <f t="array" ref="N839">Main_Log_Status(Main_Log[[#This Row],[Carrier]],Main_Log[[#This Row],[Net Weight]])</f>
        <v/>
      </c>
      <c r="O839" s="30"/>
      <c r="P83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39" s="30"/>
      <c r="R839" s="30" t="str" cm="1">
        <f t="array" ref="R839">Main_Log_Ref(Main_Log[[#This Row],[Carrier]])</f>
        <v/>
      </c>
    </row>
    <row r="840" spans="1:18" ht="29.85" customHeight="1" x14ac:dyDescent="0.45">
      <c r="A840" s="30">
        <v>46</v>
      </c>
      <c r="B840" s="30"/>
      <c r="C840" s="30"/>
      <c r="D840" s="30"/>
      <c r="E840" s="30"/>
      <c r="F840" s="30"/>
      <c r="G840" s="30"/>
      <c r="H840" s="30"/>
      <c r="I840" s="30"/>
      <c r="J840" s="30"/>
      <c r="K840" s="30"/>
      <c r="L840" s="30"/>
      <c r="M840" s="30"/>
      <c r="N840" s="30" t="str" cm="1">
        <f t="array" ref="N840">Main_Log_Status(Main_Log[[#This Row],[Carrier]],Main_Log[[#This Row],[Net Weight]])</f>
        <v/>
      </c>
      <c r="O840" s="30"/>
      <c r="P84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40" s="30"/>
      <c r="R840" s="30" t="str" cm="1">
        <f t="array" ref="R840">Main_Log_Ref(Main_Log[[#This Row],[Carrier]])</f>
        <v/>
      </c>
    </row>
    <row r="841" spans="1:18" ht="29.85" customHeight="1" x14ac:dyDescent="0.45">
      <c r="A841" s="30">
        <v>47</v>
      </c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 t="str" cm="1">
        <f t="array" ref="N841">Main_Log_Status(Main_Log[[#This Row],[Carrier]],Main_Log[[#This Row],[Net Weight]])</f>
        <v/>
      </c>
      <c r="O841" s="30"/>
      <c r="P84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41" s="30"/>
      <c r="R841" s="30" t="str" cm="1">
        <f t="array" ref="R841">Main_Log_Ref(Main_Log[[#This Row],[Carrier]])</f>
        <v/>
      </c>
    </row>
    <row r="842" spans="1:18" ht="29.85" customHeight="1" x14ac:dyDescent="0.45">
      <c r="A842" s="30">
        <v>48</v>
      </c>
      <c r="B842" s="30"/>
      <c r="C842" s="30"/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 t="str" cm="1">
        <f t="array" ref="N842">Main_Log_Status(Main_Log[[#This Row],[Carrier]],Main_Log[[#This Row],[Net Weight]])</f>
        <v/>
      </c>
      <c r="O842" s="30"/>
      <c r="P84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42" s="30"/>
      <c r="R842" s="30" t="str" cm="1">
        <f t="array" ref="R842">Main_Log_Ref(Main_Log[[#This Row],[Carrier]])</f>
        <v/>
      </c>
    </row>
    <row r="843" spans="1:18" ht="29.85" customHeight="1" x14ac:dyDescent="0.45">
      <c r="A843" s="30">
        <v>49</v>
      </c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 t="str" cm="1">
        <f t="array" ref="N843">Main_Log_Status(Main_Log[[#This Row],[Carrier]],Main_Log[[#This Row],[Net Weight]])</f>
        <v/>
      </c>
      <c r="O843" s="30"/>
      <c r="P84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43" s="30"/>
      <c r="R843" s="30" t="str" cm="1">
        <f t="array" ref="R843">Main_Log_Ref(Main_Log[[#This Row],[Carrier]])</f>
        <v/>
      </c>
    </row>
    <row r="844" spans="1:18" ht="29.85" customHeight="1" x14ac:dyDescent="0.45">
      <c r="A844" s="30">
        <v>50</v>
      </c>
      <c r="B844" s="30"/>
      <c r="C844" s="30"/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 t="str" cm="1">
        <f t="array" ref="N844">Main_Log_Status(Main_Log[[#This Row],[Carrier]],Main_Log[[#This Row],[Net Weight]])</f>
        <v/>
      </c>
      <c r="O844" s="30"/>
      <c r="P84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44" s="30"/>
      <c r="R844" s="30" t="str" cm="1">
        <f t="array" ref="R844">Main_Log_Ref(Main_Log[[#This Row],[Carrier]])</f>
        <v/>
      </c>
    </row>
    <row r="845" spans="1:18" ht="29.85" customHeight="1" x14ac:dyDescent="0.45">
      <c r="A845" s="30">
        <v>51</v>
      </c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 t="str" cm="1">
        <f t="array" ref="N845">Main_Log_Status(Main_Log[[#This Row],[Carrier]],Main_Log[[#This Row],[Net Weight]])</f>
        <v/>
      </c>
      <c r="O845" s="30"/>
      <c r="P84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45" s="30"/>
      <c r="R845" s="30" t="str" cm="1">
        <f t="array" ref="R845">Main_Log_Ref(Main_Log[[#This Row],[Carrier]])</f>
        <v/>
      </c>
    </row>
    <row r="846" spans="1:18" ht="29.85" customHeight="1" x14ac:dyDescent="0.45">
      <c r="A846" s="30">
        <v>52</v>
      </c>
      <c r="B846" s="30"/>
      <c r="C846" s="30"/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 t="str" cm="1">
        <f t="array" ref="N846">Main_Log_Status(Main_Log[[#This Row],[Carrier]],Main_Log[[#This Row],[Net Weight]])</f>
        <v/>
      </c>
      <c r="O846" s="30"/>
      <c r="P84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46" s="30"/>
      <c r="R846" s="30" t="str" cm="1">
        <f t="array" ref="R846">Main_Log_Ref(Main_Log[[#This Row],[Carrier]])</f>
        <v/>
      </c>
    </row>
    <row r="847" spans="1:18" ht="29.85" customHeight="1" x14ac:dyDescent="0.45">
      <c r="A847" s="30">
        <v>53</v>
      </c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 t="str" cm="1">
        <f t="array" ref="N847">Main_Log_Status(Main_Log[[#This Row],[Carrier]],Main_Log[[#This Row],[Net Weight]])</f>
        <v/>
      </c>
      <c r="O847" s="30"/>
      <c r="P84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47" s="30"/>
      <c r="R847" s="30" t="str" cm="1">
        <f t="array" ref="R847">Main_Log_Ref(Main_Log[[#This Row],[Carrier]])</f>
        <v/>
      </c>
    </row>
    <row r="848" spans="1:18" ht="29.85" customHeight="1" x14ac:dyDescent="0.45">
      <c r="A848" s="30">
        <v>54</v>
      </c>
      <c r="B848" s="30"/>
      <c r="C848" s="30"/>
      <c r="D848" s="30"/>
      <c r="E848" s="30"/>
      <c r="F848" s="30"/>
      <c r="G848" s="30"/>
      <c r="H848" s="30"/>
      <c r="I848" s="30"/>
      <c r="J848" s="30"/>
      <c r="K848" s="30"/>
      <c r="L848" s="30"/>
      <c r="M848" s="30"/>
      <c r="N848" s="30" t="str" cm="1">
        <f t="array" ref="N848">Main_Log_Status(Main_Log[[#This Row],[Carrier]],Main_Log[[#This Row],[Net Weight]])</f>
        <v/>
      </c>
      <c r="O848" s="30"/>
      <c r="P84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48" s="30"/>
      <c r="R848" s="30" t="str" cm="1">
        <f t="array" ref="R848">Main_Log_Ref(Main_Log[[#This Row],[Carrier]])</f>
        <v/>
      </c>
    </row>
    <row r="849" spans="1:18" ht="29.85" customHeight="1" x14ac:dyDescent="0.45">
      <c r="A849" s="30">
        <v>55</v>
      </c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 t="str" cm="1">
        <f t="array" ref="N849">Main_Log_Status(Main_Log[[#This Row],[Carrier]],Main_Log[[#This Row],[Net Weight]])</f>
        <v/>
      </c>
      <c r="O849" s="30"/>
      <c r="P84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49" s="30"/>
      <c r="R849" s="30" t="str" cm="1">
        <f t="array" ref="R849">Main_Log_Ref(Main_Log[[#This Row],[Carrier]])</f>
        <v/>
      </c>
    </row>
    <row r="850" spans="1:18" ht="29.85" customHeight="1" x14ac:dyDescent="0.45">
      <c r="A850" s="30">
        <v>56</v>
      </c>
      <c r="B850" s="30"/>
      <c r="C850" s="30"/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 t="str" cm="1">
        <f t="array" ref="N850">Main_Log_Status(Main_Log[[#This Row],[Carrier]],Main_Log[[#This Row],[Net Weight]])</f>
        <v/>
      </c>
      <c r="O850" s="30"/>
      <c r="P85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50" s="30"/>
      <c r="R850" s="30" t="str" cm="1">
        <f t="array" ref="R850">Main_Log_Ref(Main_Log[[#This Row],[Carrier]])</f>
        <v/>
      </c>
    </row>
    <row r="851" spans="1:18" ht="29.85" customHeight="1" x14ac:dyDescent="0.45">
      <c r="A851" s="30">
        <v>57</v>
      </c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 t="str" cm="1">
        <f t="array" ref="N851">Main_Log_Status(Main_Log[[#This Row],[Carrier]],Main_Log[[#This Row],[Net Weight]])</f>
        <v/>
      </c>
      <c r="O851" s="30"/>
      <c r="P85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51" s="30"/>
      <c r="R851" s="30" t="str" cm="1">
        <f t="array" ref="R851">Main_Log_Ref(Main_Log[[#This Row],[Carrier]])</f>
        <v/>
      </c>
    </row>
    <row r="852" spans="1:18" ht="29.85" customHeight="1" x14ac:dyDescent="0.45">
      <c r="A852" s="30">
        <v>58</v>
      </c>
      <c r="B852" s="30"/>
      <c r="C852" s="30"/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 t="str" cm="1">
        <f t="array" ref="N852">Main_Log_Status(Main_Log[[#This Row],[Carrier]],Main_Log[[#This Row],[Net Weight]])</f>
        <v/>
      </c>
      <c r="O852" s="30"/>
      <c r="P85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52" s="30"/>
      <c r="R852" s="30" t="str" cm="1">
        <f t="array" ref="R852">Main_Log_Ref(Main_Log[[#This Row],[Carrier]])</f>
        <v/>
      </c>
    </row>
    <row r="853" spans="1:18" ht="29.85" customHeight="1" x14ac:dyDescent="0.45">
      <c r="A853" s="30">
        <v>59</v>
      </c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 t="str" cm="1">
        <f t="array" ref="N853">Main_Log_Status(Main_Log[[#This Row],[Carrier]],Main_Log[[#This Row],[Net Weight]])</f>
        <v/>
      </c>
      <c r="O853" s="30"/>
      <c r="P85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53" s="30"/>
      <c r="R853" s="30" t="str" cm="1">
        <f t="array" ref="R853">Main_Log_Ref(Main_Log[[#This Row],[Carrier]])</f>
        <v/>
      </c>
    </row>
    <row r="854" spans="1:18" ht="29.85" customHeight="1" x14ac:dyDescent="0.45">
      <c r="A854" s="30">
        <v>60</v>
      </c>
      <c r="B854" s="30"/>
      <c r="C854" s="30"/>
      <c r="D854" s="30"/>
      <c r="E854" s="30"/>
      <c r="F854" s="30"/>
      <c r="G854" s="30"/>
      <c r="H854" s="30"/>
      <c r="I854" s="30"/>
      <c r="J854" s="30"/>
      <c r="K854" s="30"/>
      <c r="L854" s="30"/>
      <c r="M854" s="30"/>
      <c r="N854" s="30" t="str" cm="1">
        <f t="array" ref="N854">Main_Log_Status(Main_Log[[#This Row],[Carrier]],Main_Log[[#This Row],[Net Weight]])</f>
        <v/>
      </c>
      <c r="O854" s="30"/>
      <c r="P85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54" s="30"/>
      <c r="R854" s="30" t="str" cm="1">
        <f t="array" ref="R854">Main_Log_Ref(Main_Log[[#This Row],[Carrier]])</f>
        <v/>
      </c>
    </row>
    <row r="855" spans="1:18" ht="29.85" customHeight="1" x14ac:dyDescent="0.45">
      <c r="A855" s="30">
        <v>61</v>
      </c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 t="str" cm="1">
        <f t="array" ref="N855">Main_Log_Status(Main_Log[[#This Row],[Carrier]],Main_Log[[#This Row],[Net Weight]])</f>
        <v/>
      </c>
      <c r="O855" s="30"/>
      <c r="P85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55" s="30"/>
      <c r="R855" s="30" t="str" cm="1">
        <f t="array" ref="R855">Main_Log_Ref(Main_Log[[#This Row],[Carrier]])</f>
        <v/>
      </c>
    </row>
    <row r="856" spans="1:18" ht="29.85" customHeight="1" x14ac:dyDescent="0.45">
      <c r="A856" s="30">
        <v>62</v>
      </c>
      <c r="B856" s="30"/>
      <c r="C856" s="30"/>
      <c r="D856" s="30"/>
      <c r="E856" s="30"/>
      <c r="F856" s="30"/>
      <c r="G856" s="30"/>
      <c r="H856" s="30"/>
      <c r="I856" s="30"/>
      <c r="J856" s="30"/>
      <c r="K856" s="30"/>
      <c r="L856" s="30"/>
      <c r="M856" s="30"/>
      <c r="N856" s="30" t="str" cm="1">
        <f t="array" ref="N856">Main_Log_Status(Main_Log[[#This Row],[Carrier]],Main_Log[[#This Row],[Net Weight]])</f>
        <v/>
      </c>
      <c r="O856" s="30"/>
      <c r="P85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56" s="30"/>
      <c r="R856" s="30" t="str" cm="1">
        <f t="array" ref="R856">Main_Log_Ref(Main_Log[[#This Row],[Carrier]])</f>
        <v/>
      </c>
    </row>
    <row r="857" spans="1:18" ht="29.85" customHeight="1" x14ac:dyDescent="0.45">
      <c r="A857" s="30">
        <v>63</v>
      </c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 t="str" cm="1">
        <f t="array" ref="N857">Main_Log_Status(Main_Log[[#This Row],[Carrier]],Main_Log[[#This Row],[Net Weight]])</f>
        <v/>
      </c>
      <c r="O857" s="30"/>
      <c r="P85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57" s="30"/>
      <c r="R857" s="30" t="str" cm="1">
        <f t="array" ref="R857">Main_Log_Ref(Main_Log[[#This Row],[Carrier]])</f>
        <v/>
      </c>
    </row>
    <row r="858" spans="1:18" ht="29.85" customHeight="1" x14ac:dyDescent="0.45">
      <c r="A858" s="30">
        <v>64</v>
      </c>
      <c r="B858" s="30"/>
      <c r="C858" s="30"/>
      <c r="D858" s="30"/>
      <c r="E858" s="30"/>
      <c r="F858" s="30"/>
      <c r="G858" s="30"/>
      <c r="H858" s="30"/>
      <c r="I858" s="30"/>
      <c r="J858" s="30"/>
      <c r="K858" s="30"/>
      <c r="L858" s="30"/>
      <c r="M858" s="30"/>
      <c r="N858" s="30" t="str" cm="1">
        <f t="array" ref="N858">Main_Log_Status(Main_Log[[#This Row],[Carrier]],Main_Log[[#This Row],[Net Weight]])</f>
        <v/>
      </c>
      <c r="O858" s="30"/>
      <c r="P85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58" s="30"/>
      <c r="R858" s="30" t="str" cm="1">
        <f t="array" ref="R858">Main_Log_Ref(Main_Log[[#This Row],[Carrier]])</f>
        <v/>
      </c>
    </row>
    <row r="859" spans="1:18" ht="29.85" customHeight="1" x14ac:dyDescent="0.45">
      <c r="A859" s="30">
        <v>65</v>
      </c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 t="str" cm="1">
        <f t="array" ref="N859">Main_Log_Status(Main_Log[[#This Row],[Carrier]],Main_Log[[#This Row],[Net Weight]])</f>
        <v/>
      </c>
      <c r="O859" s="30"/>
      <c r="P85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59" s="30"/>
      <c r="R859" s="30" t="str" cm="1">
        <f t="array" ref="R859">Main_Log_Ref(Main_Log[[#This Row],[Carrier]])</f>
        <v/>
      </c>
    </row>
    <row r="860" spans="1:18" ht="29.85" customHeight="1" x14ac:dyDescent="0.45">
      <c r="A860" s="30">
        <v>66</v>
      </c>
      <c r="B860" s="30"/>
      <c r="C860" s="30"/>
      <c r="D860" s="30"/>
      <c r="E860" s="30"/>
      <c r="F860" s="30"/>
      <c r="G860" s="30"/>
      <c r="H860" s="30"/>
      <c r="I860" s="30"/>
      <c r="J860" s="30"/>
      <c r="K860" s="30"/>
      <c r="L860" s="30"/>
      <c r="M860" s="30"/>
      <c r="N860" s="30" t="str" cm="1">
        <f t="array" ref="N860">Main_Log_Status(Main_Log[[#This Row],[Carrier]],Main_Log[[#This Row],[Net Weight]])</f>
        <v/>
      </c>
      <c r="O860" s="30"/>
      <c r="P86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60" s="30"/>
      <c r="R860" s="30" t="str" cm="1">
        <f t="array" ref="R860">Main_Log_Ref(Main_Log[[#This Row],[Carrier]])</f>
        <v/>
      </c>
    </row>
    <row r="861" spans="1:18" ht="29.85" customHeight="1" x14ac:dyDescent="0.45">
      <c r="A861" s="30">
        <v>67</v>
      </c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 t="str" cm="1">
        <f t="array" ref="N861">Main_Log_Status(Main_Log[[#This Row],[Carrier]],Main_Log[[#This Row],[Net Weight]])</f>
        <v/>
      </c>
      <c r="O861" s="30"/>
      <c r="P86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61" s="30"/>
      <c r="R861" s="30" t="str" cm="1">
        <f t="array" ref="R861">Main_Log_Ref(Main_Log[[#This Row],[Carrier]])</f>
        <v/>
      </c>
    </row>
    <row r="862" spans="1:18" ht="29.85" customHeight="1" x14ac:dyDescent="0.45">
      <c r="A862" s="30">
        <v>68</v>
      </c>
      <c r="B862" s="30"/>
      <c r="C862" s="30"/>
      <c r="D862" s="30"/>
      <c r="E862" s="30"/>
      <c r="F862" s="30"/>
      <c r="G862" s="30"/>
      <c r="H862" s="30"/>
      <c r="I862" s="30"/>
      <c r="J862" s="30"/>
      <c r="K862" s="30"/>
      <c r="L862" s="30"/>
      <c r="M862" s="30"/>
      <c r="N862" s="30" t="str" cm="1">
        <f t="array" ref="N862">Main_Log_Status(Main_Log[[#This Row],[Carrier]],Main_Log[[#This Row],[Net Weight]])</f>
        <v/>
      </c>
      <c r="O862" s="30"/>
      <c r="P86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62" s="30"/>
      <c r="R862" s="30" t="str" cm="1">
        <f t="array" ref="R862">Main_Log_Ref(Main_Log[[#This Row],[Carrier]])</f>
        <v/>
      </c>
    </row>
    <row r="863" spans="1:18" ht="29.85" customHeight="1" x14ac:dyDescent="0.45">
      <c r="A863" s="30">
        <v>69</v>
      </c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 t="str" cm="1">
        <f t="array" ref="N863">Main_Log_Status(Main_Log[[#This Row],[Carrier]],Main_Log[[#This Row],[Net Weight]])</f>
        <v/>
      </c>
      <c r="O863" s="30"/>
      <c r="P86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63" s="30"/>
      <c r="R863" s="30" t="str" cm="1">
        <f t="array" ref="R863">Main_Log_Ref(Main_Log[[#This Row],[Carrier]])</f>
        <v/>
      </c>
    </row>
    <row r="864" spans="1:18" ht="29.85" customHeight="1" x14ac:dyDescent="0.45">
      <c r="A864" s="30">
        <v>70</v>
      </c>
      <c r="B864" s="30"/>
      <c r="C864" s="30"/>
      <c r="D864" s="30"/>
      <c r="E864" s="30"/>
      <c r="F864" s="30"/>
      <c r="G864" s="30"/>
      <c r="H864" s="30"/>
      <c r="I864" s="30"/>
      <c r="J864" s="30"/>
      <c r="K864" s="30"/>
      <c r="L864" s="30"/>
      <c r="M864" s="30"/>
      <c r="N864" s="30" t="str" cm="1">
        <f t="array" ref="N864">Main_Log_Status(Main_Log[[#This Row],[Carrier]],Main_Log[[#This Row],[Net Weight]])</f>
        <v/>
      </c>
      <c r="O864" s="30"/>
      <c r="P86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64" s="30"/>
      <c r="R864" s="30" t="str" cm="1">
        <f t="array" ref="R864">Main_Log_Ref(Main_Log[[#This Row],[Carrier]])</f>
        <v/>
      </c>
    </row>
    <row r="865" spans="1:18" ht="29.85" customHeight="1" x14ac:dyDescent="0.45">
      <c r="A865" s="30">
        <v>71</v>
      </c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 t="str" cm="1">
        <f t="array" ref="N865">Main_Log_Status(Main_Log[[#This Row],[Carrier]],Main_Log[[#This Row],[Net Weight]])</f>
        <v/>
      </c>
      <c r="O865" s="30"/>
      <c r="P86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65" s="30"/>
      <c r="R865" s="30" t="str" cm="1">
        <f t="array" ref="R865">Main_Log_Ref(Main_Log[[#This Row],[Carrier]])</f>
        <v/>
      </c>
    </row>
    <row r="866" spans="1:18" ht="29.85" customHeight="1" x14ac:dyDescent="0.45">
      <c r="A866" s="30">
        <v>72</v>
      </c>
      <c r="B866" s="30"/>
      <c r="C866" s="30"/>
      <c r="D866" s="30"/>
      <c r="E866" s="30"/>
      <c r="F866" s="30"/>
      <c r="G866" s="30"/>
      <c r="H866" s="30"/>
      <c r="I866" s="30"/>
      <c r="J866" s="30"/>
      <c r="K866" s="30"/>
      <c r="L866" s="30"/>
      <c r="M866" s="30"/>
      <c r="N866" s="30" t="str" cm="1">
        <f t="array" ref="N866">Main_Log_Status(Main_Log[[#This Row],[Carrier]],Main_Log[[#This Row],[Net Weight]])</f>
        <v/>
      </c>
      <c r="O866" s="30"/>
      <c r="P86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66" s="30"/>
      <c r="R866" s="30" t="str" cm="1">
        <f t="array" ref="R866">Main_Log_Ref(Main_Log[[#This Row],[Carrier]])</f>
        <v/>
      </c>
    </row>
    <row r="867" spans="1:18" ht="29.85" customHeight="1" x14ac:dyDescent="0.45">
      <c r="A867" s="30">
        <v>73</v>
      </c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 t="str" cm="1">
        <f t="array" ref="N867">Main_Log_Status(Main_Log[[#This Row],[Carrier]],Main_Log[[#This Row],[Net Weight]])</f>
        <v/>
      </c>
      <c r="O867" s="30"/>
      <c r="P86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67" s="30"/>
      <c r="R867" s="30" t="str" cm="1">
        <f t="array" ref="R867">Main_Log_Ref(Main_Log[[#This Row],[Carrier]])</f>
        <v/>
      </c>
    </row>
    <row r="868" spans="1:18" ht="29.85" customHeight="1" x14ac:dyDescent="0.45">
      <c r="A868" s="30">
        <v>74</v>
      </c>
      <c r="B868" s="30"/>
      <c r="C868" s="30"/>
      <c r="D868" s="30"/>
      <c r="E868" s="30"/>
      <c r="F868" s="30"/>
      <c r="G868" s="30"/>
      <c r="H868" s="30"/>
      <c r="I868" s="30"/>
      <c r="J868" s="30"/>
      <c r="K868" s="30"/>
      <c r="L868" s="30"/>
      <c r="M868" s="30"/>
      <c r="N868" s="30" t="str" cm="1">
        <f t="array" ref="N868">Main_Log_Status(Main_Log[[#This Row],[Carrier]],Main_Log[[#This Row],[Net Weight]])</f>
        <v/>
      </c>
      <c r="O868" s="30"/>
      <c r="P86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68" s="30"/>
      <c r="R868" s="30" t="str" cm="1">
        <f t="array" ref="R868">Main_Log_Ref(Main_Log[[#This Row],[Carrier]])</f>
        <v/>
      </c>
    </row>
    <row r="869" spans="1:18" ht="29.85" customHeight="1" x14ac:dyDescent="0.45">
      <c r="A869" s="30">
        <v>75</v>
      </c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 t="str" cm="1">
        <f t="array" ref="N869">Main_Log_Status(Main_Log[[#This Row],[Carrier]],Main_Log[[#This Row],[Net Weight]])</f>
        <v/>
      </c>
      <c r="O869" s="30"/>
      <c r="P86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69" s="30"/>
      <c r="R869" s="30" t="str" cm="1">
        <f t="array" ref="R869">Main_Log_Ref(Main_Log[[#This Row],[Carrier]])</f>
        <v/>
      </c>
    </row>
    <row r="870" spans="1:18" ht="29.85" customHeight="1" x14ac:dyDescent="0.45">
      <c r="A870" s="30">
        <v>76</v>
      </c>
      <c r="B870" s="30"/>
      <c r="C870" s="30"/>
      <c r="D870" s="30"/>
      <c r="E870" s="30"/>
      <c r="F870" s="30"/>
      <c r="G870" s="30"/>
      <c r="H870" s="30"/>
      <c r="I870" s="30"/>
      <c r="J870" s="30"/>
      <c r="K870" s="30"/>
      <c r="L870" s="30"/>
      <c r="M870" s="30"/>
      <c r="N870" s="30" t="str" cm="1">
        <f t="array" ref="N870">Main_Log_Status(Main_Log[[#This Row],[Carrier]],Main_Log[[#This Row],[Net Weight]])</f>
        <v/>
      </c>
      <c r="O870" s="30"/>
      <c r="P87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70" s="30"/>
      <c r="R870" s="30" t="str" cm="1">
        <f t="array" ref="R870">Main_Log_Ref(Main_Log[[#This Row],[Carrier]])</f>
        <v/>
      </c>
    </row>
    <row r="871" spans="1:18" ht="29.85" customHeight="1" x14ac:dyDescent="0.45">
      <c r="A871" s="30">
        <v>77</v>
      </c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 t="str" cm="1">
        <f t="array" ref="N871">Main_Log_Status(Main_Log[[#This Row],[Carrier]],Main_Log[[#This Row],[Net Weight]])</f>
        <v/>
      </c>
      <c r="O871" s="30"/>
      <c r="P87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71" s="30"/>
      <c r="R871" s="30" t="str" cm="1">
        <f t="array" ref="R871">Main_Log_Ref(Main_Log[[#This Row],[Carrier]])</f>
        <v/>
      </c>
    </row>
    <row r="872" spans="1:18" ht="29.85" customHeight="1" x14ac:dyDescent="0.45">
      <c r="A872" s="30">
        <v>78</v>
      </c>
      <c r="B872" s="30"/>
      <c r="C872" s="30"/>
      <c r="D872" s="30"/>
      <c r="E872" s="30"/>
      <c r="F872" s="30"/>
      <c r="G872" s="30"/>
      <c r="H872" s="30"/>
      <c r="I872" s="30"/>
      <c r="J872" s="30"/>
      <c r="K872" s="30"/>
      <c r="L872" s="30"/>
      <c r="M872" s="30"/>
      <c r="N872" s="30" t="str" cm="1">
        <f t="array" ref="N872">Main_Log_Status(Main_Log[[#This Row],[Carrier]],Main_Log[[#This Row],[Net Weight]])</f>
        <v/>
      </c>
      <c r="O872" s="30"/>
      <c r="P87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72" s="30"/>
      <c r="R872" s="30" t="str" cm="1">
        <f t="array" ref="R872">Main_Log_Ref(Main_Log[[#This Row],[Carrier]])</f>
        <v/>
      </c>
    </row>
    <row r="873" spans="1:18" ht="29.85" customHeight="1" x14ac:dyDescent="0.45">
      <c r="A873" s="30">
        <v>79</v>
      </c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 t="str" cm="1">
        <f t="array" ref="N873">Main_Log_Status(Main_Log[[#This Row],[Carrier]],Main_Log[[#This Row],[Net Weight]])</f>
        <v/>
      </c>
      <c r="O873" s="30"/>
      <c r="P87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73" s="30"/>
      <c r="R873" s="30" t="str" cm="1">
        <f t="array" ref="R873">Main_Log_Ref(Main_Log[[#This Row],[Carrier]])</f>
        <v/>
      </c>
    </row>
    <row r="874" spans="1:18" ht="29.85" customHeight="1" x14ac:dyDescent="0.45">
      <c r="A874" s="30">
        <v>80</v>
      </c>
      <c r="B874" s="30"/>
      <c r="C874" s="30"/>
      <c r="D874" s="30"/>
      <c r="E874" s="30"/>
      <c r="F874" s="30"/>
      <c r="G874" s="30"/>
      <c r="H874" s="30"/>
      <c r="I874" s="30"/>
      <c r="J874" s="30"/>
      <c r="K874" s="30"/>
      <c r="L874" s="30"/>
      <c r="M874" s="30"/>
      <c r="N874" s="30" t="str" cm="1">
        <f t="array" ref="N874">Main_Log_Status(Main_Log[[#This Row],[Carrier]],Main_Log[[#This Row],[Net Weight]])</f>
        <v/>
      </c>
      <c r="O874" s="30"/>
      <c r="P87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74" s="30"/>
      <c r="R874" s="30" t="str" cm="1">
        <f t="array" ref="R874">Main_Log_Ref(Main_Log[[#This Row],[Carrier]])</f>
        <v/>
      </c>
    </row>
    <row r="875" spans="1:18" ht="29.85" customHeight="1" x14ac:dyDescent="0.45">
      <c r="A875" s="30">
        <v>81</v>
      </c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 t="str" cm="1">
        <f t="array" ref="N875">Main_Log_Status(Main_Log[[#This Row],[Carrier]],Main_Log[[#This Row],[Net Weight]])</f>
        <v/>
      </c>
      <c r="O875" s="30"/>
      <c r="P87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75" s="30"/>
      <c r="R875" s="30" t="str" cm="1">
        <f t="array" ref="R875">Main_Log_Ref(Main_Log[[#This Row],[Carrier]])</f>
        <v/>
      </c>
    </row>
    <row r="876" spans="1:18" ht="29.85" customHeight="1" x14ac:dyDescent="0.45">
      <c r="A876" s="30">
        <v>82</v>
      </c>
      <c r="B876" s="30"/>
      <c r="C876" s="30"/>
      <c r="D876" s="30"/>
      <c r="E876" s="30"/>
      <c r="F876" s="30"/>
      <c r="G876" s="30"/>
      <c r="H876" s="30"/>
      <c r="I876" s="30"/>
      <c r="J876" s="30"/>
      <c r="K876" s="30"/>
      <c r="L876" s="30"/>
      <c r="M876" s="30"/>
      <c r="N876" s="30" t="str" cm="1">
        <f t="array" ref="N876">Main_Log_Status(Main_Log[[#This Row],[Carrier]],Main_Log[[#This Row],[Net Weight]])</f>
        <v/>
      </c>
      <c r="O876" s="30"/>
      <c r="P87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76" s="30"/>
      <c r="R876" s="30" t="str" cm="1">
        <f t="array" ref="R876">Main_Log_Ref(Main_Log[[#This Row],[Carrier]])</f>
        <v/>
      </c>
    </row>
    <row r="877" spans="1:18" ht="29.85" customHeight="1" x14ac:dyDescent="0.45">
      <c r="A877" s="30">
        <v>83</v>
      </c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 t="str" cm="1">
        <f t="array" ref="N877">Main_Log_Status(Main_Log[[#This Row],[Carrier]],Main_Log[[#This Row],[Net Weight]])</f>
        <v/>
      </c>
      <c r="O877" s="30"/>
      <c r="P87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77" s="30"/>
      <c r="R877" s="30" t="str" cm="1">
        <f t="array" ref="R877">Main_Log_Ref(Main_Log[[#This Row],[Carrier]])</f>
        <v/>
      </c>
    </row>
    <row r="878" spans="1:18" ht="29.85" customHeight="1" x14ac:dyDescent="0.45">
      <c r="A878" s="30">
        <v>84</v>
      </c>
      <c r="B878" s="30"/>
      <c r="C878" s="30"/>
      <c r="D878" s="30"/>
      <c r="E878" s="30"/>
      <c r="F878" s="30"/>
      <c r="G878" s="30"/>
      <c r="H878" s="30"/>
      <c r="I878" s="30"/>
      <c r="J878" s="30"/>
      <c r="K878" s="30"/>
      <c r="L878" s="30"/>
      <c r="M878" s="30"/>
      <c r="N878" s="30" t="str" cm="1">
        <f t="array" ref="N878">Main_Log_Status(Main_Log[[#This Row],[Carrier]],Main_Log[[#This Row],[Net Weight]])</f>
        <v/>
      </c>
      <c r="O878" s="30"/>
      <c r="P87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78" s="30"/>
      <c r="R878" s="30" t="str" cm="1">
        <f t="array" ref="R878">Main_Log_Ref(Main_Log[[#This Row],[Carrier]])</f>
        <v/>
      </c>
    </row>
    <row r="879" spans="1:18" ht="29.85" customHeight="1" x14ac:dyDescent="0.45">
      <c r="A879" s="30">
        <v>85</v>
      </c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 t="str" cm="1">
        <f t="array" ref="N879">Main_Log_Status(Main_Log[[#This Row],[Carrier]],Main_Log[[#This Row],[Net Weight]])</f>
        <v/>
      </c>
      <c r="O879" s="30"/>
      <c r="P87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79" s="30"/>
      <c r="R879" s="30" t="str" cm="1">
        <f t="array" ref="R879">Main_Log_Ref(Main_Log[[#This Row],[Carrier]])</f>
        <v/>
      </c>
    </row>
    <row r="880" spans="1:18" ht="29.85" customHeight="1" x14ac:dyDescent="0.45">
      <c r="A880" s="30">
        <v>86</v>
      </c>
      <c r="B880" s="30"/>
      <c r="C880" s="30"/>
      <c r="D880" s="30"/>
      <c r="E880" s="30"/>
      <c r="F880" s="30"/>
      <c r="G880" s="30"/>
      <c r="H880" s="30"/>
      <c r="I880" s="30"/>
      <c r="J880" s="30"/>
      <c r="K880" s="30"/>
      <c r="L880" s="30"/>
      <c r="M880" s="30"/>
      <c r="N880" s="30" t="str" cm="1">
        <f t="array" ref="N880">Main_Log_Status(Main_Log[[#This Row],[Carrier]],Main_Log[[#This Row],[Net Weight]])</f>
        <v/>
      </c>
      <c r="O880" s="30"/>
      <c r="P88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80" s="30"/>
      <c r="R880" s="30" t="str" cm="1">
        <f t="array" ref="R880">Main_Log_Ref(Main_Log[[#This Row],[Carrier]])</f>
        <v/>
      </c>
    </row>
    <row r="881" spans="1:18" ht="29.85" customHeight="1" x14ac:dyDescent="0.45">
      <c r="A881" s="30">
        <v>87</v>
      </c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 t="str" cm="1">
        <f t="array" ref="N881">Main_Log_Status(Main_Log[[#This Row],[Carrier]],Main_Log[[#This Row],[Net Weight]])</f>
        <v/>
      </c>
      <c r="O881" s="30"/>
      <c r="P88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81" s="30"/>
      <c r="R881" s="30" t="str" cm="1">
        <f t="array" ref="R881">Main_Log_Ref(Main_Log[[#This Row],[Carrier]])</f>
        <v/>
      </c>
    </row>
    <row r="882" spans="1:18" ht="29.85" customHeight="1" x14ac:dyDescent="0.45">
      <c r="A882" s="30">
        <v>88</v>
      </c>
      <c r="B882" s="30"/>
      <c r="C882" s="30"/>
      <c r="D882" s="30"/>
      <c r="E882" s="30"/>
      <c r="F882" s="30"/>
      <c r="G882" s="30"/>
      <c r="H882" s="30"/>
      <c r="I882" s="30"/>
      <c r="J882" s="30"/>
      <c r="K882" s="30"/>
      <c r="L882" s="30"/>
      <c r="M882" s="30"/>
      <c r="N882" s="30" t="str" cm="1">
        <f t="array" ref="N882">Main_Log_Status(Main_Log[[#This Row],[Carrier]],Main_Log[[#This Row],[Net Weight]])</f>
        <v/>
      </c>
      <c r="O882" s="30"/>
      <c r="P88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82" s="30"/>
      <c r="R882" s="30" t="str" cm="1">
        <f t="array" ref="R882">Main_Log_Ref(Main_Log[[#This Row],[Carrier]])</f>
        <v/>
      </c>
    </row>
    <row r="883" spans="1:18" ht="29.85" customHeight="1" x14ac:dyDescent="0.45">
      <c r="A883" s="30">
        <v>89</v>
      </c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 t="str" cm="1">
        <f t="array" ref="N883">Main_Log_Status(Main_Log[[#This Row],[Carrier]],Main_Log[[#This Row],[Net Weight]])</f>
        <v/>
      </c>
      <c r="O883" s="30"/>
      <c r="P88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83" s="30"/>
      <c r="R883" s="30" t="str" cm="1">
        <f t="array" ref="R883">Main_Log_Ref(Main_Log[[#This Row],[Carrier]])</f>
        <v/>
      </c>
    </row>
    <row r="884" spans="1:18" ht="29.85" customHeight="1" x14ac:dyDescent="0.45">
      <c r="A884" s="30">
        <v>90</v>
      </c>
      <c r="B884" s="30"/>
      <c r="C884" s="30"/>
      <c r="D884" s="30"/>
      <c r="E884" s="30"/>
      <c r="F884" s="30"/>
      <c r="G884" s="30"/>
      <c r="H884" s="30"/>
      <c r="I884" s="30"/>
      <c r="J884" s="30"/>
      <c r="K884" s="30"/>
      <c r="L884" s="30"/>
      <c r="M884" s="30"/>
      <c r="N884" s="30" t="str" cm="1">
        <f t="array" ref="N884">Main_Log_Status(Main_Log[[#This Row],[Carrier]],Main_Log[[#This Row],[Net Weight]])</f>
        <v/>
      </c>
      <c r="O884" s="30"/>
      <c r="P88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84" s="30"/>
      <c r="R884" s="30" t="str" cm="1">
        <f t="array" ref="R884">Main_Log_Ref(Main_Log[[#This Row],[Carrier]])</f>
        <v/>
      </c>
    </row>
    <row r="885" spans="1:18" ht="29.85" customHeight="1" x14ac:dyDescent="0.45">
      <c r="A885" s="30">
        <v>91</v>
      </c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 t="str" cm="1">
        <f t="array" ref="N885">Main_Log_Status(Main_Log[[#This Row],[Carrier]],Main_Log[[#This Row],[Net Weight]])</f>
        <v/>
      </c>
      <c r="O885" s="30"/>
      <c r="P88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85" s="30"/>
      <c r="R885" s="30" t="str" cm="1">
        <f t="array" ref="R885">Main_Log_Ref(Main_Log[[#This Row],[Carrier]])</f>
        <v/>
      </c>
    </row>
    <row r="886" spans="1:18" ht="29.85" customHeight="1" x14ac:dyDescent="0.45">
      <c r="A886" s="30">
        <v>92</v>
      </c>
      <c r="B886" s="30"/>
      <c r="C886" s="30"/>
      <c r="D886" s="30"/>
      <c r="E886" s="30"/>
      <c r="F886" s="30"/>
      <c r="G886" s="30"/>
      <c r="H886" s="30"/>
      <c r="I886" s="30"/>
      <c r="J886" s="30"/>
      <c r="K886" s="30"/>
      <c r="L886" s="30"/>
      <c r="M886" s="30"/>
      <c r="N886" s="30" t="str" cm="1">
        <f t="array" ref="N886">Main_Log_Status(Main_Log[[#This Row],[Carrier]],Main_Log[[#This Row],[Net Weight]])</f>
        <v/>
      </c>
      <c r="O886" s="30"/>
      <c r="P88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86" s="30"/>
      <c r="R886" s="30" t="str" cm="1">
        <f t="array" ref="R886">Main_Log_Ref(Main_Log[[#This Row],[Carrier]])</f>
        <v/>
      </c>
    </row>
    <row r="887" spans="1:18" ht="29.85" customHeight="1" x14ac:dyDescent="0.45">
      <c r="A887" s="30">
        <v>93</v>
      </c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 t="str" cm="1">
        <f t="array" ref="N887">Main_Log_Status(Main_Log[[#This Row],[Carrier]],Main_Log[[#This Row],[Net Weight]])</f>
        <v/>
      </c>
      <c r="O887" s="30"/>
      <c r="P88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87" s="30"/>
      <c r="R887" s="30" t="str" cm="1">
        <f t="array" ref="R887">Main_Log_Ref(Main_Log[[#This Row],[Carrier]])</f>
        <v/>
      </c>
    </row>
    <row r="888" spans="1:18" ht="29.85" customHeight="1" x14ac:dyDescent="0.45">
      <c r="A888" s="30">
        <v>94</v>
      </c>
      <c r="B888" s="30"/>
      <c r="C888" s="30"/>
      <c r="D888" s="30"/>
      <c r="E888" s="30"/>
      <c r="F888" s="30"/>
      <c r="G888" s="30"/>
      <c r="H888" s="30"/>
      <c r="I888" s="30"/>
      <c r="J888" s="30"/>
      <c r="K888" s="30"/>
      <c r="L888" s="30"/>
      <c r="M888" s="30"/>
      <c r="N888" s="30" t="str" cm="1">
        <f t="array" ref="N888">Main_Log_Status(Main_Log[[#This Row],[Carrier]],Main_Log[[#This Row],[Net Weight]])</f>
        <v/>
      </c>
      <c r="O888" s="30"/>
      <c r="P88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88" s="30"/>
      <c r="R888" s="30" t="str" cm="1">
        <f t="array" ref="R888">Main_Log_Ref(Main_Log[[#This Row],[Carrier]])</f>
        <v/>
      </c>
    </row>
    <row r="889" spans="1:18" ht="29.85" customHeight="1" x14ac:dyDescent="0.45">
      <c r="A889" s="30">
        <v>95</v>
      </c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 t="str" cm="1">
        <f t="array" ref="N889">Main_Log_Status(Main_Log[[#This Row],[Carrier]],Main_Log[[#This Row],[Net Weight]])</f>
        <v/>
      </c>
      <c r="O889" s="30"/>
      <c r="P88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89" s="30"/>
      <c r="R889" s="30" t="str" cm="1">
        <f t="array" ref="R889">Main_Log_Ref(Main_Log[[#This Row],[Carrier]])</f>
        <v/>
      </c>
    </row>
    <row r="890" spans="1:18" ht="29.85" customHeight="1" x14ac:dyDescent="0.45">
      <c r="A890" s="30">
        <v>96</v>
      </c>
      <c r="B890" s="30"/>
      <c r="C890" s="30"/>
      <c r="D890" s="30"/>
      <c r="E890" s="30"/>
      <c r="F890" s="30"/>
      <c r="G890" s="30"/>
      <c r="H890" s="30"/>
      <c r="I890" s="30"/>
      <c r="J890" s="30"/>
      <c r="K890" s="30"/>
      <c r="L890" s="30"/>
      <c r="M890" s="30"/>
      <c r="N890" s="30" t="str" cm="1">
        <f t="array" ref="N890">Main_Log_Status(Main_Log[[#This Row],[Carrier]],Main_Log[[#This Row],[Net Weight]])</f>
        <v/>
      </c>
      <c r="O890" s="30"/>
      <c r="P89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90" s="30"/>
      <c r="R890" s="30" t="str" cm="1">
        <f t="array" ref="R890">Main_Log_Ref(Main_Log[[#This Row],[Carrier]])</f>
        <v/>
      </c>
    </row>
    <row r="891" spans="1:18" ht="29.85" customHeight="1" x14ac:dyDescent="0.45">
      <c r="A891" s="30">
        <v>97</v>
      </c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 t="str" cm="1">
        <f t="array" ref="N891">Main_Log_Status(Main_Log[[#This Row],[Carrier]],Main_Log[[#This Row],[Net Weight]])</f>
        <v/>
      </c>
      <c r="O891" s="30"/>
      <c r="P89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91" s="30"/>
      <c r="R891" s="30" t="str" cm="1">
        <f t="array" ref="R891">Main_Log_Ref(Main_Log[[#This Row],[Carrier]])</f>
        <v/>
      </c>
    </row>
    <row r="892" spans="1:18" ht="29.85" customHeight="1" x14ac:dyDescent="0.45">
      <c r="A892" s="30">
        <v>98</v>
      </c>
      <c r="B892" s="30"/>
      <c r="C892" s="30"/>
      <c r="D892" s="30"/>
      <c r="E892" s="30"/>
      <c r="F892" s="30"/>
      <c r="G892" s="30"/>
      <c r="H892" s="30"/>
      <c r="I892" s="30"/>
      <c r="J892" s="30"/>
      <c r="K892" s="30"/>
      <c r="L892" s="30"/>
      <c r="M892" s="30"/>
      <c r="N892" s="30" t="str" cm="1">
        <f t="array" ref="N892">Main_Log_Status(Main_Log[[#This Row],[Carrier]],Main_Log[[#This Row],[Net Weight]])</f>
        <v/>
      </c>
      <c r="O892" s="30"/>
      <c r="P89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92" s="30"/>
      <c r="R892" s="30" t="str" cm="1">
        <f t="array" ref="R892">Main_Log_Ref(Main_Log[[#This Row],[Carrier]])</f>
        <v/>
      </c>
    </row>
    <row r="893" spans="1:18" ht="29.85" customHeight="1" x14ac:dyDescent="0.45">
      <c r="A893" s="30">
        <v>99</v>
      </c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 t="str" cm="1">
        <f t="array" ref="N893">Main_Log_Status(Main_Log[[#This Row],[Carrier]],Main_Log[[#This Row],[Net Weight]])</f>
        <v/>
      </c>
      <c r="O893" s="30"/>
      <c r="P89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93" s="30"/>
      <c r="R893" s="30" t="str" cm="1">
        <f t="array" ref="R893">Main_Log_Ref(Main_Log[[#This Row],[Carrier]])</f>
        <v/>
      </c>
    </row>
    <row r="894" spans="1:18" ht="29.85" customHeight="1" x14ac:dyDescent="0.45">
      <c r="A894" s="30">
        <v>1</v>
      </c>
      <c r="B894" s="30"/>
      <c r="C894" s="30"/>
      <c r="D894" s="30"/>
      <c r="E894" s="30"/>
      <c r="F894" s="30"/>
      <c r="G894" s="30"/>
      <c r="H894" s="30"/>
      <c r="I894" s="30"/>
      <c r="J894" s="30"/>
      <c r="K894" s="30"/>
      <c r="L894" s="30"/>
      <c r="M894" s="30"/>
      <c r="N894" s="30" t="str" cm="1">
        <f t="array" ref="N894">Main_Log_Status(Main_Log[[#This Row],[Carrier]],Main_Log[[#This Row],[Net Weight]])</f>
        <v/>
      </c>
      <c r="O894" s="30"/>
      <c r="P89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94" s="30"/>
      <c r="R894" s="30" t="str" cm="1">
        <f t="array" ref="R894">Main_Log_Ref(Main_Log[[#This Row],[Carrier]])</f>
        <v/>
      </c>
    </row>
    <row r="895" spans="1:18" ht="29.85" customHeight="1" x14ac:dyDescent="0.45">
      <c r="A895" s="30">
        <v>2</v>
      </c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 t="str" cm="1">
        <f t="array" ref="N895">Main_Log_Status(Main_Log[[#This Row],[Carrier]],Main_Log[[#This Row],[Net Weight]])</f>
        <v/>
      </c>
      <c r="O895" s="30"/>
      <c r="P89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95" s="30"/>
      <c r="R895" s="30" t="str" cm="1">
        <f t="array" ref="R895">Main_Log_Ref(Main_Log[[#This Row],[Carrier]])</f>
        <v/>
      </c>
    </row>
    <row r="896" spans="1:18" ht="29.85" customHeight="1" x14ac:dyDescent="0.45">
      <c r="A896" s="30">
        <v>3</v>
      </c>
      <c r="B896" s="30"/>
      <c r="C896" s="30"/>
      <c r="D896" s="30"/>
      <c r="E896" s="30"/>
      <c r="F896" s="30"/>
      <c r="G896" s="30"/>
      <c r="H896" s="30"/>
      <c r="I896" s="30"/>
      <c r="J896" s="30"/>
      <c r="K896" s="30"/>
      <c r="L896" s="30"/>
      <c r="M896" s="30"/>
      <c r="N896" s="30" t="str" cm="1">
        <f t="array" ref="N896">Main_Log_Status(Main_Log[[#This Row],[Carrier]],Main_Log[[#This Row],[Net Weight]])</f>
        <v/>
      </c>
      <c r="O896" s="30"/>
      <c r="P89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96" s="30"/>
      <c r="R896" s="30" t="str" cm="1">
        <f t="array" ref="R896">Main_Log_Ref(Main_Log[[#This Row],[Carrier]])</f>
        <v/>
      </c>
    </row>
    <row r="897" spans="1:18" ht="29.85" customHeight="1" x14ac:dyDescent="0.45">
      <c r="A897" s="30">
        <v>4</v>
      </c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 t="str" cm="1">
        <f t="array" ref="N897">Main_Log_Status(Main_Log[[#This Row],[Carrier]],Main_Log[[#This Row],[Net Weight]])</f>
        <v/>
      </c>
      <c r="O897" s="30"/>
      <c r="P89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97" s="30"/>
      <c r="R897" s="30" t="str" cm="1">
        <f t="array" ref="R897">Main_Log_Ref(Main_Log[[#This Row],[Carrier]])</f>
        <v/>
      </c>
    </row>
    <row r="898" spans="1:18" ht="29.85" customHeight="1" x14ac:dyDescent="0.45">
      <c r="A898" s="30">
        <v>5</v>
      </c>
      <c r="B898" s="30"/>
      <c r="C898" s="30"/>
      <c r="D898" s="30"/>
      <c r="E898" s="30"/>
      <c r="F898" s="30"/>
      <c r="G898" s="30"/>
      <c r="H898" s="30"/>
      <c r="I898" s="30"/>
      <c r="J898" s="30"/>
      <c r="K898" s="30"/>
      <c r="L898" s="30"/>
      <c r="M898" s="30"/>
      <c r="N898" s="30" t="str" cm="1">
        <f t="array" ref="N898">Main_Log_Status(Main_Log[[#This Row],[Carrier]],Main_Log[[#This Row],[Net Weight]])</f>
        <v/>
      </c>
      <c r="O898" s="30"/>
      <c r="P89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98" s="30"/>
      <c r="R898" s="30" t="str" cm="1">
        <f t="array" ref="R898">Main_Log_Ref(Main_Log[[#This Row],[Carrier]])</f>
        <v/>
      </c>
    </row>
    <row r="899" spans="1:18" ht="29.85" customHeight="1" x14ac:dyDescent="0.45">
      <c r="A899" s="30">
        <v>6</v>
      </c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 t="str" cm="1">
        <f t="array" ref="N899">Main_Log_Status(Main_Log[[#This Row],[Carrier]],Main_Log[[#This Row],[Net Weight]])</f>
        <v/>
      </c>
      <c r="O899" s="30"/>
      <c r="P89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899" s="30"/>
      <c r="R899" s="30" t="str" cm="1">
        <f t="array" ref="R899">Main_Log_Ref(Main_Log[[#This Row],[Carrier]])</f>
        <v/>
      </c>
    </row>
    <row r="900" spans="1:18" ht="29.85" customHeight="1" x14ac:dyDescent="0.45">
      <c r="A900" s="30">
        <v>7</v>
      </c>
      <c r="B900" s="30"/>
      <c r="C900" s="30"/>
      <c r="D900" s="30"/>
      <c r="E900" s="30"/>
      <c r="F900" s="30"/>
      <c r="G900" s="30"/>
      <c r="H900" s="30"/>
      <c r="I900" s="30"/>
      <c r="J900" s="30"/>
      <c r="K900" s="30"/>
      <c r="L900" s="30"/>
      <c r="M900" s="30"/>
      <c r="N900" s="30" t="str" cm="1">
        <f t="array" ref="N900">Main_Log_Status(Main_Log[[#This Row],[Carrier]],Main_Log[[#This Row],[Net Weight]])</f>
        <v/>
      </c>
      <c r="O900" s="30"/>
      <c r="P90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00" s="30"/>
      <c r="R900" s="30" t="str" cm="1">
        <f t="array" ref="R900">Main_Log_Ref(Main_Log[[#This Row],[Carrier]])</f>
        <v/>
      </c>
    </row>
    <row r="901" spans="1:18" ht="29.85" customHeight="1" x14ac:dyDescent="0.45">
      <c r="A901" s="30">
        <v>8</v>
      </c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 t="str" cm="1">
        <f t="array" ref="N901">Main_Log_Status(Main_Log[[#This Row],[Carrier]],Main_Log[[#This Row],[Net Weight]])</f>
        <v/>
      </c>
      <c r="O901" s="30"/>
      <c r="P90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01" s="30"/>
      <c r="R901" s="30" t="str" cm="1">
        <f t="array" ref="R901">Main_Log_Ref(Main_Log[[#This Row],[Carrier]])</f>
        <v/>
      </c>
    </row>
    <row r="902" spans="1:18" ht="29.85" customHeight="1" x14ac:dyDescent="0.45">
      <c r="A902" s="30">
        <v>9</v>
      </c>
      <c r="B902" s="30"/>
      <c r="C902" s="30"/>
      <c r="D902" s="30"/>
      <c r="E902" s="30"/>
      <c r="F902" s="30"/>
      <c r="G902" s="30"/>
      <c r="H902" s="30"/>
      <c r="I902" s="30"/>
      <c r="J902" s="30"/>
      <c r="K902" s="30"/>
      <c r="L902" s="30"/>
      <c r="M902" s="30"/>
      <c r="N902" s="30" t="str" cm="1">
        <f t="array" ref="N902">Main_Log_Status(Main_Log[[#This Row],[Carrier]],Main_Log[[#This Row],[Net Weight]])</f>
        <v/>
      </c>
      <c r="O902" s="30"/>
      <c r="P90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02" s="30"/>
      <c r="R902" s="30" t="str" cm="1">
        <f t="array" ref="R902">Main_Log_Ref(Main_Log[[#This Row],[Carrier]])</f>
        <v/>
      </c>
    </row>
    <row r="903" spans="1:18" ht="29.85" customHeight="1" x14ac:dyDescent="0.45">
      <c r="A903" s="30">
        <v>10</v>
      </c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 t="str" cm="1">
        <f t="array" ref="N903">Main_Log_Status(Main_Log[[#This Row],[Carrier]],Main_Log[[#This Row],[Net Weight]])</f>
        <v/>
      </c>
      <c r="O903" s="30"/>
      <c r="P90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03" s="30"/>
      <c r="R903" s="30" t="str" cm="1">
        <f t="array" ref="R903">Main_Log_Ref(Main_Log[[#This Row],[Carrier]])</f>
        <v/>
      </c>
    </row>
    <row r="904" spans="1:18" ht="29.85" customHeight="1" x14ac:dyDescent="0.45">
      <c r="A904" s="30">
        <v>11</v>
      </c>
      <c r="B904" s="30"/>
      <c r="C904" s="30"/>
      <c r="D904" s="30"/>
      <c r="E904" s="30"/>
      <c r="F904" s="30"/>
      <c r="G904" s="30"/>
      <c r="H904" s="30"/>
      <c r="I904" s="30"/>
      <c r="J904" s="30"/>
      <c r="K904" s="30"/>
      <c r="L904" s="30"/>
      <c r="M904" s="30"/>
      <c r="N904" s="30" t="str" cm="1">
        <f t="array" ref="N904">Main_Log_Status(Main_Log[[#This Row],[Carrier]],Main_Log[[#This Row],[Net Weight]])</f>
        <v/>
      </c>
      <c r="O904" s="30"/>
      <c r="P90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04" s="30"/>
      <c r="R904" s="30" t="str" cm="1">
        <f t="array" ref="R904">Main_Log_Ref(Main_Log[[#This Row],[Carrier]])</f>
        <v/>
      </c>
    </row>
    <row r="905" spans="1:18" ht="29.85" customHeight="1" x14ac:dyDescent="0.45">
      <c r="A905" s="30">
        <v>12</v>
      </c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 t="str" cm="1">
        <f t="array" ref="N905">Main_Log_Status(Main_Log[[#This Row],[Carrier]],Main_Log[[#This Row],[Net Weight]])</f>
        <v/>
      </c>
      <c r="O905" s="30"/>
      <c r="P90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05" s="30"/>
      <c r="R905" s="30" t="str" cm="1">
        <f t="array" ref="R905">Main_Log_Ref(Main_Log[[#This Row],[Carrier]])</f>
        <v/>
      </c>
    </row>
    <row r="906" spans="1:18" ht="29.85" customHeight="1" x14ac:dyDescent="0.45">
      <c r="A906" s="30">
        <v>13</v>
      </c>
      <c r="B906" s="30"/>
      <c r="C906" s="30"/>
      <c r="D906" s="30"/>
      <c r="E906" s="30"/>
      <c r="F906" s="30"/>
      <c r="G906" s="30"/>
      <c r="H906" s="30"/>
      <c r="I906" s="30"/>
      <c r="J906" s="30"/>
      <c r="K906" s="30"/>
      <c r="L906" s="30"/>
      <c r="M906" s="30"/>
      <c r="N906" s="30" t="str" cm="1">
        <f t="array" ref="N906">Main_Log_Status(Main_Log[[#This Row],[Carrier]],Main_Log[[#This Row],[Net Weight]])</f>
        <v/>
      </c>
      <c r="O906" s="30"/>
      <c r="P90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06" s="30"/>
      <c r="R906" s="30" t="str" cm="1">
        <f t="array" ref="R906">Main_Log_Ref(Main_Log[[#This Row],[Carrier]])</f>
        <v/>
      </c>
    </row>
    <row r="907" spans="1:18" ht="29.85" customHeight="1" x14ac:dyDescent="0.45">
      <c r="A907" s="30">
        <v>14</v>
      </c>
      <c r="B907" s="30"/>
      <c r="C907" s="30"/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 t="str" cm="1">
        <f t="array" ref="N907">Main_Log_Status(Main_Log[[#This Row],[Carrier]],Main_Log[[#This Row],[Net Weight]])</f>
        <v/>
      </c>
      <c r="O907" s="30"/>
      <c r="P90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07" s="30"/>
      <c r="R907" s="30" t="str" cm="1">
        <f t="array" ref="R907">Main_Log_Ref(Main_Log[[#This Row],[Carrier]])</f>
        <v/>
      </c>
    </row>
    <row r="908" spans="1:18" ht="29.85" customHeight="1" x14ac:dyDescent="0.45">
      <c r="A908" s="30">
        <v>15</v>
      </c>
      <c r="B908" s="30"/>
      <c r="C908" s="30"/>
      <c r="D908" s="30"/>
      <c r="E908" s="30"/>
      <c r="F908" s="30"/>
      <c r="G908" s="30"/>
      <c r="H908" s="30"/>
      <c r="I908" s="30"/>
      <c r="J908" s="30"/>
      <c r="K908" s="30"/>
      <c r="L908" s="30"/>
      <c r="M908" s="30"/>
      <c r="N908" s="30" t="str" cm="1">
        <f t="array" ref="N908">Main_Log_Status(Main_Log[[#This Row],[Carrier]],Main_Log[[#This Row],[Net Weight]])</f>
        <v/>
      </c>
      <c r="O908" s="30"/>
      <c r="P90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08" s="30"/>
      <c r="R908" s="30" t="str" cm="1">
        <f t="array" ref="R908">Main_Log_Ref(Main_Log[[#This Row],[Carrier]])</f>
        <v/>
      </c>
    </row>
    <row r="909" spans="1:18" ht="29.85" customHeight="1" x14ac:dyDescent="0.45">
      <c r="A909" s="30">
        <v>16</v>
      </c>
      <c r="B909" s="30"/>
      <c r="C909" s="30"/>
      <c r="D909" s="30"/>
      <c r="E909" s="30"/>
      <c r="F909" s="30"/>
      <c r="G909" s="30"/>
      <c r="H909" s="30"/>
      <c r="I909" s="30"/>
      <c r="J909" s="30"/>
      <c r="K909" s="30"/>
      <c r="L909" s="30"/>
      <c r="M909" s="30"/>
      <c r="N909" s="30" t="str" cm="1">
        <f t="array" ref="N909">Main_Log_Status(Main_Log[[#This Row],[Carrier]],Main_Log[[#This Row],[Net Weight]])</f>
        <v/>
      </c>
      <c r="O909" s="30"/>
      <c r="P90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09" s="30"/>
      <c r="R909" s="30" t="str" cm="1">
        <f t="array" ref="R909">Main_Log_Ref(Main_Log[[#This Row],[Carrier]])</f>
        <v/>
      </c>
    </row>
    <row r="910" spans="1:18" ht="29.85" customHeight="1" x14ac:dyDescent="0.45">
      <c r="A910" s="30">
        <v>17</v>
      </c>
      <c r="B910" s="30"/>
      <c r="C910" s="30"/>
      <c r="D910" s="30"/>
      <c r="E910" s="30"/>
      <c r="F910" s="30"/>
      <c r="G910" s="30"/>
      <c r="H910" s="30"/>
      <c r="I910" s="30"/>
      <c r="J910" s="30"/>
      <c r="K910" s="30"/>
      <c r="L910" s="30"/>
      <c r="M910" s="30"/>
      <c r="N910" s="30" t="str" cm="1">
        <f t="array" ref="N910">Main_Log_Status(Main_Log[[#This Row],[Carrier]],Main_Log[[#This Row],[Net Weight]])</f>
        <v/>
      </c>
      <c r="O910" s="30"/>
      <c r="P91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10" s="30"/>
      <c r="R910" s="30" t="str" cm="1">
        <f t="array" ref="R910">Main_Log_Ref(Main_Log[[#This Row],[Carrier]])</f>
        <v/>
      </c>
    </row>
    <row r="911" spans="1:18" ht="29.85" customHeight="1" x14ac:dyDescent="0.45">
      <c r="A911" s="30">
        <v>18</v>
      </c>
      <c r="B911" s="30"/>
      <c r="C911" s="30"/>
      <c r="D911" s="30"/>
      <c r="E911" s="30"/>
      <c r="F911" s="30"/>
      <c r="G911" s="30"/>
      <c r="H911" s="30"/>
      <c r="I911" s="30"/>
      <c r="J911" s="30"/>
      <c r="K911" s="30"/>
      <c r="L911" s="30"/>
      <c r="M911" s="30"/>
      <c r="N911" s="30" t="str" cm="1">
        <f t="array" ref="N911">Main_Log_Status(Main_Log[[#This Row],[Carrier]],Main_Log[[#This Row],[Net Weight]])</f>
        <v/>
      </c>
      <c r="O911" s="30"/>
      <c r="P91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11" s="30"/>
      <c r="R911" s="30" t="str" cm="1">
        <f t="array" ref="R911">Main_Log_Ref(Main_Log[[#This Row],[Carrier]])</f>
        <v/>
      </c>
    </row>
    <row r="912" spans="1:18" ht="29.85" customHeight="1" x14ac:dyDescent="0.45">
      <c r="A912" s="30">
        <v>19</v>
      </c>
      <c r="B912" s="30"/>
      <c r="C912" s="30"/>
      <c r="D912" s="30"/>
      <c r="E912" s="30"/>
      <c r="F912" s="30"/>
      <c r="G912" s="30"/>
      <c r="H912" s="30"/>
      <c r="I912" s="30"/>
      <c r="J912" s="30"/>
      <c r="K912" s="30"/>
      <c r="L912" s="30"/>
      <c r="M912" s="30"/>
      <c r="N912" s="30" t="str" cm="1">
        <f t="array" ref="N912">Main_Log_Status(Main_Log[[#This Row],[Carrier]],Main_Log[[#This Row],[Net Weight]])</f>
        <v/>
      </c>
      <c r="O912" s="30"/>
      <c r="P91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12" s="30"/>
      <c r="R912" s="30" t="str" cm="1">
        <f t="array" ref="R912">Main_Log_Ref(Main_Log[[#This Row],[Carrier]])</f>
        <v/>
      </c>
    </row>
    <row r="913" spans="1:18" ht="29.85" customHeight="1" x14ac:dyDescent="0.45">
      <c r="A913" s="30">
        <v>20</v>
      </c>
      <c r="B913" s="30"/>
      <c r="C913" s="30"/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 t="str" cm="1">
        <f t="array" ref="N913">Main_Log_Status(Main_Log[[#This Row],[Carrier]],Main_Log[[#This Row],[Net Weight]])</f>
        <v/>
      </c>
      <c r="O913" s="30"/>
      <c r="P91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13" s="30"/>
      <c r="R913" s="30" t="str" cm="1">
        <f t="array" ref="R913">Main_Log_Ref(Main_Log[[#This Row],[Carrier]])</f>
        <v/>
      </c>
    </row>
    <row r="914" spans="1:18" ht="29.85" customHeight="1" x14ac:dyDescent="0.45">
      <c r="A914" s="30">
        <v>21</v>
      </c>
      <c r="B914" s="30"/>
      <c r="C914" s="30"/>
      <c r="D914" s="30"/>
      <c r="E914" s="30"/>
      <c r="F914" s="30"/>
      <c r="G914" s="30"/>
      <c r="H914" s="30"/>
      <c r="I914" s="30"/>
      <c r="J914" s="30"/>
      <c r="K914" s="30"/>
      <c r="L914" s="30"/>
      <c r="M914" s="30"/>
      <c r="N914" s="30" t="str" cm="1">
        <f t="array" ref="N914">Main_Log_Status(Main_Log[[#This Row],[Carrier]],Main_Log[[#This Row],[Net Weight]])</f>
        <v/>
      </c>
      <c r="O914" s="30"/>
      <c r="P91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14" s="30"/>
      <c r="R914" s="30" t="str" cm="1">
        <f t="array" ref="R914">Main_Log_Ref(Main_Log[[#This Row],[Carrier]])</f>
        <v/>
      </c>
    </row>
    <row r="915" spans="1:18" ht="29.85" customHeight="1" x14ac:dyDescent="0.45">
      <c r="A915" s="30">
        <v>22</v>
      </c>
      <c r="B915" s="30"/>
      <c r="C915" s="30"/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 t="str" cm="1">
        <f t="array" ref="N915">Main_Log_Status(Main_Log[[#This Row],[Carrier]],Main_Log[[#This Row],[Net Weight]])</f>
        <v/>
      </c>
      <c r="O915" s="30"/>
      <c r="P91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15" s="30"/>
      <c r="R915" s="30" t="str" cm="1">
        <f t="array" ref="R915">Main_Log_Ref(Main_Log[[#This Row],[Carrier]])</f>
        <v/>
      </c>
    </row>
    <row r="916" spans="1:18" ht="29.85" customHeight="1" x14ac:dyDescent="0.45">
      <c r="A916" s="30">
        <v>23</v>
      </c>
      <c r="B916" s="30"/>
      <c r="C916" s="30"/>
      <c r="D916" s="30"/>
      <c r="E916" s="30"/>
      <c r="F916" s="30"/>
      <c r="G916" s="30"/>
      <c r="H916" s="30"/>
      <c r="I916" s="30"/>
      <c r="J916" s="30"/>
      <c r="K916" s="30"/>
      <c r="L916" s="30"/>
      <c r="M916" s="30"/>
      <c r="N916" s="30" t="str" cm="1">
        <f t="array" ref="N916">Main_Log_Status(Main_Log[[#This Row],[Carrier]],Main_Log[[#This Row],[Net Weight]])</f>
        <v/>
      </c>
      <c r="O916" s="30"/>
      <c r="P91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16" s="30"/>
      <c r="R916" s="30" t="str" cm="1">
        <f t="array" ref="R916">Main_Log_Ref(Main_Log[[#This Row],[Carrier]])</f>
        <v/>
      </c>
    </row>
    <row r="917" spans="1:18" ht="29.85" customHeight="1" x14ac:dyDescent="0.45">
      <c r="A917" s="30">
        <v>24</v>
      </c>
      <c r="B917" s="30"/>
      <c r="C917" s="30"/>
      <c r="D917" s="30"/>
      <c r="E917" s="30"/>
      <c r="F917" s="30"/>
      <c r="G917" s="30"/>
      <c r="H917" s="30"/>
      <c r="I917" s="30"/>
      <c r="J917" s="30"/>
      <c r="K917" s="30"/>
      <c r="L917" s="30"/>
      <c r="M917" s="30"/>
      <c r="N917" s="30" t="str" cm="1">
        <f t="array" ref="N917">Main_Log_Status(Main_Log[[#This Row],[Carrier]],Main_Log[[#This Row],[Net Weight]])</f>
        <v/>
      </c>
      <c r="O917" s="30"/>
      <c r="P91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17" s="30"/>
      <c r="R917" s="30" t="str" cm="1">
        <f t="array" ref="R917">Main_Log_Ref(Main_Log[[#This Row],[Carrier]])</f>
        <v/>
      </c>
    </row>
    <row r="918" spans="1:18" ht="29.85" customHeight="1" x14ac:dyDescent="0.45">
      <c r="A918" s="30">
        <v>25</v>
      </c>
      <c r="B918" s="30"/>
      <c r="C918" s="30"/>
      <c r="D918" s="30"/>
      <c r="E918" s="30"/>
      <c r="F918" s="30"/>
      <c r="G918" s="30"/>
      <c r="H918" s="30"/>
      <c r="I918" s="30"/>
      <c r="J918" s="30"/>
      <c r="K918" s="30"/>
      <c r="L918" s="30"/>
      <c r="M918" s="30"/>
      <c r="N918" s="30" t="str" cm="1">
        <f t="array" ref="N918">Main_Log_Status(Main_Log[[#This Row],[Carrier]],Main_Log[[#This Row],[Net Weight]])</f>
        <v/>
      </c>
      <c r="O918" s="30"/>
      <c r="P91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18" s="30"/>
      <c r="R918" s="30" t="str" cm="1">
        <f t="array" ref="R918">Main_Log_Ref(Main_Log[[#This Row],[Carrier]])</f>
        <v/>
      </c>
    </row>
    <row r="919" spans="1:18" ht="29.85" customHeight="1" x14ac:dyDescent="0.45">
      <c r="A919" s="30">
        <v>26</v>
      </c>
      <c r="B919" s="30"/>
      <c r="C919" s="30"/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 t="str" cm="1">
        <f t="array" ref="N919">Main_Log_Status(Main_Log[[#This Row],[Carrier]],Main_Log[[#This Row],[Net Weight]])</f>
        <v/>
      </c>
      <c r="O919" s="30"/>
      <c r="P91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19" s="30"/>
      <c r="R919" s="30" t="str" cm="1">
        <f t="array" ref="R919">Main_Log_Ref(Main_Log[[#This Row],[Carrier]])</f>
        <v/>
      </c>
    </row>
    <row r="920" spans="1:18" ht="29.85" customHeight="1" x14ac:dyDescent="0.45">
      <c r="A920" s="30">
        <v>27</v>
      </c>
      <c r="B920" s="30"/>
      <c r="C920" s="30"/>
      <c r="D920" s="30"/>
      <c r="E920" s="30"/>
      <c r="F920" s="30"/>
      <c r="G920" s="30"/>
      <c r="H920" s="30"/>
      <c r="I920" s="30"/>
      <c r="J920" s="30"/>
      <c r="K920" s="30"/>
      <c r="L920" s="30"/>
      <c r="M920" s="30"/>
      <c r="N920" s="30" t="str" cm="1">
        <f t="array" ref="N920">Main_Log_Status(Main_Log[[#This Row],[Carrier]],Main_Log[[#This Row],[Net Weight]])</f>
        <v/>
      </c>
      <c r="O920" s="30"/>
      <c r="P92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20" s="30"/>
      <c r="R920" s="30" t="str" cm="1">
        <f t="array" ref="R920">Main_Log_Ref(Main_Log[[#This Row],[Carrier]])</f>
        <v/>
      </c>
    </row>
    <row r="921" spans="1:18" ht="29.85" customHeight="1" x14ac:dyDescent="0.45">
      <c r="A921" s="30">
        <v>28</v>
      </c>
      <c r="B921" s="30"/>
      <c r="C921" s="30"/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 t="str" cm="1">
        <f t="array" ref="N921">Main_Log_Status(Main_Log[[#This Row],[Carrier]],Main_Log[[#This Row],[Net Weight]])</f>
        <v/>
      </c>
      <c r="O921" s="30"/>
      <c r="P92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21" s="30"/>
      <c r="R921" s="30" t="str" cm="1">
        <f t="array" ref="R921">Main_Log_Ref(Main_Log[[#This Row],[Carrier]])</f>
        <v/>
      </c>
    </row>
    <row r="922" spans="1:18" ht="29.85" customHeight="1" x14ac:dyDescent="0.45">
      <c r="A922" s="30">
        <v>29</v>
      </c>
      <c r="B922" s="30"/>
      <c r="C922" s="30"/>
      <c r="D922" s="30"/>
      <c r="E922" s="30"/>
      <c r="F922" s="30"/>
      <c r="G922" s="30"/>
      <c r="H922" s="30"/>
      <c r="I922" s="30"/>
      <c r="J922" s="30"/>
      <c r="K922" s="30"/>
      <c r="L922" s="30"/>
      <c r="M922" s="30"/>
      <c r="N922" s="30" t="str" cm="1">
        <f t="array" ref="N922">Main_Log_Status(Main_Log[[#This Row],[Carrier]],Main_Log[[#This Row],[Net Weight]])</f>
        <v/>
      </c>
      <c r="O922" s="30"/>
      <c r="P92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22" s="30"/>
      <c r="R922" s="30" t="str" cm="1">
        <f t="array" ref="R922">Main_Log_Ref(Main_Log[[#This Row],[Carrier]])</f>
        <v/>
      </c>
    </row>
    <row r="923" spans="1:18" ht="29.85" customHeight="1" x14ac:dyDescent="0.45">
      <c r="A923" s="30">
        <v>30</v>
      </c>
      <c r="B923" s="30"/>
      <c r="C923" s="30"/>
      <c r="D923" s="30"/>
      <c r="E923" s="30"/>
      <c r="F923" s="30"/>
      <c r="G923" s="30"/>
      <c r="H923" s="30"/>
      <c r="I923" s="30"/>
      <c r="J923" s="30"/>
      <c r="K923" s="30"/>
      <c r="L923" s="30"/>
      <c r="M923" s="30"/>
      <c r="N923" s="30" t="str" cm="1">
        <f t="array" ref="N923">Main_Log_Status(Main_Log[[#This Row],[Carrier]],Main_Log[[#This Row],[Net Weight]])</f>
        <v/>
      </c>
      <c r="O923" s="30"/>
      <c r="P92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23" s="30"/>
      <c r="R923" s="30" t="str" cm="1">
        <f t="array" ref="R923">Main_Log_Ref(Main_Log[[#This Row],[Carrier]])</f>
        <v/>
      </c>
    </row>
    <row r="924" spans="1:18" ht="29.85" customHeight="1" x14ac:dyDescent="0.45">
      <c r="A924" s="30">
        <v>31</v>
      </c>
      <c r="B924" s="30"/>
      <c r="C924" s="30"/>
      <c r="D924" s="30"/>
      <c r="E924" s="30"/>
      <c r="F924" s="30"/>
      <c r="G924" s="30"/>
      <c r="H924" s="30"/>
      <c r="I924" s="30"/>
      <c r="J924" s="30"/>
      <c r="K924" s="30"/>
      <c r="L924" s="30"/>
      <c r="M924" s="30"/>
      <c r="N924" s="30" t="str" cm="1">
        <f t="array" ref="N924">Main_Log_Status(Main_Log[[#This Row],[Carrier]],Main_Log[[#This Row],[Net Weight]])</f>
        <v/>
      </c>
      <c r="O924" s="30"/>
      <c r="P92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24" s="30"/>
      <c r="R924" s="30" t="str" cm="1">
        <f t="array" ref="R924">Main_Log_Ref(Main_Log[[#This Row],[Carrier]])</f>
        <v/>
      </c>
    </row>
    <row r="925" spans="1:18" ht="29.85" customHeight="1" x14ac:dyDescent="0.45">
      <c r="A925" s="30">
        <v>32</v>
      </c>
      <c r="B925" s="30"/>
      <c r="C925" s="30"/>
      <c r="D925" s="30"/>
      <c r="E925" s="30"/>
      <c r="F925" s="30"/>
      <c r="G925" s="30"/>
      <c r="H925" s="30"/>
      <c r="I925" s="30"/>
      <c r="J925" s="30"/>
      <c r="K925" s="30"/>
      <c r="L925" s="30"/>
      <c r="M925" s="30"/>
      <c r="N925" s="30" t="str" cm="1">
        <f t="array" ref="N925">Main_Log_Status(Main_Log[[#This Row],[Carrier]],Main_Log[[#This Row],[Net Weight]])</f>
        <v/>
      </c>
      <c r="O925" s="30"/>
      <c r="P92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25" s="30"/>
      <c r="R925" s="30" t="str" cm="1">
        <f t="array" ref="R925">Main_Log_Ref(Main_Log[[#This Row],[Carrier]])</f>
        <v/>
      </c>
    </row>
    <row r="926" spans="1:18" ht="29.85" customHeight="1" x14ac:dyDescent="0.45">
      <c r="A926" s="30">
        <v>33</v>
      </c>
      <c r="B926" s="30"/>
      <c r="C926" s="30"/>
      <c r="D926" s="30"/>
      <c r="E926" s="30"/>
      <c r="F926" s="30"/>
      <c r="G926" s="30"/>
      <c r="H926" s="30"/>
      <c r="I926" s="30"/>
      <c r="J926" s="30"/>
      <c r="K926" s="30"/>
      <c r="L926" s="30"/>
      <c r="M926" s="30"/>
      <c r="N926" s="30" t="str" cm="1">
        <f t="array" ref="N926">Main_Log_Status(Main_Log[[#This Row],[Carrier]],Main_Log[[#This Row],[Net Weight]])</f>
        <v/>
      </c>
      <c r="O926" s="30"/>
      <c r="P92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26" s="30"/>
      <c r="R926" s="30" t="str" cm="1">
        <f t="array" ref="R926">Main_Log_Ref(Main_Log[[#This Row],[Carrier]])</f>
        <v/>
      </c>
    </row>
    <row r="927" spans="1:18" ht="29.85" customHeight="1" x14ac:dyDescent="0.45">
      <c r="A927" s="30">
        <v>34</v>
      </c>
      <c r="B927" s="30"/>
      <c r="C927" s="30"/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 t="str" cm="1">
        <f t="array" ref="N927">Main_Log_Status(Main_Log[[#This Row],[Carrier]],Main_Log[[#This Row],[Net Weight]])</f>
        <v/>
      </c>
      <c r="O927" s="30"/>
      <c r="P92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27" s="30"/>
      <c r="R927" s="30" t="str" cm="1">
        <f t="array" ref="R927">Main_Log_Ref(Main_Log[[#This Row],[Carrier]])</f>
        <v/>
      </c>
    </row>
    <row r="928" spans="1:18" ht="29.85" customHeight="1" x14ac:dyDescent="0.45">
      <c r="A928" s="30">
        <v>35</v>
      </c>
      <c r="B928" s="30"/>
      <c r="C928" s="30"/>
      <c r="D928" s="30"/>
      <c r="E928" s="30"/>
      <c r="F928" s="30"/>
      <c r="G928" s="30"/>
      <c r="H928" s="30"/>
      <c r="I928" s="30"/>
      <c r="J928" s="30"/>
      <c r="K928" s="30"/>
      <c r="L928" s="30"/>
      <c r="M928" s="30"/>
      <c r="N928" s="30" t="str" cm="1">
        <f t="array" ref="N928">Main_Log_Status(Main_Log[[#This Row],[Carrier]],Main_Log[[#This Row],[Net Weight]])</f>
        <v/>
      </c>
      <c r="O928" s="30"/>
      <c r="P92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28" s="30"/>
      <c r="R928" s="30" t="str" cm="1">
        <f t="array" ref="R928">Main_Log_Ref(Main_Log[[#This Row],[Carrier]])</f>
        <v/>
      </c>
    </row>
    <row r="929" spans="1:18" ht="29.85" customHeight="1" x14ac:dyDescent="0.45">
      <c r="A929" s="30">
        <v>36</v>
      </c>
      <c r="B929" s="30"/>
      <c r="C929" s="30"/>
      <c r="D929" s="30"/>
      <c r="E929" s="30"/>
      <c r="F929" s="30"/>
      <c r="G929" s="30"/>
      <c r="H929" s="30"/>
      <c r="I929" s="30"/>
      <c r="J929" s="30"/>
      <c r="K929" s="30"/>
      <c r="L929" s="30"/>
      <c r="M929" s="30"/>
      <c r="N929" s="30" t="str" cm="1">
        <f t="array" ref="N929">Main_Log_Status(Main_Log[[#This Row],[Carrier]],Main_Log[[#This Row],[Net Weight]])</f>
        <v/>
      </c>
      <c r="O929" s="30"/>
      <c r="P92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29" s="30"/>
      <c r="R929" s="30" t="str" cm="1">
        <f t="array" ref="R929">Main_Log_Ref(Main_Log[[#This Row],[Carrier]])</f>
        <v/>
      </c>
    </row>
    <row r="930" spans="1:18" ht="29.85" customHeight="1" x14ac:dyDescent="0.45">
      <c r="A930" s="30">
        <v>37</v>
      </c>
      <c r="B930" s="30"/>
      <c r="C930" s="30"/>
      <c r="D930" s="30"/>
      <c r="E930" s="30"/>
      <c r="F930" s="30"/>
      <c r="G930" s="30"/>
      <c r="H930" s="30"/>
      <c r="I930" s="30"/>
      <c r="J930" s="30"/>
      <c r="K930" s="30"/>
      <c r="L930" s="30"/>
      <c r="M930" s="30"/>
      <c r="N930" s="30" t="str" cm="1">
        <f t="array" ref="N930">Main_Log_Status(Main_Log[[#This Row],[Carrier]],Main_Log[[#This Row],[Net Weight]])</f>
        <v/>
      </c>
      <c r="O930" s="30"/>
      <c r="P93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30" s="30"/>
      <c r="R930" s="30" t="str" cm="1">
        <f t="array" ref="R930">Main_Log_Ref(Main_Log[[#This Row],[Carrier]])</f>
        <v/>
      </c>
    </row>
    <row r="931" spans="1:18" ht="29.85" customHeight="1" x14ac:dyDescent="0.45">
      <c r="A931" s="30">
        <v>38</v>
      </c>
      <c r="B931" s="30"/>
      <c r="C931" s="30"/>
      <c r="D931" s="30"/>
      <c r="E931" s="30"/>
      <c r="F931" s="30"/>
      <c r="G931" s="30"/>
      <c r="H931" s="30"/>
      <c r="I931" s="30"/>
      <c r="J931" s="30"/>
      <c r="K931" s="30"/>
      <c r="L931" s="30"/>
      <c r="M931" s="30"/>
      <c r="N931" s="30" t="str" cm="1">
        <f t="array" ref="N931">Main_Log_Status(Main_Log[[#This Row],[Carrier]],Main_Log[[#This Row],[Net Weight]])</f>
        <v/>
      </c>
      <c r="O931" s="30"/>
      <c r="P93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31" s="30"/>
      <c r="R931" s="30" t="str" cm="1">
        <f t="array" ref="R931">Main_Log_Ref(Main_Log[[#This Row],[Carrier]])</f>
        <v/>
      </c>
    </row>
    <row r="932" spans="1:18" ht="29.85" customHeight="1" x14ac:dyDescent="0.45">
      <c r="A932" s="30">
        <v>39</v>
      </c>
      <c r="B932" s="30"/>
      <c r="C932" s="30"/>
      <c r="D932" s="30"/>
      <c r="E932" s="30"/>
      <c r="F932" s="30"/>
      <c r="G932" s="30"/>
      <c r="H932" s="30"/>
      <c r="I932" s="30"/>
      <c r="J932" s="30"/>
      <c r="K932" s="30"/>
      <c r="L932" s="30"/>
      <c r="M932" s="30"/>
      <c r="N932" s="30" t="str" cm="1">
        <f t="array" ref="N932">Main_Log_Status(Main_Log[[#This Row],[Carrier]],Main_Log[[#This Row],[Net Weight]])</f>
        <v/>
      </c>
      <c r="O932" s="30"/>
      <c r="P93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32" s="30"/>
      <c r="R932" s="30" t="str" cm="1">
        <f t="array" ref="R932">Main_Log_Ref(Main_Log[[#This Row],[Carrier]])</f>
        <v/>
      </c>
    </row>
    <row r="933" spans="1:18" ht="29.85" customHeight="1" x14ac:dyDescent="0.45">
      <c r="A933" s="30">
        <v>40</v>
      </c>
      <c r="B933" s="30"/>
      <c r="C933" s="30"/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 t="str" cm="1">
        <f t="array" ref="N933">Main_Log_Status(Main_Log[[#This Row],[Carrier]],Main_Log[[#This Row],[Net Weight]])</f>
        <v/>
      </c>
      <c r="O933" s="30"/>
      <c r="P93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33" s="30"/>
      <c r="R933" s="30" t="str" cm="1">
        <f t="array" ref="R933">Main_Log_Ref(Main_Log[[#This Row],[Carrier]])</f>
        <v/>
      </c>
    </row>
    <row r="934" spans="1:18" ht="29.85" customHeight="1" x14ac:dyDescent="0.45">
      <c r="A934" s="30">
        <v>41</v>
      </c>
      <c r="B934" s="30"/>
      <c r="C934" s="30"/>
      <c r="D934" s="30"/>
      <c r="E934" s="30"/>
      <c r="F934" s="30"/>
      <c r="G934" s="30"/>
      <c r="H934" s="30"/>
      <c r="I934" s="30"/>
      <c r="J934" s="30"/>
      <c r="K934" s="30"/>
      <c r="L934" s="30"/>
      <c r="M934" s="30"/>
      <c r="N934" s="30" t="str" cm="1">
        <f t="array" ref="N934">Main_Log_Status(Main_Log[[#This Row],[Carrier]],Main_Log[[#This Row],[Net Weight]])</f>
        <v/>
      </c>
      <c r="O934" s="30"/>
      <c r="P93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34" s="30"/>
      <c r="R934" s="30" t="str" cm="1">
        <f t="array" ref="R934">Main_Log_Ref(Main_Log[[#This Row],[Carrier]])</f>
        <v/>
      </c>
    </row>
    <row r="935" spans="1:18" ht="29.85" customHeight="1" x14ac:dyDescent="0.45">
      <c r="A935" s="30">
        <v>42</v>
      </c>
      <c r="B935" s="30"/>
      <c r="C935" s="30"/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 t="str" cm="1">
        <f t="array" ref="N935">Main_Log_Status(Main_Log[[#This Row],[Carrier]],Main_Log[[#This Row],[Net Weight]])</f>
        <v/>
      </c>
      <c r="O935" s="30"/>
      <c r="P93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35" s="30"/>
      <c r="R935" s="30" t="str" cm="1">
        <f t="array" ref="R935">Main_Log_Ref(Main_Log[[#This Row],[Carrier]])</f>
        <v/>
      </c>
    </row>
    <row r="936" spans="1:18" ht="29.85" customHeight="1" x14ac:dyDescent="0.45">
      <c r="A936" s="30">
        <v>43</v>
      </c>
      <c r="B936" s="30"/>
      <c r="C936" s="30"/>
      <c r="D936" s="30"/>
      <c r="E936" s="30"/>
      <c r="F936" s="30"/>
      <c r="G936" s="30"/>
      <c r="H936" s="30"/>
      <c r="I936" s="30"/>
      <c r="J936" s="30"/>
      <c r="K936" s="30"/>
      <c r="L936" s="30"/>
      <c r="M936" s="30"/>
      <c r="N936" s="30" t="str" cm="1">
        <f t="array" ref="N936">Main_Log_Status(Main_Log[[#This Row],[Carrier]],Main_Log[[#This Row],[Net Weight]])</f>
        <v/>
      </c>
      <c r="O936" s="30"/>
      <c r="P93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36" s="30"/>
      <c r="R936" s="30" t="str" cm="1">
        <f t="array" ref="R936">Main_Log_Ref(Main_Log[[#This Row],[Carrier]])</f>
        <v/>
      </c>
    </row>
    <row r="937" spans="1:18" ht="29.85" customHeight="1" x14ac:dyDescent="0.45">
      <c r="A937" s="30">
        <v>44</v>
      </c>
      <c r="B937" s="30"/>
      <c r="C937" s="30"/>
      <c r="D937" s="30"/>
      <c r="E937" s="30"/>
      <c r="F937" s="30"/>
      <c r="G937" s="30"/>
      <c r="H937" s="30"/>
      <c r="I937" s="30"/>
      <c r="J937" s="30"/>
      <c r="K937" s="30"/>
      <c r="L937" s="30"/>
      <c r="M937" s="30"/>
      <c r="N937" s="30" t="str" cm="1">
        <f t="array" ref="N937">Main_Log_Status(Main_Log[[#This Row],[Carrier]],Main_Log[[#This Row],[Net Weight]])</f>
        <v/>
      </c>
      <c r="O937" s="30"/>
      <c r="P93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37" s="30"/>
      <c r="R937" s="30" t="str" cm="1">
        <f t="array" ref="R937">Main_Log_Ref(Main_Log[[#This Row],[Carrier]])</f>
        <v/>
      </c>
    </row>
    <row r="938" spans="1:18" ht="29.85" customHeight="1" x14ac:dyDescent="0.45">
      <c r="A938" s="30">
        <v>45</v>
      </c>
      <c r="B938" s="30"/>
      <c r="C938" s="30"/>
      <c r="D938" s="30"/>
      <c r="E938" s="30"/>
      <c r="F938" s="30"/>
      <c r="G938" s="30"/>
      <c r="H938" s="30"/>
      <c r="I938" s="30"/>
      <c r="J938" s="30"/>
      <c r="K938" s="30"/>
      <c r="L938" s="30"/>
      <c r="M938" s="30"/>
      <c r="N938" s="30" t="str" cm="1">
        <f t="array" ref="N938">Main_Log_Status(Main_Log[[#This Row],[Carrier]],Main_Log[[#This Row],[Net Weight]])</f>
        <v/>
      </c>
      <c r="O938" s="30"/>
      <c r="P93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38" s="30"/>
      <c r="R938" s="30" t="str" cm="1">
        <f t="array" ref="R938">Main_Log_Ref(Main_Log[[#This Row],[Carrier]])</f>
        <v/>
      </c>
    </row>
    <row r="939" spans="1:18" ht="29.85" customHeight="1" x14ac:dyDescent="0.45">
      <c r="A939" s="30">
        <v>46</v>
      </c>
      <c r="B939" s="30"/>
      <c r="C939" s="30"/>
      <c r="D939" s="30"/>
      <c r="E939" s="30"/>
      <c r="F939" s="30"/>
      <c r="G939" s="30"/>
      <c r="H939" s="30"/>
      <c r="I939" s="30"/>
      <c r="J939" s="30"/>
      <c r="K939" s="30"/>
      <c r="L939" s="30"/>
      <c r="M939" s="30"/>
      <c r="N939" s="30" t="str" cm="1">
        <f t="array" ref="N939">Main_Log_Status(Main_Log[[#This Row],[Carrier]],Main_Log[[#This Row],[Net Weight]])</f>
        <v/>
      </c>
      <c r="O939" s="30"/>
      <c r="P93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39" s="30"/>
      <c r="R939" s="30" t="str" cm="1">
        <f t="array" ref="R939">Main_Log_Ref(Main_Log[[#This Row],[Carrier]])</f>
        <v/>
      </c>
    </row>
    <row r="940" spans="1:18" ht="29.85" customHeight="1" x14ac:dyDescent="0.45">
      <c r="A940" s="30">
        <v>47</v>
      </c>
      <c r="B940" s="30"/>
      <c r="C940" s="30"/>
      <c r="D940" s="30"/>
      <c r="E940" s="30"/>
      <c r="F940" s="30"/>
      <c r="G940" s="30"/>
      <c r="H940" s="30"/>
      <c r="I940" s="30"/>
      <c r="J940" s="30"/>
      <c r="K940" s="30"/>
      <c r="L940" s="30"/>
      <c r="M940" s="30"/>
      <c r="N940" s="30" t="str" cm="1">
        <f t="array" ref="N940">Main_Log_Status(Main_Log[[#This Row],[Carrier]],Main_Log[[#This Row],[Net Weight]])</f>
        <v/>
      </c>
      <c r="O940" s="30"/>
      <c r="P94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40" s="30"/>
      <c r="R940" s="30" t="str" cm="1">
        <f t="array" ref="R940">Main_Log_Ref(Main_Log[[#This Row],[Carrier]])</f>
        <v/>
      </c>
    </row>
    <row r="941" spans="1:18" ht="29.85" customHeight="1" x14ac:dyDescent="0.45">
      <c r="A941" s="30">
        <v>48</v>
      </c>
      <c r="B941" s="30"/>
      <c r="C941" s="30"/>
      <c r="D941" s="30"/>
      <c r="E941" s="30"/>
      <c r="F941" s="30"/>
      <c r="G941" s="30"/>
      <c r="H941" s="30"/>
      <c r="I941" s="30"/>
      <c r="J941" s="30"/>
      <c r="K941" s="30"/>
      <c r="L941" s="30"/>
      <c r="M941" s="30"/>
      <c r="N941" s="30" t="str" cm="1">
        <f t="array" ref="N941">Main_Log_Status(Main_Log[[#This Row],[Carrier]],Main_Log[[#This Row],[Net Weight]])</f>
        <v/>
      </c>
      <c r="O941" s="30"/>
      <c r="P94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41" s="30"/>
      <c r="R941" s="30" t="str" cm="1">
        <f t="array" ref="R941">Main_Log_Ref(Main_Log[[#This Row],[Carrier]])</f>
        <v/>
      </c>
    </row>
    <row r="942" spans="1:18" ht="29.85" customHeight="1" x14ac:dyDescent="0.45">
      <c r="A942" s="30">
        <v>49</v>
      </c>
      <c r="B942" s="30"/>
      <c r="C942" s="30"/>
      <c r="D942" s="30"/>
      <c r="E942" s="30"/>
      <c r="F942" s="30"/>
      <c r="G942" s="30"/>
      <c r="H942" s="30"/>
      <c r="I942" s="30"/>
      <c r="J942" s="30"/>
      <c r="K942" s="30"/>
      <c r="L942" s="30"/>
      <c r="M942" s="30"/>
      <c r="N942" s="30" t="str" cm="1">
        <f t="array" ref="N942">Main_Log_Status(Main_Log[[#This Row],[Carrier]],Main_Log[[#This Row],[Net Weight]])</f>
        <v/>
      </c>
      <c r="O942" s="30"/>
      <c r="P94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42" s="30"/>
      <c r="R942" s="30" t="str" cm="1">
        <f t="array" ref="R942">Main_Log_Ref(Main_Log[[#This Row],[Carrier]])</f>
        <v/>
      </c>
    </row>
    <row r="943" spans="1:18" ht="29.85" customHeight="1" x14ac:dyDescent="0.45">
      <c r="A943" s="30">
        <v>50</v>
      </c>
      <c r="B943" s="30"/>
      <c r="C943" s="30"/>
      <c r="D943" s="30"/>
      <c r="E943" s="30"/>
      <c r="F943" s="30"/>
      <c r="G943" s="30"/>
      <c r="H943" s="30"/>
      <c r="I943" s="30"/>
      <c r="J943" s="30"/>
      <c r="K943" s="30"/>
      <c r="L943" s="30"/>
      <c r="M943" s="30"/>
      <c r="N943" s="30" t="str" cm="1">
        <f t="array" ref="N943">Main_Log_Status(Main_Log[[#This Row],[Carrier]],Main_Log[[#This Row],[Net Weight]])</f>
        <v/>
      </c>
      <c r="O943" s="30"/>
      <c r="P94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43" s="30"/>
      <c r="R943" s="30" t="str" cm="1">
        <f t="array" ref="R943">Main_Log_Ref(Main_Log[[#This Row],[Carrier]])</f>
        <v/>
      </c>
    </row>
    <row r="944" spans="1:18" ht="29.85" customHeight="1" x14ac:dyDescent="0.45">
      <c r="A944" s="30">
        <v>51</v>
      </c>
      <c r="B944" s="30"/>
      <c r="C944" s="30"/>
      <c r="D944" s="30"/>
      <c r="E944" s="30"/>
      <c r="F944" s="30"/>
      <c r="G944" s="30"/>
      <c r="H944" s="30"/>
      <c r="I944" s="30"/>
      <c r="J944" s="30"/>
      <c r="K944" s="30"/>
      <c r="L944" s="30"/>
      <c r="M944" s="30"/>
      <c r="N944" s="30" t="str" cm="1">
        <f t="array" ref="N944">Main_Log_Status(Main_Log[[#This Row],[Carrier]],Main_Log[[#This Row],[Net Weight]])</f>
        <v/>
      </c>
      <c r="O944" s="30"/>
      <c r="P94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44" s="30"/>
      <c r="R944" s="30" t="str" cm="1">
        <f t="array" ref="R944">Main_Log_Ref(Main_Log[[#This Row],[Carrier]])</f>
        <v/>
      </c>
    </row>
    <row r="945" spans="1:18" ht="29.85" customHeight="1" x14ac:dyDescent="0.45">
      <c r="A945" s="30">
        <v>52</v>
      </c>
      <c r="B945" s="30"/>
      <c r="C945" s="30"/>
      <c r="D945" s="30"/>
      <c r="E945" s="30"/>
      <c r="F945" s="30"/>
      <c r="G945" s="30"/>
      <c r="H945" s="30"/>
      <c r="I945" s="30"/>
      <c r="J945" s="30"/>
      <c r="K945" s="30"/>
      <c r="L945" s="30"/>
      <c r="M945" s="30"/>
      <c r="N945" s="30" t="str" cm="1">
        <f t="array" ref="N945">Main_Log_Status(Main_Log[[#This Row],[Carrier]],Main_Log[[#This Row],[Net Weight]])</f>
        <v/>
      </c>
      <c r="O945" s="30"/>
      <c r="P94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45" s="30"/>
      <c r="R945" s="30" t="str" cm="1">
        <f t="array" ref="R945">Main_Log_Ref(Main_Log[[#This Row],[Carrier]])</f>
        <v/>
      </c>
    </row>
    <row r="946" spans="1:18" ht="29.85" customHeight="1" x14ac:dyDescent="0.45">
      <c r="A946" s="30">
        <v>53</v>
      </c>
      <c r="B946" s="30"/>
      <c r="C946" s="30"/>
      <c r="D946" s="30"/>
      <c r="E946" s="30"/>
      <c r="F946" s="30"/>
      <c r="G946" s="30"/>
      <c r="H946" s="30"/>
      <c r="I946" s="30"/>
      <c r="J946" s="30"/>
      <c r="K946" s="30"/>
      <c r="L946" s="30"/>
      <c r="M946" s="30"/>
      <c r="N946" s="30" t="str" cm="1">
        <f t="array" ref="N946">Main_Log_Status(Main_Log[[#This Row],[Carrier]],Main_Log[[#This Row],[Net Weight]])</f>
        <v/>
      </c>
      <c r="O946" s="30"/>
      <c r="P94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46" s="30"/>
      <c r="R946" s="30" t="str" cm="1">
        <f t="array" ref="R946">Main_Log_Ref(Main_Log[[#This Row],[Carrier]])</f>
        <v/>
      </c>
    </row>
    <row r="947" spans="1:18" ht="29.85" customHeight="1" x14ac:dyDescent="0.45">
      <c r="A947" s="30">
        <v>54</v>
      </c>
      <c r="B947" s="30"/>
      <c r="C947" s="30"/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 t="str" cm="1">
        <f t="array" ref="N947">Main_Log_Status(Main_Log[[#This Row],[Carrier]],Main_Log[[#This Row],[Net Weight]])</f>
        <v/>
      </c>
      <c r="O947" s="30"/>
      <c r="P94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47" s="30"/>
      <c r="R947" s="30" t="str" cm="1">
        <f t="array" ref="R947">Main_Log_Ref(Main_Log[[#This Row],[Carrier]])</f>
        <v/>
      </c>
    </row>
    <row r="948" spans="1:18" ht="29.85" customHeight="1" x14ac:dyDescent="0.45">
      <c r="A948" s="30">
        <v>55</v>
      </c>
      <c r="B948" s="30"/>
      <c r="C948" s="30"/>
      <c r="D948" s="30"/>
      <c r="E948" s="30"/>
      <c r="F948" s="30"/>
      <c r="G948" s="30"/>
      <c r="H948" s="30"/>
      <c r="I948" s="30"/>
      <c r="J948" s="30"/>
      <c r="K948" s="30"/>
      <c r="L948" s="30"/>
      <c r="M948" s="30"/>
      <c r="N948" s="30" t="str" cm="1">
        <f t="array" ref="N948">Main_Log_Status(Main_Log[[#This Row],[Carrier]],Main_Log[[#This Row],[Net Weight]])</f>
        <v/>
      </c>
      <c r="O948" s="30"/>
      <c r="P94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48" s="30"/>
      <c r="R948" s="30" t="str" cm="1">
        <f t="array" ref="R948">Main_Log_Ref(Main_Log[[#This Row],[Carrier]])</f>
        <v/>
      </c>
    </row>
    <row r="949" spans="1:18" ht="29.85" customHeight="1" x14ac:dyDescent="0.45">
      <c r="A949" s="30">
        <v>56</v>
      </c>
      <c r="B949" s="30"/>
      <c r="C949" s="30"/>
      <c r="D949" s="30"/>
      <c r="E949" s="30"/>
      <c r="F949" s="30"/>
      <c r="G949" s="30"/>
      <c r="H949" s="30"/>
      <c r="I949" s="30"/>
      <c r="J949" s="30"/>
      <c r="K949" s="30"/>
      <c r="L949" s="30"/>
      <c r="M949" s="30"/>
      <c r="N949" s="30" t="str" cm="1">
        <f t="array" ref="N949">Main_Log_Status(Main_Log[[#This Row],[Carrier]],Main_Log[[#This Row],[Net Weight]])</f>
        <v/>
      </c>
      <c r="O949" s="30"/>
      <c r="P94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49" s="30"/>
      <c r="R949" s="30" t="str" cm="1">
        <f t="array" ref="R949">Main_Log_Ref(Main_Log[[#This Row],[Carrier]])</f>
        <v/>
      </c>
    </row>
    <row r="950" spans="1:18" ht="29.85" customHeight="1" x14ac:dyDescent="0.45">
      <c r="A950" s="30">
        <v>57</v>
      </c>
      <c r="B950" s="30"/>
      <c r="C950" s="30"/>
      <c r="D950" s="30"/>
      <c r="E950" s="30"/>
      <c r="F950" s="30"/>
      <c r="G950" s="30"/>
      <c r="H950" s="30"/>
      <c r="I950" s="30"/>
      <c r="J950" s="30"/>
      <c r="K950" s="30"/>
      <c r="L950" s="30"/>
      <c r="M950" s="30"/>
      <c r="N950" s="30" t="str" cm="1">
        <f t="array" ref="N950">Main_Log_Status(Main_Log[[#This Row],[Carrier]],Main_Log[[#This Row],[Net Weight]])</f>
        <v/>
      </c>
      <c r="O950" s="30"/>
      <c r="P95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50" s="30"/>
      <c r="R950" s="30" t="str" cm="1">
        <f t="array" ref="R950">Main_Log_Ref(Main_Log[[#This Row],[Carrier]])</f>
        <v/>
      </c>
    </row>
    <row r="951" spans="1:18" ht="29.85" customHeight="1" x14ac:dyDescent="0.45">
      <c r="A951" s="30">
        <v>58</v>
      </c>
      <c r="B951" s="30"/>
      <c r="C951" s="30"/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 t="str" cm="1">
        <f t="array" ref="N951">Main_Log_Status(Main_Log[[#This Row],[Carrier]],Main_Log[[#This Row],[Net Weight]])</f>
        <v/>
      </c>
      <c r="O951" s="30"/>
      <c r="P95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51" s="30"/>
      <c r="R951" s="30" t="str" cm="1">
        <f t="array" ref="R951">Main_Log_Ref(Main_Log[[#This Row],[Carrier]])</f>
        <v/>
      </c>
    </row>
    <row r="952" spans="1:18" ht="29.85" customHeight="1" x14ac:dyDescent="0.45">
      <c r="A952" s="30">
        <v>59</v>
      </c>
      <c r="B952" s="30"/>
      <c r="C952" s="30"/>
      <c r="D952" s="30"/>
      <c r="E952" s="30"/>
      <c r="F952" s="30"/>
      <c r="G952" s="30"/>
      <c r="H952" s="30"/>
      <c r="I952" s="30"/>
      <c r="J952" s="30"/>
      <c r="K952" s="30"/>
      <c r="L952" s="30"/>
      <c r="M952" s="30"/>
      <c r="N952" s="30" t="str" cm="1">
        <f t="array" ref="N952">Main_Log_Status(Main_Log[[#This Row],[Carrier]],Main_Log[[#This Row],[Net Weight]])</f>
        <v/>
      </c>
      <c r="O952" s="30"/>
      <c r="P95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52" s="30"/>
      <c r="R952" s="30" t="str" cm="1">
        <f t="array" ref="R952">Main_Log_Ref(Main_Log[[#This Row],[Carrier]])</f>
        <v/>
      </c>
    </row>
    <row r="953" spans="1:18" ht="29.85" customHeight="1" x14ac:dyDescent="0.45">
      <c r="A953" s="30">
        <v>60</v>
      </c>
      <c r="B953" s="30"/>
      <c r="C953" s="30"/>
      <c r="D953" s="30"/>
      <c r="E953" s="30"/>
      <c r="F953" s="30"/>
      <c r="G953" s="30"/>
      <c r="H953" s="30"/>
      <c r="I953" s="30"/>
      <c r="J953" s="30"/>
      <c r="K953" s="30"/>
      <c r="L953" s="30"/>
      <c r="M953" s="30"/>
      <c r="N953" s="30" t="str" cm="1">
        <f t="array" ref="N953">Main_Log_Status(Main_Log[[#This Row],[Carrier]],Main_Log[[#This Row],[Net Weight]])</f>
        <v/>
      </c>
      <c r="O953" s="30"/>
      <c r="P95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53" s="30"/>
      <c r="R953" s="30" t="str" cm="1">
        <f t="array" ref="R953">Main_Log_Ref(Main_Log[[#This Row],[Carrier]])</f>
        <v/>
      </c>
    </row>
    <row r="954" spans="1:18" ht="29.85" customHeight="1" x14ac:dyDescent="0.45">
      <c r="A954" s="30">
        <v>61</v>
      </c>
      <c r="B954" s="30"/>
      <c r="C954" s="30"/>
      <c r="D954" s="30"/>
      <c r="E954" s="30"/>
      <c r="F954" s="30"/>
      <c r="G954" s="30"/>
      <c r="H954" s="30"/>
      <c r="I954" s="30"/>
      <c r="J954" s="30"/>
      <c r="K954" s="30"/>
      <c r="L954" s="30"/>
      <c r="M954" s="30"/>
      <c r="N954" s="30" t="str" cm="1">
        <f t="array" ref="N954">Main_Log_Status(Main_Log[[#This Row],[Carrier]],Main_Log[[#This Row],[Net Weight]])</f>
        <v/>
      </c>
      <c r="O954" s="30"/>
      <c r="P95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54" s="30"/>
      <c r="R954" s="30" t="str" cm="1">
        <f t="array" ref="R954">Main_Log_Ref(Main_Log[[#This Row],[Carrier]])</f>
        <v/>
      </c>
    </row>
    <row r="955" spans="1:18" ht="29.85" customHeight="1" x14ac:dyDescent="0.45">
      <c r="A955" s="30">
        <v>62</v>
      </c>
      <c r="B955" s="30"/>
      <c r="C955" s="30"/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 t="str" cm="1">
        <f t="array" ref="N955">Main_Log_Status(Main_Log[[#This Row],[Carrier]],Main_Log[[#This Row],[Net Weight]])</f>
        <v/>
      </c>
      <c r="O955" s="30"/>
      <c r="P95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55" s="30"/>
      <c r="R955" s="30" t="str" cm="1">
        <f t="array" ref="R955">Main_Log_Ref(Main_Log[[#This Row],[Carrier]])</f>
        <v/>
      </c>
    </row>
    <row r="956" spans="1:18" ht="29.85" customHeight="1" x14ac:dyDescent="0.45">
      <c r="A956" s="30">
        <v>63</v>
      </c>
      <c r="B956" s="30"/>
      <c r="C956" s="30"/>
      <c r="D956" s="30"/>
      <c r="E956" s="30"/>
      <c r="F956" s="30"/>
      <c r="G956" s="30"/>
      <c r="H956" s="30"/>
      <c r="I956" s="30"/>
      <c r="J956" s="30"/>
      <c r="K956" s="30"/>
      <c r="L956" s="30"/>
      <c r="M956" s="30"/>
      <c r="N956" s="30" t="str" cm="1">
        <f t="array" ref="N956">Main_Log_Status(Main_Log[[#This Row],[Carrier]],Main_Log[[#This Row],[Net Weight]])</f>
        <v/>
      </c>
      <c r="O956" s="30"/>
      <c r="P95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56" s="30"/>
      <c r="R956" s="30" t="str" cm="1">
        <f t="array" ref="R956">Main_Log_Ref(Main_Log[[#This Row],[Carrier]])</f>
        <v/>
      </c>
    </row>
    <row r="957" spans="1:18" ht="29.85" customHeight="1" x14ac:dyDescent="0.45">
      <c r="A957" s="30">
        <v>64</v>
      </c>
      <c r="B957" s="30"/>
      <c r="C957" s="30"/>
      <c r="D957" s="30"/>
      <c r="E957" s="30"/>
      <c r="F957" s="30"/>
      <c r="G957" s="30"/>
      <c r="H957" s="30"/>
      <c r="I957" s="30"/>
      <c r="J957" s="30"/>
      <c r="K957" s="30"/>
      <c r="L957" s="30"/>
      <c r="M957" s="30"/>
      <c r="N957" s="30" t="str" cm="1">
        <f t="array" ref="N957">Main_Log_Status(Main_Log[[#This Row],[Carrier]],Main_Log[[#This Row],[Net Weight]])</f>
        <v/>
      </c>
      <c r="O957" s="30"/>
      <c r="P95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57" s="30"/>
      <c r="R957" s="30" t="str" cm="1">
        <f t="array" ref="R957">Main_Log_Ref(Main_Log[[#This Row],[Carrier]])</f>
        <v/>
      </c>
    </row>
    <row r="958" spans="1:18" ht="29.85" customHeight="1" x14ac:dyDescent="0.45">
      <c r="A958" s="30">
        <v>65</v>
      </c>
      <c r="B958" s="30"/>
      <c r="C958" s="30"/>
      <c r="D958" s="30"/>
      <c r="E958" s="30"/>
      <c r="F958" s="30"/>
      <c r="G958" s="30"/>
      <c r="H958" s="30"/>
      <c r="I958" s="30"/>
      <c r="J958" s="30"/>
      <c r="K958" s="30"/>
      <c r="L958" s="30"/>
      <c r="M958" s="30"/>
      <c r="N958" s="30" t="str" cm="1">
        <f t="array" ref="N958">Main_Log_Status(Main_Log[[#This Row],[Carrier]],Main_Log[[#This Row],[Net Weight]])</f>
        <v/>
      </c>
      <c r="O958" s="30"/>
      <c r="P95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58" s="30"/>
      <c r="R958" s="30" t="str" cm="1">
        <f t="array" ref="R958">Main_Log_Ref(Main_Log[[#This Row],[Carrier]])</f>
        <v/>
      </c>
    </row>
    <row r="959" spans="1:18" ht="29.85" customHeight="1" x14ac:dyDescent="0.45">
      <c r="A959" s="30">
        <v>66</v>
      </c>
      <c r="B959" s="30"/>
      <c r="C959" s="30"/>
      <c r="D959" s="30"/>
      <c r="E959" s="30"/>
      <c r="F959" s="30"/>
      <c r="G959" s="30"/>
      <c r="H959" s="30"/>
      <c r="I959" s="30"/>
      <c r="J959" s="30"/>
      <c r="K959" s="30"/>
      <c r="L959" s="30"/>
      <c r="M959" s="30"/>
      <c r="N959" s="30" t="str" cm="1">
        <f t="array" ref="N959">Main_Log_Status(Main_Log[[#This Row],[Carrier]],Main_Log[[#This Row],[Net Weight]])</f>
        <v/>
      </c>
      <c r="O959" s="30"/>
      <c r="P95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59" s="30"/>
      <c r="R959" s="30" t="str" cm="1">
        <f t="array" ref="R959">Main_Log_Ref(Main_Log[[#This Row],[Carrier]])</f>
        <v/>
      </c>
    </row>
    <row r="960" spans="1:18" ht="29.85" customHeight="1" x14ac:dyDescent="0.45">
      <c r="A960" s="30">
        <v>67</v>
      </c>
      <c r="B960" s="30"/>
      <c r="C960" s="30"/>
      <c r="D960" s="30"/>
      <c r="E960" s="30"/>
      <c r="F960" s="30"/>
      <c r="G960" s="30"/>
      <c r="H960" s="30"/>
      <c r="I960" s="30"/>
      <c r="J960" s="30"/>
      <c r="K960" s="30"/>
      <c r="L960" s="30"/>
      <c r="M960" s="30"/>
      <c r="N960" s="30" t="str" cm="1">
        <f t="array" ref="N960">Main_Log_Status(Main_Log[[#This Row],[Carrier]],Main_Log[[#This Row],[Net Weight]])</f>
        <v/>
      </c>
      <c r="O960" s="30"/>
      <c r="P96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60" s="30"/>
      <c r="R960" s="30" t="str" cm="1">
        <f t="array" ref="R960">Main_Log_Ref(Main_Log[[#This Row],[Carrier]])</f>
        <v/>
      </c>
    </row>
    <row r="961" spans="1:18" ht="29.85" customHeight="1" x14ac:dyDescent="0.45">
      <c r="A961" s="30">
        <v>68</v>
      </c>
      <c r="B961" s="30"/>
      <c r="C961" s="30"/>
      <c r="D961" s="30"/>
      <c r="E961" s="30"/>
      <c r="F961" s="30"/>
      <c r="G961" s="30"/>
      <c r="H961" s="30"/>
      <c r="I961" s="30"/>
      <c r="J961" s="30"/>
      <c r="K961" s="30"/>
      <c r="L961" s="30"/>
      <c r="M961" s="30"/>
      <c r="N961" s="30" t="str" cm="1">
        <f t="array" ref="N961">Main_Log_Status(Main_Log[[#This Row],[Carrier]],Main_Log[[#This Row],[Net Weight]])</f>
        <v/>
      </c>
      <c r="O961" s="30"/>
      <c r="P96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61" s="30"/>
      <c r="R961" s="30" t="str" cm="1">
        <f t="array" ref="R961">Main_Log_Ref(Main_Log[[#This Row],[Carrier]])</f>
        <v/>
      </c>
    </row>
    <row r="962" spans="1:18" ht="29.85" customHeight="1" x14ac:dyDescent="0.45">
      <c r="A962" s="30">
        <v>69</v>
      </c>
      <c r="B962" s="30"/>
      <c r="C962" s="30"/>
      <c r="D962" s="30"/>
      <c r="E962" s="30"/>
      <c r="F962" s="30"/>
      <c r="G962" s="30"/>
      <c r="H962" s="30"/>
      <c r="I962" s="30"/>
      <c r="J962" s="30"/>
      <c r="K962" s="30"/>
      <c r="L962" s="30"/>
      <c r="M962" s="30"/>
      <c r="N962" s="30" t="str" cm="1">
        <f t="array" ref="N962">Main_Log_Status(Main_Log[[#This Row],[Carrier]],Main_Log[[#This Row],[Net Weight]])</f>
        <v/>
      </c>
      <c r="O962" s="30"/>
      <c r="P96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62" s="30"/>
      <c r="R962" s="30" t="str" cm="1">
        <f t="array" ref="R962">Main_Log_Ref(Main_Log[[#This Row],[Carrier]])</f>
        <v/>
      </c>
    </row>
    <row r="963" spans="1:18" ht="29.85" customHeight="1" x14ac:dyDescent="0.45">
      <c r="A963" s="30">
        <v>70</v>
      </c>
      <c r="B963" s="30"/>
      <c r="C963" s="30"/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 t="str" cm="1">
        <f t="array" ref="N963">Main_Log_Status(Main_Log[[#This Row],[Carrier]],Main_Log[[#This Row],[Net Weight]])</f>
        <v/>
      </c>
      <c r="O963" s="30"/>
      <c r="P96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63" s="30"/>
      <c r="R963" s="30" t="str" cm="1">
        <f t="array" ref="R963">Main_Log_Ref(Main_Log[[#This Row],[Carrier]])</f>
        <v/>
      </c>
    </row>
    <row r="964" spans="1:18" ht="29.85" customHeight="1" x14ac:dyDescent="0.45">
      <c r="A964" s="30">
        <v>71</v>
      </c>
      <c r="B964" s="30"/>
      <c r="C964" s="30"/>
      <c r="D964" s="30"/>
      <c r="E964" s="30"/>
      <c r="F964" s="30"/>
      <c r="G964" s="30"/>
      <c r="H964" s="30"/>
      <c r="I964" s="30"/>
      <c r="J964" s="30"/>
      <c r="K964" s="30"/>
      <c r="L964" s="30"/>
      <c r="M964" s="30"/>
      <c r="N964" s="30" t="str" cm="1">
        <f t="array" ref="N964">Main_Log_Status(Main_Log[[#This Row],[Carrier]],Main_Log[[#This Row],[Net Weight]])</f>
        <v/>
      </c>
      <c r="O964" s="30"/>
      <c r="P96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64" s="30"/>
      <c r="R964" s="30" t="str" cm="1">
        <f t="array" ref="R964">Main_Log_Ref(Main_Log[[#This Row],[Carrier]])</f>
        <v/>
      </c>
    </row>
    <row r="965" spans="1:18" ht="29.85" customHeight="1" x14ac:dyDescent="0.45">
      <c r="A965" s="30">
        <v>72</v>
      </c>
      <c r="B965" s="30"/>
      <c r="C965" s="30"/>
      <c r="D965" s="30"/>
      <c r="E965" s="30"/>
      <c r="F965" s="30"/>
      <c r="G965" s="30"/>
      <c r="H965" s="30"/>
      <c r="I965" s="30"/>
      <c r="J965" s="30"/>
      <c r="K965" s="30"/>
      <c r="L965" s="30"/>
      <c r="M965" s="30"/>
      <c r="N965" s="30" t="str" cm="1">
        <f t="array" ref="N965">Main_Log_Status(Main_Log[[#This Row],[Carrier]],Main_Log[[#This Row],[Net Weight]])</f>
        <v/>
      </c>
      <c r="O965" s="30"/>
      <c r="P96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65" s="30"/>
      <c r="R965" s="30" t="str" cm="1">
        <f t="array" ref="R965">Main_Log_Ref(Main_Log[[#This Row],[Carrier]])</f>
        <v/>
      </c>
    </row>
    <row r="966" spans="1:18" ht="29.85" customHeight="1" x14ac:dyDescent="0.45">
      <c r="A966" s="30">
        <v>73</v>
      </c>
      <c r="B966" s="30"/>
      <c r="C966" s="30"/>
      <c r="D966" s="30"/>
      <c r="E966" s="30"/>
      <c r="F966" s="30"/>
      <c r="G966" s="30"/>
      <c r="H966" s="30"/>
      <c r="I966" s="30"/>
      <c r="J966" s="30"/>
      <c r="K966" s="30"/>
      <c r="L966" s="30"/>
      <c r="M966" s="30"/>
      <c r="N966" s="30" t="str" cm="1">
        <f t="array" ref="N966">Main_Log_Status(Main_Log[[#This Row],[Carrier]],Main_Log[[#This Row],[Net Weight]])</f>
        <v/>
      </c>
      <c r="O966" s="30"/>
      <c r="P96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66" s="30"/>
      <c r="R966" s="30" t="str" cm="1">
        <f t="array" ref="R966">Main_Log_Ref(Main_Log[[#This Row],[Carrier]])</f>
        <v/>
      </c>
    </row>
    <row r="967" spans="1:18" ht="29.85" customHeight="1" x14ac:dyDescent="0.45">
      <c r="A967" s="30">
        <v>74</v>
      </c>
      <c r="B967" s="30"/>
      <c r="C967" s="30"/>
      <c r="D967" s="30"/>
      <c r="E967" s="30"/>
      <c r="F967" s="30"/>
      <c r="G967" s="30"/>
      <c r="H967" s="30"/>
      <c r="I967" s="30"/>
      <c r="J967" s="30"/>
      <c r="K967" s="30"/>
      <c r="L967" s="30"/>
      <c r="M967" s="30"/>
      <c r="N967" s="30" t="str" cm="1">
        <f t="array" ref="N967">Main_Log_Status(Main_Log[[#This Row],[Carrier]],Main_Log[[#This Row],[Net Weight]])</f>
        <v/>
      </c>
      <c r="O967" s="30"/>
      <c r="P96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67" s="30"/>
      <c r="R967" s="30" t="str" cm="1">
        <f t="array" ref="R967">Main_Log_Ref(Main_Log[[#This Row],[Carrier]])</f>
        <v/>
      </c>
    </row>
    <row r="968" spans="1:18" ht="29.85" customHeight="1" x14ac:dyDescent="0.45">
      <c r="A968" s="30">
        <v>75</v>
      </c>
      <c r="B968" s="30"/>
      <c r="C968" s="30"/>
      <c r="D968" s="30"/>
      <c r="E968" s="30"/>
      <c r="F968" s="30"/>
      <c r="G968" s="30"/>
      <c r="H968" s="30"/>
      <c r="I968" s="30"/>
      <c r="J968" s="30"/>
      <c r="K968" s="30"/>
      <c r="L968" s="30"/>
      <c r="M968" s="30"/>
      <c r="N968" s="30" t="str" cm="1">
        <f t="array" ref="N968">Main_Log_Status(Main_Log[[#This Row],[Carrier]],Main_Log[[#This Row],[Net Weight]])</f>
        <v/>
      </c>
      <c r="O968" s="30"/>
      <c r="P96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68" s="30"/>
      <c r="R968" s="30" t="str" cm="1">
        <f t="array" ref="R968">Main_Log_Ref(Main_Log[[#This Row],[Carrier]])</f>
        <v/>
      </c>
    </row>
    <row r="969" spans="1:18" ht="29.85" customHeight="1" x14ac:dyDescent="0.45">
      <c r="A969" s="30">
        <v>76</v>
      </c>
      <c r="B969" s="30"/>
      <c r="C969" s="30"/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 t="str" cm="1">
        <f t="array" ref="N969">Main_Log_Status(Main_Log[[#This Row],[Carrier]],Main_Log[[#This Row],[Net Weight]])</f>
        <v/>
      </c>
      <c r="O969" s="30"/>
      <c r="P96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69" s="30"/>
      <c r="R969" s="30" t="str" cm="1">
        <f t="array" ref="R969">Main_Log_Ref(Main_Log[[#This Row],[Carrier]])</f>
        <v/>
      </c>
    </row>
    <row r="970" spans="1:18" ht="29.85" customHeight="1" x14ac:dyDescent="0.45">
      <c r="A970" s="30">
        <v>77</v>
      </c>
      <c r="B970" s="30"/>
      <c r="C970" s="30"/>
      <c r="D970" s="30"/>
      <c r="E970" s="30"/>
      <c r="F970" s="30"/>
      <c r="G970" s="30"/>
      <c r="H970" s="30"/>
      <c r="I970" s="30"/>
      <c r="J970" s="30"/>
      <c r="K970" s="30"/>
      <c r="L970" s="30"/>
      <c r="M970" s="30"/>
      <c r="N970" s="30" t="str" cm="1">
        <f t="array" ref="N970">Main_Log_Status(Main_Log[[#This Row],[Carrier]],Main_Log[[#This Row],[Net Weight]])</f>
        <v/>
      </c>
      <c r="O970" s="30"/>
      <c r="P97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70" s="30"/>
      <c r="R970" s="30" t="str" cm="1">
        <f t="array" ref="R970">Main_Log_Ref(Main_Log[[#This Row],[Carrier]])</f>
        <v/>
      </c>
    </row>
    <row r="971" spans="1:18" ht="29.85" customHeight="1" x14ac:dyDescent="0.45">
      <c r="A971" s="30">
        <v>78</v>
      </c>
      <c r="B971" s="30"/>
      <c r="C971" s="30"/>
      <c r="D971" s="30"/>
      <c r="E971" s="30"/>
      <c r="F971" s="30"/>
      <c r="G971" s="30"/>
      <c r="H971" s="30"/>
      <c r="I971" s="30"/>
      <c r="J971" s="30"/>
      <c r="K971" s="30"/>
      <c r="L971" s="30"/>
      <c r="M971" s="30"/>
      <c r="N971" s="30" t="str" cm="1">
        <f t="array" ref="N971">Main_Log_Status(Main_Log[[#This Row],[Carrier]],Main_Log[[#This Row],[Net Weight]])</f>
        <v/>
      </c>
      <c r="O971" s="30"/>
      <c r="P97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71" s="30"/>
      <c r="R971" s="30" t="str" cm="1">
        <f t="array" ref="R971">Main_Log_Ref(Main_Log[[#This Row],[Carrier]])</f>
        <v/>
      </c>
    </row>
    <row r="972" spans="1:18" ht="29.85" customHeight="1" x14ac:dyDescent="0.45">
      <c r="A972" s="30">
        <v>79</v>
      </c>
      <c r="B972" s="30"/>
      <c r="C972" s="30"/>
      <c r="D972" s="30"/>
      <c r="E972" s="30"/>
      <c r="F972" s="30"/>
      <c r="G972" s="30"/>
      <c r="H972" s="30"/>
      <c r="I972" s="30"/>
      <c r="J972" s="30"/>
      <c r="K972" s="30"/>
      <c r="L972" s="30"/>
      <c r="M972" s="30"/>
      <c r="N972" s="30" t="str" cm="1">
        <f t="array" ref="N972">Main_Log_Status(Main_Log[[#This Row],[Carrier]],Main_Log[[#This Row],[Net Weight]])</f>
        <v/>
      </c>
      <c r="O972" s="30"/>
      <c r="P97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72" s="30"/>
      <c r="R972" s="30" t="str" cm="1">
        <f t="array" ref="R972">Main_Log_Ref(Main_Log[[#This Row],[Carrier]])</f>
        <v/>
      </c>
    </row>
    <row r="973" spans="1:18" ht="29.85" customHeight="1" x14ac:dyDescent="0.45">
      <c r="A973" s="30">
        <v>80</v>
      </c>
      <c r="B973" s="30"/>
      <c r="C973" s="30"/>
      <c r="D973" s="30"/>
      <c r="E973" s="30"/>
      <c r="F973" s="30"/>
      <c r="G973" s="30"/>
      <c r="H973" s="30"/>
      <c r="I973" s="30"/>
      <c r="J973" s="30"/>
      <c r="K973" s="30"/>
      <c r="L973" s="30"/>
      <c r="M973" s="30"/>
      <c r="N973" s="30" t="str" cm="1">
        <f t="array" ref="N973">Main_Log_Status(Main_Log[[#This Row],[Carrier]],Main_Log[[#This Row],[Net Weight]])</f>
        <v/>
      </c>
      <c r="O973" s="30"/>
      <c r="P97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73" s="30"/>
      <c r="R973" s="30" t="str" cm="1">
        <f t="array" ref="R973">Main_Log_Ref(Main_Log[[#This Row],[Carrier]])</f>
        <v/>
      </c>
    </row>
    <row r="974" spans="1:18" ht="29.85" customHeight="1" x14ac:dyDescent="0.45">
      <c r="A974" s="30">
        <v>81</v>
      </c>
      <c r="B974" s="30"/>
      <c r="C974" s="30"/>
      <c r="D974" s="30"/>
      <c r="E974" s="30"/>
      <c r="F974" s="30"/>
      <c r="G974" s="30"/>
      <c r="H974" s="30"/>
      <c r="I974" s="30"/>
      <c r="J974" s="30"/>
      <c r="K974" s="30"/>
      <c r="L974" s="30"/>
      <c r="M974" s="30"/>
      <c r="N974" s="30" t="str" cm="1">
        <f t="array" ref="N974">Main_Log_Status(Main_Log[[#This Row],[Carrier]],Main_Log[[#This Row],[Net Weight]])</f>
        <v/>
      </c>
      <c r="O974" s="30"/>
      <c r="P97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74" s="30"/>
      <c r="R974" s="30" t="str" cm="1">
        <f t="array" ref="R974">Main_Log_Ref(Main_Log[[#This Row],[Carrier]])</f>
        <v/>
      </c>
    </row>
    <row r="975" spans="1:18" ht="29.85" customHeight="1" x14ac:dyDescent="0.45">
      <c r="A975" s="30">
        <v>82</v>
      </c>
      <c r="B975" s="30"/>
      <c r="C975" s="30"/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 t="str" cm="1">
        <f t="array" ref="N975">Main_Log_Status(Main_Log[[#This Row],[Carrier]],Main_Log[[#This Row],[Net Weight]])</f>
        <v/>
      </c>
      <c r="O975" s="30"/>
      <c r="P97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75" s="30"/>
      <c r="R975" s="30" t="str" cm="1">
        <f t="array" ref="R975">Main_Log_Ref(Main_Log[[#This Row],[Carrier]])</f>
        <v/>
      </c>
    </row>
    <row r="976" spans="1:18" ht="29.85" customHeight="1" x14ac:dyDescent="0.45">
      <c r="A976" s="30">
        <v>83</v>
      </c>
      <c r="B976" s="30"/>
      <c r="C976" s="30"/>
      <c r="D976" s="30"/>
      <c r="E976" s="30"/>
      <c r="F976" s="30"/>
      <c r="G976" s="30"/>
      <c r="H976" s="30"/>
      <c r="I976" s="30"/>
      <c r="J976" s="30"/>
      <c r="K976" s="30"/>
      <c r="L976" s="30"/>
      <c r="M976" s="30"/>
      <c r="N976" s="30" t="str" cm="1">
        <f t="array" ref="N976">Main_Log_Status(Main_Log[[#This Row],[Carrier]],Main_Log[[#This Row],[Net Weight]])</f>
        <v/>
      </c>
      <c r="O976" s="30"/>
      <c r="P97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76" s="30"/>
      <c r="R976" s="30" t="str" cm="1">
        <f t="array" ref="R976">Main_Log_Ref(Main_Log[[#This Row],[Carrier]])</f>
        <v/>
      </c>
    </row>
    <row r="977" spans="1:18" ht="29.85" customHeight="1" x14ac:dyDescent="0.45">
      <c r="A977" s="30">
        <v>84</v>
      </c>
      <c r="B977" s="30"/>
      <c r="C977" s="30"/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 t="str" cm="1">
        <f t="array" ref="N977">Main_Log_Status(Main_Log[[#This Row],[Carrier]],Main_Log[[#This Row],[Net Weight]])</f>
        <v/>
      </c>
      <c r="O977" s="30"/>
      <c r="P97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77" s="30"/>
      <c r="R977" s="30" t="str" cm="1">
        <f t="array" ref="R977">Main_Log_Ref(Main_Log[[#This Row],[Carrier]])</f>
        <v/>
      </c>
    </row>
    <row r="978" spans="1:18" ht="29.85" customHeight="1" x14ac:dyDescent="0.45">
      <c r="A978" s="30">
        <v>85</v>
      </c>
      <c r="B978" s="30"/>
      <c r="C978" s="30"/>
      <c r="D978" s="30"/>
      <c r="E978" s="30"/>
      <c r="F978" s="30"/>
      <c r="G978" s="30"/>
      <c r="H978" s="30"/>
      <c r="I978" s="30"/>
      <c r="J978" s="30"/>
      <c r="K978" s="30"/>
      <c r="L978" s="30"/>
      <c r="M978" s="30"/>
      <c r="N978" s="30" t="str" cm="1">
        <f t="array" ref="N978">Main_Log_Status(Main_Log[[#This Row],[Carrier]],Main_Log[[#This Row],[Net Weight]])</f>
        <v/>
      </c>
      <c r="O978" s="30"/>
      <c r="P97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78" s="30"/>
      <c r="R978" s="30" t="str" cm="1">
        <f t="array" ref="R978">Main_Log_Ref(Main_Log[[#This Row],[Carrier]])</f>
        <v/>
      </c>
    </row>
    <row r="979" spans="1:18" ht="29.85" customHeight="1" x14ac:dyDescent="0.45">
      <c r="A979" s="30">
        <v>86</v>
      </c>
      <c r="B979" s="30"/>
      <c r="C979" s="30"/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 t="str" cm="1">
        <f t="array" ref="N979">Main_Log_Status(Main_Log[[#This Row],[Carrier]],Main_Log[[#This Row],[Net Weight]])</f>
        <v/>
      </c>
      <c r="O979" s="30"/>
      <c r="P97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79" s="30"/>
      <c r="R979" s="30" t="str" cm="1">
        <f t="array" ref="R979">Main_Log_Ref(Main_Log[[#This Row],[Carrier]])</f>
        <v/>
      </c>
    </row>
    <row r="980" spans="1:18" ht="29.85" customHeight="1" x14ac:dyDescent="0.45">
      <c r="A980" s="30">
        <v>87</v>
      </c>
      <c r="B980" s="30"/>
      <c r="C980" s="30"/>
      <c r="D980" s="30"/>
      <c r="E980" s="30"/>
      <c r="F980" s="30"/>
      <c r="G980" s="30"/>
      <c r="H980" s="30"/>
      <c r="I980" s="30"/>
      <c r="J980" s="30"/>
      <c r="K980" s="30"/>
      <c r="L980" s="30"/>
      <c r="M980" s="30"/>
      <c r="N980" s="30" t="str" cm="1">
        <f t="array" ref="N980">Main_Log_Status(Main_Log[[#This Row],[Carrier]],Main_Log[[#This Row],[Net Weight]])</f>
        <v/>
      </c>
      <c r="O980" s="30"/>
      <c r="P98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80" s="30"/>
      <c r="R980" s="30" t="str" cm="1">
        <f t="array" ref="R980">Main_Log_Ref(Main_Log[[#This Row],[Carrier]])</f>
        <v/>
      </c>
    </row>
    <row r="981" spans="1:18" ht="29.85" customHeight="1" x14ac:dyDescent="0.45">
      <c r="A981" s="30">
        <v>88</v>
      </c>
      <c r="B981" s="30"/>
      <c r="C981" s="30"/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 t="str" cm="1">
        <f t="array" ref="N981">Main_Log_Status(Main_Log[[#This Row],[Carrier]],Main_Log[[#This Row],[Net Weight]])</f>
        <v/>
      </c>
      <c r="O981" s="30"/>
      <c r="P98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81" s="30"/>
      <c r="R981" s="30" t="str" cm="1">
        <f t="array" ref="R981">Main_Log_Ref(Main_Log[[#This Row],[Carrier]])</f>
        <v/>
      </c>
    </row>
    <row r="982" spans="1:18" ht="29.85" customHeight="1" x14ac:dyDescent="0.45">
      <c r="A982" s="30">
        <v>89</v>
      </c>
      <c r="B982" s="30"/>
      <c r="C982" s="30"/>
      <c r="D982" s="30"/>
      <c r="E982" s="30"/>
      <c r="F982" s="30"/>
      <c r="G982" s="30"/>
      <c r="H982" s="30"/>
      <c r="I982" s="30"/>
      <c r="J982" s="30"/>
      <c r="K982" s="30"/>
      <c r="L982" s="30"/>
      <c r="M982" s="30"/>
      <c r="N982" s="30" t="str" cm="1">
        <f t="array" ref="N982">Main_Log_Status(Main_Log[[#This Row],[Carrier]],Main_Log[[#This Row],[Net Weight]])</f>
        <v/>
      </c>
      <c r="O982" s="30"/>
      <c r="P98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82" s="30"/>
      <c r="R982" s="30" t="str" cm="1">
        <f t="array" ref="R982">Main_Log_Ref(Main_Log[[#This Row],[Carrier]])</f>
        <v/>
      </c>
    </row>
    <row r="983" spans="1:18" ht="29.85" customHeight="1" x14ac:dyDescent="0.45">
      <c r="A983" s="30">
        <v>90</v>
      </c>
      <c r="B983" s="30"/>
      <c r="C983" s="30"/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 t="str" cm="1">
        <f t="array" ref="N983">Main_Log_Status(Main_Log[[#This Row],[Carrier]],Main_Log[[#This Row],[Net Weight]])</f>
        <v/>
      </c>
      <c r="O983" s="30"/>
      <c r="P98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83" s="30"/>
      <c r="R983" s="30" t="str" cm="1">
        <f t="array" ref="R983">Main_Log_Ref(Main_Log[[#This Row],[Carrier]])</f>
        <v/>
      </c>
    </row>
    <row r="984" spans="1:18" ht="29.85" customHeight="1" x14ac:dyDescent="0.45">
      <c r="A984" s="30">
        <v>91</v>
      </c>
      <c r="B984" s="30"/>
      <c r="C984" s="30"/>
      <c r="D984" s="30"/>
      <c r="E984" s="30"/>
      <c r="F984" s="30"/>
      <c r="G984" s="30"/>
      <c r="H984" s="30"/>
      <c r="I984" s="30"/>
      <c r="J984" s="30"/>
      <c r="K984" s="30"/>
      <c r="L984" s="30"/>
      <c r="M984" s="30"/>
      <c r="N984" s="30" t="str" cm="1">
        <f t="array" ref="N984">Main_Log_Status(Main_Log[[#This Row],[Carrier]],Main_Log[[#This Row],[Net Weight]])</f>
        <v/>
      </c>
      <c r="O984" s="30"/>
      <c r="P98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84" s="30"/>
      <c r="R984" s="30" t="str" cm="1">
        <f t="array" ref="R984">Main_Log_Ref(Main_Log[[#This Row],[Carrier]])</f>
        <v/>
      </c>
    </row>
    <row r="985" spans="1:18" ht="29.85" customHeight="1" x14ac:dyDescent="0.45">
      <c r="A985" s="30">
        <v>92</v>
      </c>
      <c r="B985" s="30"/>
      <c r="C985" s="30"/>
      <c r="D985" s="30"/>
      <c r="E985" s="30"/>
      <c r="F985" s="30"/>
      <c r="G985" s="30"/>
      <c r="H985" s="30"/>
      <c r="I985" s="30"/>
      <c r="J985" s="30"/>
      <c r="K985" s="30"/>
      <c r="L985" s="30"/>
      <c r="M985" s="30"/>
      <c r="N985" s="30" t="str" cm="1">
        <f t="array" ref="N985">Main_Log_Status(Main_Log[[#This Row],[Carrier]],Main_Log[[#This Row],[Net Weight]])</f>
        <v/>
      </c>
      <c r="O985" s="30"/>
      <c r="P98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85" s="30"/>
      <c r="R985" s="30" t="str" cm="1">
        <f t="array" ref="R985">Main_Log_Ref(Main_Log[[#This Row],[Carrier]])</f>
        <v/>
      </c>
    </row>
    <row r="986" spans="1:18" ht="29.85" customHeight="1" x14ac:dyDescent="0.45">
      <c r="A986" s="30">
        <v>93</v>
      </c>
      <c r="B986" s="30"/>
      <c r="C986" s="30"/>
      <c r="D986" s="30"/>
      <c r="E986" s="30"/>
      <c r="F986" s="30"/>
      <c r="G986" s="30"/>
      <c r="H986" s="30"/>
      <c r="I986" s="30"/>
      <c r="J986" s="30"/>
      <c r="K986" s="30"/>
      <c r="L986" s="30"/>
      <c r="M986" s="30"/>
      <c r="N986" s="30" t="str" cm="1">
        <f t="array" ref="N986">Main_Log_Status(Main_Log[[#This Row],[Carrier]],Main_Log[[#This Row],[Net Weight]])</f>
        <v/>
      </c>
      <c r="O986" s="30"/>
      <c r="P98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86" s="30"/>
      <c r="R986" s="30" t="str" cm="1">
        <f t="array" ref="R986">Main_Log_Ref(Main_Log[[#This Row],[Carrier]])</f>
        <v/>
      </c>
    </row>
    <row r="987" spans="1:18" ht="29.85" customHeight="1" x14ac:dyDescent="0.45">
      <c r="A987" s="30">
        <v>94</v>
      </c>
      <c r="B987" s="30"/>
      <c r="C987" s="30"/>
      <c r="D987" s="30"/>
      <c r="E987" s="30"/>
      <c r="F987" s="30"/>
      <c r="G987" s="30"/>
      <c r="H987" s="30"/>
      <c r="I987" s="30"/>
      <c r="J987" s="30"/>
      <c r="K987" s="30"/>
      <c r="L987" s="30"/>
      <c r="M987" s="30"/>
      <c r="N987" s="30" t="str" cm="1">
        <f t="array" ref="N987">Main_Log_Status(Main_Log[[#This Row],[Carrier]],Main_Log[[#This Row],[Net Weight]])</f>
        <v/>
      </c>
      <c r="O987" s="30"/>
      <c r="P98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87" s="30"/>
      <c r="R987" s="30" t="str" cm="1">
        <f t="array" ref="R987">Main_Log_Ref(Main_Log[[#This Row],[Carrier]])</f>
        <v/>
      </c>
    </row>
    <row r="988" spans="1:18" ht="29.85" customHeight="1" x14ac:dyDescent="0.45">
      <c r="A988" s="30">
        <v>95</v>
      </c>
      <c r="B988" s="30"/>
      <c r="C988" s="30"/>
      <c r="D988" s="30"/>
      <c r="E988" s="30"/>
      <c r="F988" s="30"/>
      <c r="G988" s="30"/>
      <c r="H988" s="30"/>
      <c r="I988" s="30"/>
      <c r="J988" s="30"/>
      <c r="K988" s="30"/>
      <c r="L988" s="30"/>
      <c r="M988" s="30"/>
      <c r="N988" s="30" t="str" cm="1">
        <f t="array" ref="N988">Main_Log_Status(Main_Log[[#This Row],[Carrier]],Main_Log[[#This Row],[Net Weight]])</f>
        <v/>
      </c>
      <c r="O988" s="30"/>
      <c r="P98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88" s="30"/>
      <c r="R988" s="30" t="str" cm="1">
        <f t="array" ref="R988">Main_Log_Ref(Main_Log[[#This Row],[Carrier]])</f>
        <v/>
      </c>
    </row>
    <row r="989" spans="1:18" ht="29.85" customHeight="1" x14ac:dyDescent="0.45">
      <c r="A989" s="30">
        <v>96</v>
      </c>
      <c r="B989" s="30"/>
      <c r="C989" s="30"/>
      <c r="D989" s="30"/>
      <c r="E989" s="30"/>
      <c r="F989" s="30"/>
      <c r="G989" s="30"/>
      <c r="H989" s="30"/>
      <c r="I989" s="30"/>
      <c r="J989" s="30"/>
      <c r="K989" s="30"/>
      <c r="L989" s="30"/>
      <c r="M989" s="30"/>
      <c r="N989" s="30" t="str" cm="1">
        <f t="array" ref="N989">Main_Log_Status(Main_Log[[#This Row],[Carrier]],Main_Log[[#This Row],[Net Weight]])</f>
        <v/>
      </c>
      <c r="O989" s="30"/>
      <c r="P98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89" s="30"/>
      <c r="R989" s="30" t="str" cm="1">
        <f t="array" ref="R989">Main_Log_Ref(Main_Log[[#This Row],[Carrier]])</f>
        <v/>
      </c>
    </row>
    <row r="990" spans="1:18" ht="29.85" customHeight="1" x14ac:dyDescent="0.45">
      <c r="A990" s="30">
        <v>97</v>
      </c>
      <c r="B990" s="30"/>
      <c r="C990" s="30"/>
      <c r="D990" s="30"/>
      <c r="E990" s="30"/>
      <c r="F990" s="30"/>
      <c r="G990" s="30"/>
      <c r="H990" s="30"/>
      <c r="I990" s="30"/>
      <c r="J990" s="30"/>
      <c r="K990" s="30"/>
      <c r="L990" s="30"/>
      <c r="M990" s="30"/>
      <c r="N990" s="30" t="str" cm="1">
        <f t="array" ref="N990">Main_Log_Status(Main_Log[[#This Row],[Carrier]],Main_Log[[#This Row],[Net Weight]])</f>
        <v/>
      </c>
      <c r="O990" s="30"/>
      <c r="P99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90" s="30"/>
      <c r="R990" s="30" t="str" cm="1">
        <f t="array" ref="R990">Main_Log_Ref(Main_Log[[#This Row],[Carrier]])</f>
        <v/>
      </c>
    </row>
    <row r="991" spans="1:18" ht="29.85" customHeight="1" x14ac:dyDescent="0.45">
      <c r="A991" s="30">
        <v>98</v>
      </c>
      <c r="B991" s="30"/>
      <c r="C991" s="30"/>
      <c r="D991" s="30"/>
      <c r="E991" s="30"/>
      <c r="F991" s="30"/>
      <c r="G991" s="30"/>
      <c r="H991" s="30"/>
      <c r="I991" s="30"/>
      <c r="J991" s="30"/>
      <c r="K991" s="30"/>
      <c r="L991" s="30"/>
      <c r="M991" s="30"/>
      <c r="N991" s="30" t="str" cm="1">
        <f t="array" ref="N991">Main_Log_Status(Main_Log[[#This Row],[Carrier]],Main_Log[[#This Row],[Net Weight]])</f>
        <v/>
      </c>
      <c r="O991" s="30"/>
      <c r="P99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91" s="30"/>
      <c r="R991" s="30" t="str" cm="1">
        <f t="array" ref="R991">Main_Log_Ref(Main_Log[[#This Row],[Carrier]])</f>
        <v/>
      </c>
    </row>
    <row r="992" spans="1:18" ht="29.85" customHeight="1" x14ac:dyDescent="0.45">
      <c r="A992" s="30">
        <v>99</v>
      </c>
      <c r="B992" s="30"/>
      <c r="C992" s="30"/>
      <c r="D992" s="30"/>
      <c r="E992" s="30"/>
      <c r="F992" s="30"/>
      <c r="G992" s="30"/>
      <c r="H992" s="30"/>
      <c r="I992" s="30"/>
      <c r="J992" s="30"/>
      <c r="K992" s="30"/>
      <c r="L992" s="30"/>
      <c r="M992" s="30"/>
      <c r="N992" s="30" t="str" cm="1">
        <f t="array" ref="N992">Main_Log_Status(Main_Log[[#This Row],[Carrier]],Main_Log[[#This Row],[Net Weight]])</f>
        <v/>
      </c>
      <c r="O992" s="30"/>
      <c r="P99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92" s="30"/>
      <c r="R992" s="30" t="str" cm="1">
        <f t="array" ref="R992">Main_Log_Ref(Main_Log[[#This Row],[Carrier]])</f>
        <v/>
      </c>
    </row>
    <row r="993" spans="1:18" ht="29.85" customHeight="1" x14ac:dyDescent="0.45">
      <c r="A993" s="30">
        <v>1</v>
      </c>
      <c r="B993" s="30"/>
      <c r="C993" s="30"/>
      <c r="D993" s="30"/>
      <c r="E993" s="30"/>
      <c r="F993" s="30"/>
      <c r="G993" s="30"/>
      <c r="H993" s="30"/>
      <c r="I993" s="30"/>
      <c r="J993" s="30"/>
      <c r="K993" s="30"/>
      <c r="L993" s="30"/>
      <c r="M993" s="30"/>
      <c r="N993" s="30" t="str" cm="1">
        <f t="array" ref="N993">Main_Log_Status(Main_Log[[#This Row],[Carrier]],Main_Log[[#This Row],[Net Weight]])</f>
        <v/>
      </c>
      <c r="O993" s="30"/>
      <c r="P99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93" s="30"/>
      <c r="R993" s="30" t="str" cm="1">
        <f t="array" ref="R993">Main_Log_Ref(Main_Log[[#This Row],[Carrier]])</f>
        <v/>
      </c>
    </row>
    <row r="994" spans="1:18" ht="29.85" customHeight="1" x14ac:dyDescent="0.45">
      <c r="A994" s="30">
        <v>2</v>
      </c>
      <c r="B994" s="30"/>
      <c r="C994" s="30"/>
      <c r="D994" s="30"/>
      <c r="E994" s="30"/>
      <c r="F994" s="30"/>
      <c r="G994" s="30"/>
      <c r="H994" s="30"/>
      <c r="I994" s="30"/>
      <c r="J994" s="30"/>
      <c r="K994" s="30"/>
      <c r="L994" s="30"/>
      <c r="M994" s="30"/>
      <c r="N994" s="30" t="str" cm="1">
        <f t="array" ref="N994">Main_Log_Status(Main_Log[[#This Row],[Carrier]],Main_Log[[#This Row],[Net Weight]])</f>
        <v/>
      </c>
      <c r="O994" s="30"/>
      <c r="P99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94" s="30"/>
      <c r="R994" s="30" t="str" cm="1">
        <f t="array" ref="R994">Main_Log_Ref(Main_Log[[#This Row],[Carrier]])</f>
        <v/>
      </c>
    </row>
    <row r="995" spans="1:18" ht="29.85" customHeight="1" x14ac:dyDescent="0.45">
      <c r="A995" s="30">
        <v>3</v>
      </c>
      <c r="B995" s="30"/>
      <c r="C995" s="30"/>
      <c r="D995" s="30"/>
      <c r="E995" s="30"/>
      <c r="F995" s="30"/>
      <c r="G995" s="30"/>
      <c r="H995" s="30"/>
      <c r="I995" s="30"/>
      <c r="J995" s="30"/>
      <c r="K995" s="30"/>
      <c r="L995" s="30"/>
      <c r="M995" s="30"/>
      <c r="N995" s="30" t="str" cm="1">
        <f t="array" ref="N995">Main_Log_Status(Main_Log[[#This Row],[Carrier]],Main_Log[[#This Row],[Net Weight]])</f>
        <v/>
      </c>
      <c r="O995" s="30"/>
      <c r="P99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95" s="30"/>
      <c r="R995" s="30" t="str" cm="1">
        <f t="array" ref="R995">Main_Log_Ref(Main_Log[[#This Row],[Carrier]])</f>
        <v/>
      </c>
    </row>
    <row r="996" spans="1:18" ht="29.85" customHeight="1" x14ac:dyDescent="0.45">
      <c r="A996" s="30">
        <v>4</v>
      </c>
      <c r="B996" s="30"/>
      <c r="C996" s="30"/>
      <c r="D996" s="30"/>
      <c r="E996" s="30"/>
      <c r="F996" s="30"/>
      <c r="G996" s="30"/>
      <c r="H996" s="30"/>
      <c r="I996" s="30"/>
      <c r="J996" s="30"/>
      <c r="K996" s="30"/>
      <c r="L996" s="30"/>
      <c r="M996" s="30"/>
      <c r="N996" s="30" t="str" cm="1">
        <f t="array" ref="N996">Main_Log_Status(Main_Log[[#This Row],[Carrier]],Main_Log[[#This Row],[Net Weight]])</f>
        <v/>
      </c>
      <c r="O996" s="30"/>
      <c r="P99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96" s="30"/>
      <c r="R996" s="30" t="str" cm="1">
        <f t="array" ref="R996">Main_Log_Ref(Main_Log[[#This Row],[Carrier]])</f>
        <v/>
      </c>
    </row>
    <row r="997" spans="1:18" ht="29.85" customHeight="1" x14ac:dyDescent="0.45">
      <c r="A997" s="30">
        <v>5</v>
      </c>
      <c r="B997" s="30"/>
      <c r="C997" s="30"/>
      <c r="D997" s="30"/>
      <c r="E997" s="30"/>
      <c r="F997" s="30"/>
      <c r="G997" s="30"/>
      <c r="H997" s="30"/>
      <c r="I997" s="30"/>
      <c r="J997" s="30"/>
      <c r="K997" s="30"/>
      <c r="L997" s="30"/>
      <c r="M997" s="30"/>
      <c r="N997" s="30" t="str" cm="1">
        <f t="array" ref="N997">Main_Log_Status(Main_Log[[#This Row],[Carrier]],Main_Log[[#This Row],[Net Weight]])</f>
        <v/>
      </c>
      <c r="O997" s="30"/>
      <c r="P99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97" s="30"/>
      <c r="R997" s="30" t="str" cm="1">
        <f t="array" ref="R997">Main_Log_Ref(Main_Log[[#This Row],[Carrier]])</f>
        <v/>
      </c>
    </row>
    <row r="998" spans="1:18" ht="29.85" customHeight="1" x14ac:dyDescent="0.45">
      <c r="A998" s="30">
        <v>6</v>
      </c>
      <c r="B998" s="30"/>
      <c r="C998" s="30"/>
      <c r="D998" s="30"/>
      <c r="E998" s="30"/>
      <c r="F998" s="30"/>
      <c r="G998" s="30"/>
      <c r="H998" s="30"/>
      <c r="I998" s="30"/>
      <c r="J998" s="30"/>
      <c r="K998" s="30"/>
      <c r="L998" s="30"/>
      <c r="M998" s="30"/>
      <c r="N998" s="30" t="str" cm="1">
        <f t="array" ref="N998">Main_Log_Status(Main_Log[[#This Row],[Carrier]],Main_Log[[#This Row],[Net Weight]])</f>
        <v/>
      </c>
      <c r="O998" s="30"/>
      <c r="P99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98" s="30"/>
      <c r="R998" s="30" t="str" cm="1">
        <f t="array" ref="R998">Main_Log_Ref(Main_Log[[#This Row],[Carrier]])</f>
        <v/>
      </c>
    </row>
    <row r="999" spans="1:18" ht="29.85" customHeight="1" x14ac:dyDescent="0.45">
      <c r="A999" s="30">
        <v>7</v>
      </c>
      <c r="B999" s="30"/>
      <c r="C999" s="30"/>
      <c r="D999" s="30"/>
      <c r="E999" s="30"/>
      <c r="F999" s="30"/>
      <c r="G999" s="30"/>
      <c r="H999" s="30"/>
      <c r="I999" s="30"/>
      <c r="J999" s="30"/>
      <c r="K999" s="30"/>
      <c r="L999" s="30"/>
      <c r="M999" s="30"/>
      <c r="N999" s="30" t="str" cm="1">
        <f t="array" ref="N999">Main_Log_Status(Main_Log[[#This Row],[Carrier]],Main_Log[[#This Row],[Net Weight]])</f>
        <v/>
      </c>
      <c r="O999" s="30"/>
      <c r="P99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999" s="30"/>
      <c r="R999" s="30" t="str" cm="1">
        <f t="array" ref="R999">Main_Log_Ref(Main_Log[[#This Row],[Carrier]])</f>
        <v/>
      </c>
    </row>
    <row r="1000" spans="1:18" ht="29.85" customHeight="1" x14ac:dyDescent="0.45">
      <c r="A1000" s="30">
        <v>8</v>
      </c>
      <c r="B1000" s="30"/>
      <c r="C1000" s="30"/>
      <c r="D1000" s="30"/>
      <c r="E1000" s="30"/>
      <c r="F1000" s="30"/>
      <c r="G1000" s="30"/>
      <c r="H1000" s="30"/>
      <c r="I1000" s="30"/>
      <c r="J1000" s="30"/>
      <c r="K1000" s="30"/>
      <c r="L1000" s="30"/>
      <c r="M1000" s="30"/>
      <c r="N1000" s="30" t="str" cm="1">
        <f t="array" ref="N1000">Main_Log_Status(Main_Log[[#This Row],[Carrier]],Main_Log[[#This Row],[Net Weight]])</f>
        <v/>
      </c>
      <c r="O1000" s="30"/>
      <c r="P100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00" s="30"/>
      <c r="R1000" s="30" t="str" cm="1">
        <f t="array" ref="R1000">Main_Log_Ref(Main_Log[[#This Row],[Carrier]])</f>
        <v/>
      </c>
    </row>
    <row r="1001" spans="1:18" ht="29.85" customHeight="1" x14ac:dyDescent="0.45">
      <c r="A1001" s="30">
        <v>9</v>
      </c>
      <c r="B1001" s="30"/>
      <c r="C1001" s="30"/>
      <c r="D1001" s="30"/>
      <c r="E1001" s="30"/>
      <c r="F1001" s="30"/>
      <c r="G1001" s="30"/>
      <c r="H1001" s="30"/>
      <c r="I1001" s="30"/>
      <c r="J1001" s="30"/>
      <c r="K1001" s="30"/>
      <c r="L1001" s="30"/>
      <c r="M1001" s="30"/>
      <c r="N1001" s="30" t="str" cm="1">
        <f t="array" ref="N1001">Main_Log_Status(Main_Log[[#This Row],[Carrier]],Main_Log[[#This Row],[Net Weight]])</f>
        <v/>
      </c>
      <c r="O1001" s="30"/>
      <c r="P100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01" s="30"/>
      <c r="R1001" s="30" t="str" cm="1">
        <f t="array" ref="R1001">Main_Log_Ref(Main_Log[[#This Row],[Carrier]])</f>
        <v/>
      </c>
    </row>
    <row r="1002" spans="1:18" ht="29.85" customHeight="1" x14ac:dyDescent="0.45">
      <c r="A1002" s="30">
        <v>10</v>
      </c>
      <c r="B1002" s="30"/>
      <c r="C1002" s="30"/>
      <c r="D1002" s="30"/>
      <c r="E1002" s="30"/>
      <c r="F1002" s="30"/>
      <c r="G1002" s="30"/>
      <c r="H1002" s="30"/>
      <c r="I1002" s="30"/>
      <c r="J1002" s="30"/>
      <c r="K1002" s="30"/>
      <c r="L1002" s="30"/>
      <c r="M1002" s="30"/>
      <c r="N1002" s="30" t="str" cm="1">
        <f t="array" ref="N1002">Main_Log_Status(Main_Log[[#This Row],[Carrier]],Main_Log[[#This Row],[Net Weight]])</f>
        <v/>
      </c>
      <c r="O1002" s="30"/>
      <c r="P100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02" s="30"/>
      <c r="R1002" s="30" t="str" cm="1">
        <f t="array" ref="R1002">Main_Log_Ref(Main_Log[[#This Row],[Carrier]])</f>
        <v/>
      </c>
    </row>
    <row r="1003" spans="1:18" ht="29.85" customHeight="1" x14ac:dyDescent="0.45">
      <c r="A1003" s="30">
        <v>11</v>
      </c>
      <c r="B1003" s="30"/>
      <c r="C1003" s="30"/>
      <c r="D1003" s="30"/>
      <c r="E1003" s="30"/>
      <c r="F1003" s="30"/>
      <c r="G1003" s="30"/>
      <c r="H1003" s="30"/>
      <c r="I1003" s="30"/>
      <c r="J1003" s="30"/>
      <c r="K1003" s="30"/>
      <c r="L1003" s="30"/>
      <c r="M1003" s="30"/>
      <c r="N1003" s="30" t="str" cm="1">
        <f t="array" ref="N1003">Main_Log_Status(Main_Log[[#This Row],[Carrier]],Main_Log[[#This Row],[Net Weight]])</f>
        <v/>
      </c>
      <c r="O1003" s="30"/>
      <c r="P100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03" s="30"/>
      <c r="R1003" s="30" t="str" cm="1">
        <f t="array" ref="R1003">Main_Log_Ref(Main_Log[[#This Row],[Carrier]])</f>
        <v/>
      </c>
    </row>
    <row r="1004" spans="1:18" ht="29.85" customHeight="1" x14ac:dyDescent="0.45">
      <c r="A1004" s="30">
        <v>12</v>
      </c>
      <c r="B1004" s="30"/>
      <c r="C1004" s="30"/>
      <c r="D1004" s="30"/>
      <c r="E1004" s="30"/>
      <c r="F1004" s="30"/>
      <c r="G1004" s="30"/>
      <c r="H1004" s="30"/>
      <c r="I1004" s="30"/>
      <c r="J1004" s="30"/>
      <c r="K1004" s="30"/>
      <c r="L1004" s="30"/>
      <c r="M1004" s="30"/>
      <c r="N1004" s="30" t="str" cm="1">
        <f t="array" ref="N1004">Main_Log_Status(Main_Log[[#This Row],[Carrier]],Main_Log[[#This Row],[Net Weight]])</f>
        <v/>
      </c>
      <c r="O1004" s="30"/>
      <c r="P100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04" s="30"/>
      <c r="R1004" s="30" t="str" cm="1">
        <f t="array" ref="R1004">Main_Log_Ref(Main_Log[[#This Row],[Carrier]])</f>
        <v/>
      </c>
    </row>
    <row r="1005" spans="1:18" ht="29.85" customHeight="1" x14ac:dyDescent="0.45">
      <c r="A1005" s="30">
        <v>13</v>
      </c>
      <c r="B1005" s="30"/>
      <c r="C1005" s="30"/>
      <c r="D1005" s="30"/>
      <c r="E1005" s="30"/>
      <c r="F1005" s="30"/>
      <c r="G1005" s="30"/>
      <c r="H1005" s="30"/>
      <c r="I1005" s="30"/>
      <c r="J1005" s="30"/>
      <c r="K1005" s="30"/>
      <c r="L1005" s="30"/>
      <c r="M1005" s="30"/>
      <c r="N1005" s="30" t="str" cm="1">
        <f t="array" ref="N1005">Main_Log_Status(Main_Log[[#This Row],[Carrier]],Main_Log[[#This Row],[Net Weight]])</f>
        <v/>
      </c>
      <c r="O1005" s="30"/>
      <c r="P100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05" s="30"/>
      <c r="R1005" s="30" t="str" cm="1">
        <f t="array" ref="R1005">Main_Log_Ref(Main_Log[[#This Row],[Carrier]])</f>
        <v/>
      </c>
    </row>
    <row r="1006" spans="1:18" ht="29.85" customHeight="1" x14ac:dyDescent="0.45">
      <c r="A1006" s="30">
        <v>14</v>
      </c>
      <c r="B1006" s="30"/>
      <c r="C1006" s="30"/>
      <c r="D1006" s="30"/>
      <c r="E1006" s="30"/>
      <c r="F1006" s="30"/>
      <c r="G1006" s="30"/>
      <c r="H1006" s="30"/>
      <c r="I1006" s="30"/>
      <c r="J1006" s="30"/>
      <c r="K1006" s="30"/>
      <c r="L1006" s="30"/>
      <c r="M1006" s="30"/>
      <c r="N1006" s="30" t="str" cm="1">
        <f t="array" ref="N1006">Main_Log_Status(Main_Log[[#This Row],[Carrier]],Main_Log[[#This Row],[Net Weight]])</f>
        <v/>
      </c>
      <c r="O1006" s="30"/>
      <c r="P100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06" s="30"/>
      <c r="R1006" s="30" t="str" cm="1">
        <f t="array" ref="R1006">Main_Log_Ref(Main_Log[[#This Row],[Carrier]])</f>
        <v/>
      </c>
    </row>
    <row r="1007" spans="1:18" ht="29.85" customHeight="1" x14ac:dyDescent="0.45">
      <c r="A1007" s="30">
        <v>15</v>
      </c>
      <c r="B1007" s="30"/>
      <c r="C1007" s="30"/>
      <c r="D1007" s="30"/>
      <c r="E1007" s="30"/>
      <c r="F1007" s="30"/>
      <c r="G1007" s="30"/>
      <c r="H1007" s="30"/>
      <c r="I1007" s="30"/>
      <c r="J1007" s="30"/>
      <c r="K1007" s="30"/>
      <c r="L1007" s="30"/>
      <c r="M1007" s="30"/>
      <c r="N1007" s="30" t="str" cm="1">
        <f t="array" ref="N1007">Main_Log_Status(Main_Log[[#This Row],[Carrier]],Main_Log[[#This Row],[Net Weight]])</f>
        <v/>
      </c>
      <c r="O1007" s="30"/>
      <c r="P100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07" s="30"/>
      <c r="R1007" s="30" t="str" cm="1">
        <f t="array" ref="R1007">Main_Log_Ref(Main_Log[[#This Row],[Carrier]])</f>
        <v/>
      </c>
    </row>
    <row r="1008" spans="1:18" ht="29.85" customHeight="1" x14ac:dyDescent="0.45">
      <c r="A1008" s="30">
        <v>16</v>
      </c>
      <c r="B1008" s="30"/>
      <c r="C1008" s="30"/>
      <c r="D1008" s="30"/>
      <c r="E1008" s="30"/>
      <c r="F1008" s="30"/>
      <c r="G1008" s="30"/>
      <c r="H1008" s="30"/>
      <c r="I1008" s="30"/>
      <c r="J1008" s="30"/>
      <c r="K1008" s="30"/>
      <c r="L1008" s="30"/>
      <c r="M1008" s="30"/>
      <c r="N1008" s="30" t="str" cm="1">
        <f t="array" ref="N1008">Main_Log_Status(Main_Log[[#This Row],[Carrier]],Main_Log[[#This Row],[Net Weight]])</f>
        <v/>
      </c>
      <c r="O1008" s="30"/>
      <c r="P100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08" s="30"/>
      <c r="R1008" s="30" t="str" cm="1">
        <f t="array" ref="R1008">Main_Log_Ref(Main_Log[[#This Row],[Carrier]])</f>
        <v/>
      </c>
    </row>
    <row r="1009" spans="1:18" ht="29.85" customHeight="1" x14ac:dyDescent="0.45">
      <c r="A1009" s="30">
        <v>17</v>
      </c>
      <c r="B1009" s="30"/>
      <c r="C1009" s="30"/>
      <c r="D1009" s="30"/>
      <c r="E1009" s="30"/>
      <c r="F1009" s="30"/>
      <c r="G1009" s="30"/>
      <c r="H1009" s="30"/>
      <c r="I1009" s="30"/>
      <c r="J1009" s="30"/>
      <c r="K1009" s="30"/>
      <c r="L1009" s="30"/>
      <c r="M1009" s="30"/>
      <c r="N1009" s="30" t="str" cm="1">
        <f t="array" ref="N1009">Main_Log_Status(Main_Log[[#This Row],[Carrier]],Main_Log[[#This Row],[Net Weight]])</f>
        <v/>
      </c>
      <c r="O1009" s="30"/>
      <c r="P100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09" s="30"/>
      <c r="R1009" s="30" t="str" cm="1">
        <f t="array" ref="R1009">Main_Log_Ref(Main_Log[[#This Row],[Carrier]])</f>
        <v/>
      </c>
    </row>
    <row r="1010" spans="1:18" ht="29.85" customHeight="1" x14ac:dyDescent="0.45">
      <c r="A1010" s="30">
        <v>18</v>
      </c>
      <c r="B1010" s="30"/>
      <c r="C1010" s="30"/>
      <c r="D1010" s="30"/>
      <c r="E1010" s="30"/>
      <c r="F1010" s="30"/>
      <c r="G1010" s="30"/>
      <c r="H1010" s="30"/>
      <c r="I1010" s="30"/>
      <c r="J1010" s="30"/>
      <c r="K1010" s="30"/>
      <c r="L1010" s="30"/>
      <c r="M1010" s="30"/>
      <c r="N1010" s="30" t="str" cm="1">
        <f t="array" ref="N1010">Main_Log_Status(Main_Log[[#This Row],[Carrier]],Main_Log[[#This Row],[Net Weight]])</f>
        <v/>
      </c>
      <c r="O1010" s="30"/>
      <c r="P101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10" s="30"/>
      <c r="R1010" s="30" t="str" cm="1">
        <f t="array" ref="R1010">Main_Log_Ref(Main_Log[[#This Row],[Carrier]])</f>
        <v/>
      </c>
    </row>
    <row r="1011" spans="1:18" ht="29.85" customHeight="1" x14ac:dyDescent="0.45">
      <c r="A1011" s="30">
        <v>19</v>
      </c>
      <c r="B1011" s="30"/>
      <c r="C1011" s="30"/>
      <c r="D1011" s="30"/>
      <c r="E1011" s="30"/>
      <c r="F1011" s="30"/>
      <c r="G1011" s="30"/>
      <c r="H1011" s="30"/>
      <c r="I1011" s="30"/>
      <c r="J1011" s="30"/>
      <c r="K1011" s="30"/>
      <c r="L1011" s="30"/>
      <c r="M1011" s="30"/>
      <c r="N1011" s="30" t="str" cm="1">
        <f t="array" ref="N1011">Main_Log_Status(Main_Log[[#This Row],[Carrier]],Main_Log[[#This Row],[Net Weight]])</f>
        <v/>
      </c>
      <c r="O1011" s="30"/>
      <c r="P101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11" s="30"/>
      <c r="R1011" s="30" t="str" cm="1">
        <f t="array" ref="R1011">Main_Log_Ref(Main_Log[[#This Row],[Carrier]])</f>
        <v/>
      </c>
    </row>
    <row r="1012" spans="1:18" ht="29.85" customHeight="1" x14ac:dyDescent="0.45">
      <c r="A1012" s="30">
        <v>20</v>
      </c>
      <c r="B1012" s="30"/>
      <c r="C1012" s="30"/>
      <c r="D1012" s="30"/>
      <c r="E1012" s="30"/>
      <c r="F1012" s="30"/>
      <c r="G1012" s="30"/>
      <c r="H1012" s="30"/>
      <c r="I1012" s="30"/>
      <c r="J1012" s="30"/>
      <c r="K1012" s="30"/>
      <c r="L1012" s="30"/>
      <c r="M1012" s="30"/>
      <c r="N1012" s="30" t="str" cm="1">
        <f t="array" ref="N1012">Main_Log_Status(Main_Log[[#This Row],[Carrier]],Main_Log[[#This Row],[Net Weight]])</f>
        <v/>
      </c>
      <c r="O1012" s="30"/>
      <c r="P101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12" s="30"/>
      <c r="R1012" s="30" t="str" cm="1">
        <f t="array" ref="R1012">Main_Log_Ref(Main_Log[[#This Row],[Carrier]])</f>
        <v/>
      </c>
    </row>
    <row r="1013" spans="1:18" ht="29.85" customHeight="1" x14ac:dyDescent="0.45">
      <c r="A1013" s="30">
        <v>21</v>
      </c>
      <c r="B1013" s="30"/>
      <c r="C1013" s="30"/>
      <c r="D1013" s="30"/>
      <c r="E1013" s="30"/>
      <c r="F1013" s="30"/>
      <c r="G1013" s="30"/>
      <c r="H1013" s="30"/>
      <c r="I1013" s="30"/>
      <c r="J1013" s="30"/>
      <c r="K1013" s="30"/>
      <c r="L1013" s="30"/>
      <c r="M1013" s="30"/>
      <c r="N1013" s="30" t="str" cm="1">
        <f t="array" ref="N1013">Main_Log_Status(Main_Log[[#This Row],[Carrier]],Main_Log[[#This Row],[Net Weight]])</f>
        <v/>
      </c>
      <c r="O1013" s="30"/>
      <c r="P101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13" s="30"/>
      <c r="R1013" s="30" t="str" cm="1">
        <f t="array" ref="R1013">Main_Log_Ref(Main_Log[[#This Row],[Carrier]])</f>
        <v/>
      </c>
    </row>
    <row r="1014" spans="1:18" ht="29.85" customHeight="1" x14ac:dyDescent="0.45">
      <c r="A1014" s="30">
        <v>22</v>
      </c>
      <c r="B1014" s="30"/>
      <c r="C1014" s="30"/>
      <c r="D1014" s="30"/>
      <c r="E1014" s="30"/>
      <c r="F1014" s="30"/>
      <c r="G1014" s="30"/>
      <c r="H1014" s="30"/>
      <c r="I1014" s="30"/>
      <c r="J1014" s="30"/>
      <c r="K1014" s="30"/>
      <c r="L1014" s="30"/>
      <c r="M1014" s="30"/>
      <c r="N1014" s="30" t="str" cm="1">
        <f t="array" ref="N1014">Main_Log_Status(Main_Log[[#This Row],[Carrier]],Main_Log[[#This Row],[Net Weight]])</f>
        <v/>
      </c>
      <c r="O1014" s="30"/>
      <c r="P101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14" s="30"/>
      <c r="R1014" s="30" t="str" cm="1">
        <f t="array" ref="R1014">Main_Log_Ref(Main_Log[[#This Row],[Carrier]])</f>
        <v/>
      </c>
    </row>
    <row r="1015" spans="1:18" ht="29.85" customHeight="1" x14ac:dyDescent="0.45">
      <c r="A1015" s="30">
        <v>23</v>
      </c>
      <c r="B1015" s="30"/>
      <c r="C1015" s="30"/>
      <c r="D1015" s="30"/>
      <c r="E1015" s="30"/>
      <c r="F1015" s="30"/>
      <c r="G1015" s="30"/>
      <c r="H1015" s="30"/>
      <c r="I1015" s="30"/>
      <c r="J1015" s="30"/>
      <c r="K1015" s="30"/>
      <c r="L1015" s="30"/>
      <c r="M1015" s="30"/>
      <c r="N1015" s="30" t="str" cm="1">
        <f t="array" ref="N1015">Main_Log_Status(Main_Log[[#This Row],[Carrier]],Main_Log[[#This Row],[Net Weight]])</f>
        <v/>
      </c>
      <c r="O1015" s="30"/>
      <c r="P101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15" s="30"/>
      <c r="R1015" s="30" t="str" cm="1">
        <f t="array" ref="R1015">Main_Log_Ref(Main_Log[[#This Row],[Carrier]])</f>
        <v/>
      </c>
    </row>
    <row r="1016" spans="1:18" ht="29.85" customHeight="1" x14ac:dyDescent="0.45">
      <c r="A1016" s="30">
        <v>24</v>
      </c>
      <c r="B1016" s="30"/>
      <c r="C1016" s="30"/>
      <c r="D1016" s="30"/>
      <c r="E1016" s="30"/>
      <c r="F1016" s="30"/>
      <c r="G1016" s="30"/>
      <c r="H1016" s="30"/>
      <c r="I1016" s="30"/>
      <c r="J1016" s="30"/>
      <c r="K1016" s="30"/>
      <c r="L1016" s="30"/>
      <c r="M1016" s="30"/>
      <c r="N1016" s="30" t="str" cm="1">
        <f t="array" ref="N1016">Main_Log_Status(Main_Log[[#This Row],[Carrier]],Main_Log[[#This Row],[Net Weight]])</f>
        <v/>
      </c>
      <c r="O1016" s="30"/>
      <c r="P101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16" s="30"/>
      <c r="R1016" s="30" t="str" cm="1">
        <f t="array" ref="R1016">Main_Log_Ref(Main_Log[[#This Row],[Carrier]])</f>
        <v/>
      </c>
    </row>
    <row r="1017" spans="1:18" ht="29.85" customHeight="1" x14ac:dyDescent="0.45">
      <c r="A1017" s="30">
        <v>25</v>
      </c>
      <c r="B1017" s="30"/>
      <c r="C1017" s="30"/>
      <c r="D1017" s="30"/>
      <c r="E1017" s="30"/>
      <c r="F1017" s="30"/>
      <c r="G1017" s="30"/>
      <c r="H1017" s="30"/>
      <c r="I1017" s="30"/>
      <c r="J1017" s="30"/>
      <c r="K1017" s="30"/>
      <c r="L1017" s="30"/>
      <c r="M1017" s="30"/>
      <c r="N1017" s="30" t="str" cm="1">
        <f t="array" ref="N1017">Main_Log_Status(Main_Log[[#This Row],[Carrier]],Main_Log[[#This Row],[Net Weight]])</f>
        <v/>
      </c>
      <c r="O1017" s="30"/>
      <c r="P101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17" s="30"/>
      <c r="R1017" s="30" t="str" cm="1">
        <f t="array" ref="R1017">Main_Log_Ref(Main_Log[[#This Row],[Carrier]])</f>
        <v/>
      </c>
    </row>
    <row r="1018" spans="1:18" ht="29.85" customHeight="1" x14ac:dyDescent="0.45">
      <c r="A1018" s="30">
        <v>26</v>
      </c>
      <c r="B1018" s="30"/>
      <c r="C1018" s="30"/>
      <c r="D1018" s="30"/>
      <c r="E1018" s="30"/>
      <c r="F1018" s="30"/>
      <c r="G1018" s="30"/>
      <c r="H1018" s="30"/>
      <c r="I1018" s="30"/>
      <c r="J1018" s="30"/>
      <c r="K1018" s="30"/>
      <c r="L1018" s="30"/>
      <c r="M1018" s="30"/>
      <c r="N1018" s="30" t="str" cm="1">
        <f t="array" ref="N1018">Main_Log_Status(Main_Log[[#This Row],[Carrier]],Main_Log[[#This Row],[Net Weight]])</f>
        <v/>
      </c>
      <c r="O1018" s="30"/>
      <c r="P101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18" s="30"/>
      <c r="R1018" s="30" t="str" cm="1">
        <f t="array" ref="R1018">Main_Log_Ref(Main_Log[[#This Row],[Carrier]])</f>
        <v/>
      </c>
    </row>
    <row r="1019" spans="1:18" ht="29.85" customHeight="1" x14ac:dyDescent="0.45">
      <c r="A1019" s="30">
        <v>27</v>
      </c>
      <c r="B1019" s="30"/>
      <c r="C1019" s="30"/>
      <c r="D1019" s="30"/>
      <c r="E1019" s="30"/>
      <c r="F1019" s="30"/>
      <c r="G1019" s="30"/>
      <c r="H1019" s="30"/>
      <c r="I1019" s="30"/>
      <c r="J1019" s="30"/>
      <c r="K1019" s="30"/>
      <c r="L1019" s="30"/>
      <c r="M1019" s="30"/>
      <c r="N1019" s="30" t="str" cm="1">
        <f t="array" ref="N1019">Main_Log_Status(Main_Log[[#This Row],[Carrier]],Main_Log[[#This Row],[Net Weight]])</f>
        <v/>
      </c>
      <c r="O1019" s="30"/>
      <c r="P101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19" s="30"/>
      <c r="R1019" s="30" t="str" cm="1">
        <f t="array" ref="R1019">Main_Log_Ref(Main_Log[[#This Row],[Carrier]])</f>
        <v/>
      </c>
    </row>
    <row r="1020" spans="1:18" ht="29.85" customHeight="1" x14ac:dyDescent="0.45">
      <c r="A1020" s="30">
        <v>28</v>
      </c>
      <c r="B1020" s="30"/>
      <c r="C1020" s="30"/>
      <c r="D1020" s="30"/>
      <c r="E1020" s="30"/>
      <c r="F1020" s="30"/>
      <c r="G1020" s="30"/>
      <c r="H1020" s="30"/>
      <c r="I1020" s="30"/>
      <c r="J1020" s="30"/>
      <c r="K1020" s="30"/>
      <c r="L1020" s="30"/>
      <c r="M1020" s="30"/>
      <c r="N1020" s="30" t="str" cm="1">
        <f t="array" ref="N1020">Main_Log_Status(Main_Log[[#This Row],[Carrier]],Main_Log[[#This Row],[Net Weight]])</f>
        <v/>
      </c>
      <c r="O1020" s="30"/>
      <c r="P102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20" s="30"/>
      <c r="R1020" s="30" t="str" cm="1">
        <f t="array" ref="R1020">Main_Log_Ref(Main_Log[[#This Row],[Carrier]])</f>
        <v/>
      </c>
    </row>
    <row r="1021" spans="1:18" ht="29.85" customHeight="1" x14ac:dyDescent="0.45">
      <c r="A1021" s="30">
        <v>29</v>
      </c>
      <c r="B1021" s="30"/>
      <c r="C1021" s="30"/>
      <c r="D1021" s="30"/>
      <c r="E1021" s="30"/>
      <c r="F1021" s="30"/>
      <c r="G1021" s="30"/>
      <c r="H1021" s="30"/>
      <c r="I1021" s="30"/>
      <c r="J1021" s="30"/>
      <c r="K1021" s="30"/>
      <c r="L1021" s="30"/>
      <c r="M1021" s="30"/>
      <c r="N1021" s="30" t="str" cm="1">
        <f t="array" ref="N1021">Main_Log_Status(Main_Log[[#This Row],[Carrier]],Main_Log[[#This Row],[Net Weight]])</f>
        <v/>
      </c>
      <c r="O1021" s="30"/>
      <c r="P102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21" s="30"/>
      <c r="R1021" s="30" t="str" cm="1">
        <f t="array" ref="R1021">Main_Log_Ref(Main_Log[[#This Row],[Carrier]])</f>
        <v/>
      </c>
    </row>
    <row r="1022" spans="1:18" ht="29.85" customHeight="1" x14ac:dyDescent="0.45">
      <c r="A1022" s="30">
        <v>30</v>
      </c>
      <c r="B1022" s="30"/>
      <c r="C1022" s="30"/>
      <c r="D1022" s="30"/>
      <c r="E1022" s="30"/>
      <c r="F1022" s="30"/>
      <c r="G1022" s="30"/>
      <c r="H1022" s="30"/>
      <c r="I1022" s="30"/>
      <c r="J1022" s="30"/>
      <c r="K1022" s="30"/>
      <c r="L1022" s="30"/>
      <c r="M1022" s="30"/>
      <c r="N1022" s="30" t="str" cm="1">
        <f t="array" ref="N1022">Main_Log_Status(Main_Log[[#This Row],[Carrier]],Main_Log[[#This Row],[Net Weight]])</f>
        <v/>
      </c>
      <c r="O1022" s="30"/>
      <c r="P102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22" s="30"/>
      <c r="R1022" s="30" t="str" cm="1">
        <f t="array" ref="R1022">Main_Log_Ref(Main_Log[[#This Row],[Carrier]])</f>
        <v/>
      </c>
    </row>
    <row r="1023" spans="1:18" ht="29.85" customHeight="1" x14ac:dyDescent="0.45">
      <c r="A1023" s="30">
        <v>31</v>
      </c>
      <c r="B1023" s="30"/>
      <c r="C1023" s="30"/>
      <c r="D1023" s="30"/>
      <c r="E1023" s="30"/>
      <c r="F1023" s="30"/>
      <c r="G1023" s="30"/>
      <c r="H1023" s="30"/>
      <c r="I1023" s="30"/>
      <c r="J1023" s="30"/>
      <c r="K1023" s="30"/>
      <c r="L1023" s="30"/>
      <c r="M1023" s="30"/>
      <c r="N1023" s="30" t="str" cm="1">
        <f t="array" ref="N1023">Main_Log_Status(Main_Log[[#This Row],[Carrier]],Main_Log[[#This Row],[Net Weight]])</f>
        <v/>
      </c>
      <c r="O1023" s="30"/>
      <c r="P102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23" s="30"/>
      <c r="R1023" s="30" t="str" cm="1">
        <f t="array" ref="R1023">Main_Log_Ref(Main_Log[[#This Row],[Carrier]])</f>
        <v/>
      </c>
    </row>
    <row r="1024" spans="1:18" ht="29.85" customHeight="1" x14ac:dyDescent="0.45">
      <c r="A1024" s="30">
        <v>32</v>
      </c>
      <c r="B1024" s="30"/>
      <c r="C1024" s="30"/>
      <c r="D1024" s="30"/>
      <c r="E1024" s="30"/>
      <c r="F1024" s="30"/>
      <c r="G1024" s="30"/>
      <c r="H1024" s="30"/>
      <c r="I1024" s="30"/>
      <c r="J1024" s="30"/>
      <c r="K1024" s="30"/>
      <c r="L1024" s="30"/>
      <c r="M1024" s="30"/>
      <c r="N1024" s="30" t="str" cm="1">
        <f t="array" ref="N1024">Main_Log_Status(Main_Log[[#This Row],[Carrier]],Main_Log[[#This Row],[Net Weight]])</f>
        <v/>
      </c>
      <c r="O1024" s="30"/>
      <c r="P102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24" s="30"/>
      <c r="R1024" s="30" t="str" cm="1">
        <f t="array" ref="R1024">Main_Log_Ref(Main_Log[[#This Row],[Carrier]])</f>
        <v/>
      </c>
    </row>
    <row r="1025" spans="1:18" ht="29.85" customHeight="1" x14ac:dyDescent="0.45">
      <c r="A1025" s="30">
        <v>33</v>
      </c>
      <c r="B1025" s="30"/>
      <c r="C1025" s="30"/>
      <c r="D1025" s="30"/>
      <c r="E1025" s="30"/>
      <c r="F1025" s="30"/>
      <c r="G1025" s="30"/>
      <c r="H1025" s="30"/>
      <c r="I1025" s="30"/>
      <c r="J1025" s="30"/>
      <c r="K1025" s="30"/>
      <c r="L1025" s="30"/>
      <c r="M1025" s="30"/>
      <c r="N1025" s="30" t="str" cm="1">
        <f t="array" ref="N1025">Main_Log_Status(Main_Log[[#This Row],[Carrier]],Main_Log[[#This Row],[Net Weight]])</f>
        <v/>
      </c>
      <c r="O1025" s="30"/>
      <c r="P102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25" s="30"/>
      <c r="R1025" s="30" t="str" cm="1">
        <f t="array" ref="R1025">Main_Log_Ref(Main_Log[[#This Row],[Carrier]])</f>
        <v/>
      </c>
    </row>
    <row r="1026" spans="1:18" ht="29.85" customHeight="1" x14ac:dyDescent="0.45">
      <c r="A1026" s="30">
        <v>34</v>
      </c>
      <c r="B1026" s="30"/>
      <c r="C1026" s="30"/>
      <c r="D1026" s="30"/>
      <c r="E1026" s="30"/>
      <c r="F1026" s="30"/>
      <c r="G1026" s="30"/>
      <c r="H1026" s="30"/>
      <c r="I1026" s="30"/>
      <c r="J1026" s="30"/>
      <c r="K1026" s="30"/>
      <c r="L1026" s="30"/>
      <c r="M1026" s="30"/>
      <c r="N1026" s="30" t="str" cm="1">
        <f t="array" ref="N1026">Main_Log_Status(Main_Log[[#This Row],[Carrier]],Main_Log[[#This Row],[Net Weight]])</f>
        <v/>
      </c>
      <c r="O1026" s="30"/>
      <c r="P102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26" s="30"/>
      <c r="R1026" s="30" t="str" cm="1">
        <f t="array" ref="R1026">Main_Log_Ref(Main_Log[[#This Row],[Carrier]])</f>
        <v/>
      </c>
    </row>
    <row r="1027" spans="1:18" ht="29.85" customHeight="1" x14ac:dyDescent="0.45">
      <c r="A1027" s="30">
        <v>35</v>
      </c>
      <c r="B1027" s="30"/>
      <c r="C1027" s="30"/>
      <c r="D1027" s="30"/>
      <c r="E1027" s="30"/>
      <c r="F1027" s="30"/>
      <c r="G1027" s="30"/>
      <c r="H1027" s="30"/>
      <c r="I1027" s="30"/>
      <c r="J1027" s="30"/>
      <c r="K1027" s="30"/>
      <c r="L1027" s="30"/>
      <c r="M1027" s="30"/>
      <c r="N1027" s="30" t="str" cm="1">
        <f t="array" ref="N1027">Main_Log_Status(Main_Log[[#This Row],[Carrier]],Main_Log[[#This Row],[Net Weight]])</f>
        <v/>
      </c>
      <c r="O1027" s="30"/>
      <c r="P102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27" s="30"/>
      <c r="R1027" s="30" t="str" cm="1">
        <f t="array" ref="R1027">Main_Log_Ref(Main_Log[[#This Row],[Carrier]])</f>
        <v/>
      </c>
    </row>
    <row r="1028" spans="1:18" ht="29.85" customHeight="1" x14ac:dyDescent="0.45">
      <c r="A1028" s="30">
        <v>36</v>
      </c>
      <c r="B1028" s="30"/>
      <c r="C1028" s="30"/>
      <c r="D1028" s="30"/>
      <c r="E1028" s="30"/>
      <c r="F1028" s="30"/>
      <c r="G1028" s="30"/>
      <c r="H1028" s="30"/>
      <c r="I1028" s="30"/>
      <c r="J1028" s="30"/>
      <c r="K1028" s="30"/>
      <c r="L1028" s="30"/>
      <c r="M1028" s="30"/>
      <c r="N1028" s="30" t="str" cm="1">
        <f t="array" ref="N1028">Main_Log_Status(Main_Log[[#This Row],[Carrier]],Main_Log[[#This Row],[Net Weight]])</f>
        <v/>
      </c>
      <c r="O1028" s="30"/>
      <c r="P102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28" s="30"/>
      <c r="R1028" s="30" t="str" cm="1">
        <f t="array" ref="R1028">Main_Log_Ref(Main_Log[[#This Row],[Carrier]])</f>
        <v/>
      </c>
    </row>
    <row r="1029" spans="1:18" ht="29.85" customHeight="1" x14ac:dyDescent="0.45">
      <c r="A1029" s="30">
        <v>37</v>
      </c>
      <c r="B1029" s="30"/>
      <c r="C1029" s="30"/>
      <c r="D1029" s="30"/>
      <c r="E1029" s="30"/>
      <c r="F1029" s="30"/>
      <c r="G1029" s="30"/>
      <c r="H1029" s="30"/>
      <c r="I1029" s="30"/>
      <c r="J1029" s="30"/>
      <c r="K1029" s="30"/>
      <c r="L1029" s="30"/>
      <c r="M1029" s="30"/>
      <c r="N1029" s="30" t="str" cm="1">
        <f t="array" ref="N1029">Main_Log_Status(Main_Log[[#This Row],[Carrier]],Main_Log[[#This Row],[Net Weight]])</f>
        <v/>
      </c>
      <c r="O1029" s="30"/>
      <c r="P102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29" s="30"/>
      <c r="R1029" s="30" t="str" cm="1">
        <f t="array" ref="R1029">Main_Log_Ref(Main_Log[[#This Row],[Carrier]])</f>
        <v/>
      </c>
    </row>
    <row r="1030" spans="1:18" ht="29.85" customHeight="1" x14ac:dyDescent="0.45">
      <c r="A1030" s="30">
        <v>38</v>
      </c>
      <c r="B1030" s="30"/>
      <c r="C1030" s="30"/>
      <c r="D1030" s="30"/>
      <c r="E1030" s="30"/>
      <c r="F1030" s="30"/>
      <c r="G1030" s="30"/>
      <c r="H1030" s="30"/>
      <c r="I1030" s="30"/>
      <c r="J1030" s="30"/>
      <c r="K1030" s="30"/>
      <c r="L1030" s="30"/>
      <c r="M1030" s="30"/>
      <c r="N1030" s="30" t="str" cm="1">
        <f t="array" ref="N1030">Main_Log_Status(Main_Log[[#This Row],[Carrier]],Main_Log[[#This Row],[Net Weight]])</f>
        <v/>
      </c>
      <c r="O1030" s="30"/>
      <c r="P103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30" s="30"/>
      <c r="R1030" s="30" t="str" cm="1">
        <f t="array" ref="R1030">Main_Log_Ref(Main_Log[[#This Row],[Carrier]])</f>
        <v/>
      </c>
    </row>
    <row r="1031" spans="1:18" ht="29.85" customHeight="1" x14ac:dyDescent="0.45">
      <c r="A1031" s="30">
        <v>39</v>
      </c>
      <c r="B1031" s="30"/>
      <c r="C1031" s="30"/>
      <c r="D1031" s="30"/>
      <c r="E1031" s="30"/>
      <c r="F1031" s="30"/>
      <c r="G1031" s="30"/>
      <c r="H1031" s="30"/>
      <c r="I1031" s="30"/>
      <c r="J1031" s="30"/>
      <c r="K1031" s="30"/>
      <c r="L1031" s="30"/>
      <c r="M1031" s="30"/>
      <c r="N1031" s="30" t="str" cm="1">
        <f t="array" ref="N1031">Main_Log_Status(Main_Log[[#This Row],[Carrier]],Main_Log[[#This Row],[Net Weight]])</f>
        <v/>
      </c>
      <c r="O1031" s="30"/>
      <c r="P103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31" s="30"/>
      <c r="R1031" s="30" t="str" cm="1">
        <f t="array" ref="R1031">Main_Log_Ref(Main_Log[[#This Row],[Carrier]])</f>
        <v/>
      </c>
    </row>
    <row r="1032" spans="1:18" ht="29.85" customHeight="1" x14ac:dyDescent="0.45">
      <c r="A1032" s="30">
        <v>40</v>
      </c>
      <c r="B1032" s="30"/>
      <c r="C1032" s="30"/>
      <c r="D1032" s="30"/>
      <c r="E1032" s="30"/>
      <c r="F1032" s="30"/>
      <c r="G1032" s="30"/>
      <c r="H1032" s="30"/>
      <c r="I1032" s="30"/>
      <c r="J1032" s="30"/>
      <c r="K1032" s="30"/>
      <c r="L1032" s="30"/>
      <c r="M1032" s="30"/>
      <c r="N1032" s="30" t="str" cm="1">
        <f t="array" ref="N1032">Main_Log_Status(Main_Log[[#This Row],[Carrier]],Main_Log[[#This Row],[Net Weight]])</f>
        <v/>
      </c>
      <c r="O1032" s="30"/>
      <c r="P103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32" s="30"/>
      <c r="R1032" s="30" t="str" cm="1">
        <f t="array" ref="R1032">Main_Log_Ref(Main_Log[[#This Row],[Carrier]])</f>
        <v/>
      </c>
    </row>
    <row r="1033" spans="1:18" ht="29.85" customHeight="1" x14ac:dyDescent="0.45">
      <c r="A1033" s="30">
        <v>41</v>
      </c>
      <c r="B1033" s="30"/>
      <c r="C1033" s="30"/>
      <c r="D1033" s="30"/>
      <c r="E1033" s="30"/>
      <c r="F1033" s="30"/>
      <c r="G1033" s="30"/>
      <c r="H1033" s="30"/>
      <c r="I1033" s="30"/>
      <c r="J1033" s="30"/>
      <c r="K1033" s="30"/>
      <c r="L1033" s="30"/>
      <c r="M1033" s="30"/>
      <c r="N1033" s="30" t="str" cm="1">
        <f t="array" ref="N1033">Main_Log_Status(Main_Log[[#This Row],[Carrier]],Main_Log[[#This Row],[Net Weight]])</f>
        <v/>
      </c>
      <c r="O1033" s="30"/>
      <c r="P103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33" s="30"/>
      <c r="R1033" s="30" t="str" cm="1">
        <f t="array" ref="R1033">Main_Log_Ref(Main_Log[[#This Row],[Carrier]])</f>
        <v/>
      </c>
    </row>
    <row r="1034" spans="1:18" ht="29.85" customHeight="1" x14ac:dyDescent="0.45">
      <c r="A1034" s="30">
        <v>42</v>
      </c>
      <c r="B1034" s="30"/>
      <c r="C1034" s="30"/>
      <c r="D1034" s="30"/>
      <c r="E1034" s="30"/>
      <c r="F1034" s="30"/>
      <c r="G1034" s="30"/>
      <c r="H1034" s="30"/>
      <c r="I1034" s="30"/>
      <c r="J1034" s="30"/>
      <c r="K1034" s="30"/>
      <c r="L1034" s="30"/>
      <c r="M1034" s="30"/>
      <c r="N1034" s="30" t="str" cm="1">
        <f t="array" ref="N1034">Main_Log_Status(Main_Log[[#This Row],[Carrier]],Main_Log[[#This Row],[Net Weight]])</f>
        <v/>
      </c>
      <c r="O1034" s="30"/>
      <c r="P103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34" s="30"/>
      <c r="R1034" s="30" t="str" cm="1">
        <f t="array" ref="R1034">Main_Log_Ref(Main_Log[[#This Row],[Carrier]])</f>
        <v/>
      </c>
    </row>
    <row r="1035" spans="1:18" ht="29.85" customHeight="1" x14ac:dyDescent="0.45">
      <c r="A1035" s="30">
        <v>43</v>
      </c>
      <c r="B1035" s="30"/>
      <c r="C1035" s="30"/>
      <c r="D1035" s="30"/>
      <c r="E1035" s="30"/>
      <c r="F1035" s="30"/>
      <c r="G1035" s="30"/>
      <c r="H1035" s="30"/>
      <c r="I1035" s="30"/>
      <c r="J1035" s="30"/>
      <c r="K1035" s="30"/>
      <c r="L1035" s="30"/>
      <c r="M1035" s="30"/>
      <c r="N1035" s="30" t="str" cm="1">
        <f t="array" ref="N1035">Main_Log_Status(Main_Log[[#This Row],[Carrier]],Main_Log[[#This Row],[Net Weight]])</f>
        <v/>
      </c>
      <c r="O1035" s="30"/>
      <c r="P103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35" s="30"/>
      <c r="R1035" s="30" t="str" cm="1">
        <f t="array" ref="R1035">Main_Log_Ref(Main_Log[[#This Row],[Carrier]])</f>
        <v/>
      </c>
    </row>
    <row r="1036" spans="1:18" ht="29.85" customHeight="1" x14ac:dyDescent="0.45">
      <c r="A1036" s="30">
        <v>44</v>
      </c>
      <c r="B1036" s="30"/>
      <c r="C1036" s="30"/>
      <c r="D1036" s="30"/>
      <c r="E1036" s="30"/>
      <c r="F1036" s="30"/>
      <c r="G1036" s="30"/>
      <c r="H1036" s="30"/>
      <c r="I1036" s="30"/>
      <c r="J1036" s="30"/>
      <c r="K1036" s="30"/>
      <c r="L1036" s="30"/>
      <c r="M1036" s="30"/>
      <c r="N1036" s="30" t="str" cm="1">
        <f t="array" ref="N1036">Main_Log_Status(Main_Log[[#This Row],[Carrier]],Main_Log[[#This Row],[Net Weight]])</f>
        <v/>
      </c>
      <c r="O1036" s="30"/>
      <c r="P103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36" s="30"/>
      <c r="R1036" s="30" t="str" cm="1">
        <f t="array" ref="R1036">Main_Log_Ref(Main_Log[[#This Row],[Carrier]])</f>
        <v/>
      </c>
    </row>
    <row r="1037" spans="1:18" ht="29.85" customHeight="1" x14ac:dyDescent="0.45">
      <c r="A1037" s="30">
        <v>45</v>
      </c>
      <c r="B1037" s="30"/>
      <c r="C1037" s="30"/>
      <c r="D1037" s="30"/>
      <c r="E1037" s="30"/>
      <c r="F1037" s="30"/>
      <c r="G1037" s="30"/>
      <c r="H1037" s="30"/>
      <c r="I1037" s="30"/>
      <c r="J1037" s="30"/>
      <c r="K1037" s="30"/>
      <c r="L1037" s="30"/>
      <c r="M1037" s="30"/>
      <c r="N1037" s="30" t="str" cm="1">
        <f t="array" ref="N1037">Main_Log_Status(Main_Log[[#This Row],[Carrier]],Main_Log[[#This Row],[Net Weight]])</f>
        <v/>
      </c>
      <c r="O1037" s="30"/>
      <c r="P103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37" s="30"/>
      <c r="R1037" s="30" t="str" cm="1">
        <f t="array" ref="R1037">Main_Log_Ref(Main_Log[[#This Row],[Carrier]])</f>
        <v/>
      </c>
    </row>
    <row r="1038" spans="1:18" ht="29.85" customHeight="1" x14ac:dyDescent="0.45">
      <c r="A1038" s="30">
        <v>46</v>
      </c>
      <c r="B1038" s="30"/>
      <c r="C1038" s="30"/>
      <c r="D1038" s="30"/>
      <c r="E1038" s="30"/>
      <c r="F1038" s="30"/>
      <c r="G1038" s="30"/>
      <c r="H1038" s="30"/>
      <c r="I1038" s="30"/>
      <c r="J1038" s="30"/>
      <c r="K1038" s="30"/>
      <c r="L1038" s="30"/>
      <c r="M1038" s="30"/>
      <c r="N1038" s="30" t="str" cm="1">
        <f t="array" ref="N1038">Main_Log_Status(Main_Log[[#This Row],[Carrier]],Main_Log[[#This Row],[Net Weight]])</f>
        <v/>
      </c>
      <c r="O1038" s="30"/>
      <c r="P103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38" s="30"/>
      <c r="R1038" s="30" t="str" cm="1">
        <f t="array" ref="R1038">Main_Log_Ref(Main_Log[[#This Row],[Carrier]])</f>
        <v/>
      </c>
    </row>
    <row r="1039" spans="1:18" ht="29.85" customHeight="1" x14ac:dyDescent="0.45">
      <c r="A1039" s="30">
        <v>47</v>
      </c>
      <c r="B1039" s="30"/>
      <c r="C1039" s="30"/>
      <c r="D1039" s="30"/>
      <c r="E1039" s="30"/>
      <c r="F1039" s="30"/>
      <c r="G1039" s="30"/>
      <c r="H1039" s="30"/>
      <c r="I1039" s="30"/>
      <c r="J1039" s="30"/>
      <c r="K1039" s="30"/>
      <c r="L1039" s="30"/>
      <c r="M1039" s="30"/>
      <c r="N1039" s="30" t="str" cm="1">
        <f t="array" ref="N1039">Main_Log_Status(Main_Log[[#This Row],[Carrier]],Main_Log[[#This Row],[Net Weight]])</f>
        <v/>
      </c>
      <c r="O1039" s="30"/>
      <c r="P103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39" s="30"/>
      <c r="R1039" s="30" t="str" cm="1">
        <f t="array" ref="R1039">Main_Log_Ref(Main_Log[[#This Row],[Carrier]])</f>
        <v/>
      </c>
    </row>
    <row r="1040" spans="1:18" ht="29.85" customHeight="1" x14ac:dyDescent="0.45">
      <c r="A1040" s="30">
        <v>48</v>
      </c>
      <c r="B1040" s="30"/>
      <c r="C1040" s="30"/>
      <c r="D1040" s="30"/>
      <c r="E1040" s="30"/>
      <c r="F1040" s="30"/>
      <c r="G1040" s="30"/>
      <c r="H1040" s="30"/>
      <c r="I1040" s="30"/>
      <c r="J1040" s="30"/>
      <c r="K1040" s="30"/>
      <c r="L1040" s="30"/>
      <c r="M1040" s="30"/>
      <c r="N1040" s="30" t="str" cm="1">
        <f t="array" ref="N1040">Main_Log_Status(Main_Log[[#This Row],[Carrier]],Main_Log[[#This Row],[Net Weight]])</f>
        <v/>
      </c>
      <c r="O1040" s="30"/>
      <c r="P104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40" s="30"/>
      <c r="R1040" s="30" t="str" cm="1">
        <f t="array" ref="R1040">Main_Log_Ref(Main_Log[[#This Row],[Carrier]])</f>
        <v/>
      </c>
    </row>
    <row r="1041" spans="1:18" ht="29.85" customHeight="1" x14ac:dyDescent="0.45">
      <c r="A1041" s="30">
        <v>49</v>
      </c>
      <c r="B1041" s="30"/>
      <c r="C1041" s="30"/>
      <c r="D1041" s="30"/>
      <c r="E1041" s="30"/>
      <c r="F1041" s="30"/>
      <c r="G1041" s="30"/>
      <c r="H1041" s="30"/>
      <c r="I1041" s="30"/>
      <c r="J1041" s="30"/>
      <c r="K1041" s="30"/>
      <c r="L1041" s="30"/>
      <c r="M1041" s="30"/>
      <c r="N1041" s="30" t="str" cm="1">
        <f t="array" ref="N1041">Main_Log_Status(Main_Log[[#This Row],[Carrier]],Main_Log[[#This Row],[Net Weight]])</f>
        <v/>
      </c>
      <c r="O1041" s="30"/>
      <c r="P104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41" s="30"/>
      <c r="R1041" s="30" t="str" cm="1">
        <f t="array" ref="R1041">Main_Log_Ref(Main_Log[[#This Row],[Carrier]])</f>
        <v/>
      </c>
    </row>
    <row r="1042" spans="1:18" ht="29.85" customHeight="1" x14ac:dyDescent="0.45">
      <c r="A1042" s="30">
        <v>50</v>
      </c>
      <c r="B1042" s="30"/>
      <c r="C1042" s="30"/>
      <c r="D1042" s="30"/>
      <c r="E1042" s="30"/>
      <c r="F1042" s="30"/>
      <c r="G1042" s="30"/>
      <c r="H1042" s="30"/>
      <c r="I1042" s="30"/>
      <c r="J1042" s="30"/>
      <c r="K1042" s="30"/>
      <c r="L1042" s="30"/>
      <c r="M1042" s="30"/>
      <c r="N1042" s="30" t="str" cm="1">
        <f t="array" ref="N1042">Main_Log_Status(Main_Log[[#This Row],[Carrier]],Main_Log[[#This Row],[Net Weight]])</f>
        <v/>
      </c>
      <c r="O1042" s="30"/>
      <c r="P104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42" s="30"/>
      <c r="R1042" s="30" t="str" cm="1">
        <f t="array" ref="R1042">Main_Log_Ref(Main_Log[[#This Row],[Carrier]])</f>
        <v/>
      </c>
    </row>
    <row r="1043" spans="1:18" ht="29.85" customHeight="1" x14ac:dyDescent="0.45">
      <c r="A1043" s="30">
        <v>51</v>
      </c>
      <c r="B1043" s="30"/>
      <c r="C1043" s="30"/>
      <c r="D1043" s="30"/>
      <c r="E1043" s="30"/>
      <c r="F1043" s="30"/>
      <c r="G1043" s="30"/>
      <c r="H1043" s="30"/>
      <c r="I1043" s="30"/>
      <c r="J1043" s="30"/>
      <c r="K1043" s="30"/>
      <c r="L1043" s="30"/>
      <c r="M1043" s="30"/>
      <c r="N1043" s="30" t="str" cm="1">
        <f t="array" ref="N1043">Main_Log_Status(Main_Log[[#This Row],[Carrier]],Main_Log[[#This Row],[Net Weight]])</f>
        <v/>
      </c>
      <c r="O1043" s="30"/>
      <c r="P104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43" s="30"/>
      <c r="R1043" s="30" t="str" cm="1">
        <f t="array" ref="R1043">Main_Log_Ref(Main_Log[[#This Row],[Carrier]])</f>
        <v/>
      </c>
    </row>
    <row r="1044" spans="1:18" ht="29.85" customHeight="1" x14ac:dyDescent="0.45">
      <c r="A1044" s="30">
        <v>52</v>
      </c>
      <c r="B1044" s="30"/>
      <c r="C1044" s="30"/>
      <c r="D1044" s="30"/>
      <c r="E1044" s="30"/>
      <c r="F1044" s="30"/>
      <c r="G1044" s="30"/>
      <c r="H1044" s="30"/>
      <c r="I1044" s="30"/>
      <c r="J1044" s="30"/>
      <c r="K1044" s="30"/>
      <c r="L1044" s="30"/>
      <c r="M1044" s="30"/>
      <c r="N1044" s="30" t="str" cm="1">
        <f t="array" ref="N1044">Main_Log_Status(Main_Log[[#This Row],[Carrier]],Main_Log[[#This Row],[Net Weight]])</f>
        <v/>
      </c>
      <c r="O1044" s="30"/>
      <c r="P104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44" s="30"/>
      <c r="R1044" s="30" t="str" cm="1">
        <f t="array" ref="R1044">Main_Log_Ref(Main_Log[[#This Row],[Carrier]])</f>
        <v/>
      </c>
    </row>
    <row r="1045" spans="1:18" ht="29.85" customHeight="1" x14ac:dyDescent="0.45">
      <c r="A1045" s="30">
        <v>53</v>
      </c>
      <c r="B1045" s="30"/>
      <c r="C1045" s="30"/>
      <c r="D1045" s="30"/>
      <c r="E1045" s="30"/>
      <c r="F1045" s="30"/>
      <c r="G1045" s="30"/>
      <c r="H1045" s="30"/>
      <c r="I1045" s="30"/>
      <c r="J1045" s="30"/>
      <c r="K1045" s="30"/>
      <c r="L1045" s="30"/>
      <c r="M1045" s="30"/>
      <c r="N1045" s="30" t="str" cm="1">
        <f t="array" ref="N1045">Main_Log_Status(Main_Log[[#This Row],[Carrier]],Main_Log[[#This Row],[Net Weight]])</f>
        <v/>
      </c>
      <c r="O1045" s="30"/>
      <c r="P104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45" s="30"/>
      <c r="R1045" s="30" t="str" cm="1">
        <f t="array" ref="R1045">Main_Log_Ref(Main_Log[[#This Row],[Carrier]])</f>
        <v/>
      </c>
    </row>
    <row r="1046" spans="1:18" ht="29.85" customHeight="1" x14ac:dyDescent="0.45">
      <c r="A1046" s="30">
        <v>54</v>
      </c>
      <c r="B1046" s="30"/>
      <c r="C1046" s="30"/>
      <c r="D1046" s="30"/>
      <c r="E1046" s="30"/>
      <c r="F1046" s="30"/>
      <c r="G1046" s="30"/>
      <c r="H1046" s="30"/>
      <c r="I1046" s="30"/>
      <c r="J1046" s="30"/>
      <c r="K1046" s="30"/>
      <c r="L1046" s="30"/>
      <c r="M1046" s="30"/>
      <c r="N1046" s="30" t="str" cm="1">
        <f t="array" ref="N1046">Main_Log_Status(Main_Log[[#This Row],[Carrier]],Main_Log[[#This Row],[Net Weight]])</f>
        <v/>
      </c>
      <c r="O1046" s="30"/>
      <c r="P104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46" s="30"/>
      <c r="R1046" s="30" t="str" cm="1">
        <f t="array" ref="R1046">Main_Log_Ref(Main_Log[[#This Row],[Carrier]])</f>
        <v/>
      </c>
    </row>
    <row r="1047" spans="1:18" ht="29.85" customHeight="1" x14ac:dyDescent="0.45">
      <c r="A1047" s="30">
        <v>55</v>
      </c>
      <c r="B1047" s="30"/>
      <c r="C1047" s="30"/>
      <c r="D1047" s="30"/>
      <c r="E1047" s="30"/>
      <c r="F1047" s="30"/>
      <c r="G1047" s="30"/>
      <c r="H1047" s="30"/>
      <c r="I1047" s="30"/>
      <c r="J1047" s="30"/>
      <c r="K1047" s="30"/>
      <c r="L1047" s="30"/>
      <c r="M1047" s="30"/>
      <c r="N1047" s="30" t="str" cm="1">
        <f t="array" ref="N1047">Main_Log_Status(Main_Log[[#This Row],[Carrier]],Main_Log[[#This Row],[Net Weight]])</f>
        <v/>
      </c>
      <c r="O1047" s="30"/>
      <c r="P104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47" s="30"/>
      <c r="R1047" s="30" t="str" cm="1">
        <f t="array" ref="R1047">Main_Log_Ref(Main_Log[[#This Row],[Carrier]])</f>
        <v/>
      </c>
    </row>
    <row r="1048" spans="1:18" ht="29.85" customHeight="1" x14ac:dyDescent="0.45">
      <c r="A1048" s="30">
        <v>56</v>
      </c>
      <c r="B1048" s="30"/>
      <c r="C1048" s="30"/>
      <c r="D1048" s="30"/>
      <c r="E1048" s="30"/>
      <c r="F1048" s="30"/>
      <c r="G1048" s="30"/>
      <c r="H1048" s="30"/>
      <c r="I1048" s="30"/>
      <c r="J1048" s="30"/>
      <c r="K1048" s="30"/>
      <c r="L1048" s="30"/>
      <c r="M1048" s="30"/>
      <c r="N1048" s="30" t="str" cm="1">
        <f t="array" ref="N1048">Main_Log_Status(Main_Log[[#This Row],[Carrier]],Main_Log[[#This Row],[Net Weight]])</f>
        <v/>
      </c>
      <c r="O1048" s="30"/>
      <c r="P104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48" s="30"/>
      <c r="R1048" s="30" t="str" cm="1">
        <f t="array" ref="R1048">Main_Log_Ref(Main_Log[[#This Row],[Carrier]])</f>
        <v/>
      </c>
    </row>
    <row r="1049" spans="1:18" ht="29.85" customHeight="1" x14ac:dyDescent="0.45">
      <c r="A1049" s="30">
        <v>57</v>
      </c>
      <c r="B1049" s="30"/>
      <c r="C1049" s="30"/>
      <c r="D1049" s="30"/>
      <c r="E1049" s="30"/>
      <c r="F1049" s="30"/>
      <c r="G1049" s="30"/>
      <c r="H1049" s="30"/>
      <c r="I1049" s="30"/>
      <c r="J1049" s="30"/>
      <c r="K1049" s="30"/>
      <c r="L1049" s="30"/>
      <c r="M1049" s="30"/>
      <c r="N1049" s="30" t="str" cm="1">
        <f t="array" ref="N1049">Main_Log_Status(Main_Log[[#This Row],[Carrier]],Main_Log[[#This Row],[Net Weight]])</f>
        <v/>
      </c>
      <c r="O1049" s="30"/>
      <c r="P104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49" s="30"/>
      <c r="R1049" s="30" t="str" cm="1">
        <f t="array" ref="R1049">Main_Log_Ref(Main_Log[[#This Row],[Carrier]])</f>
        <v/>
      </c>
    </row>
    <row r="1050" spans="1:18" ht="29.85" customHeight="1" x14ac:dyDescent="0.45">
      <c r="A1050" s="30">
        <v>58</v>
      </c>
      <c r="B1050" s="30"/>
      <c r="C1050" s="30"/>
      <c r="D1050" s="30"/>
      <c r="E1050" s="30"/>
      <c r="F1050" s="30"/>
      <c r="G1050" s="30"/>
      <c r="H1050" s="30"/>
      <c r="I1050" s="30"/>
      <c r="J1050" s="30"/>
      <c r="K1050" s="30"/>
      <c r="L1050" s="30"/>
      <c r="M1050" s="30"/>
      <c r="N1050" s="30" t="str" cm="1">
        <f t="array" ref="N1050">Main_Log_Status(Main_Log[[#This Row],[Carrier]],Main_Log[[#This Row],[Net Weight]])</f>
        <v/>
      </c>
      <c r="O1050" s="30"/>
      <c r="P105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50" s="30"/>
      <c r="R1050" s="30" t="str" cm="1">
        <f t="array" ref="R1050">Main_Log_Ref(Main_Log[[#This Row],[Carrier]])</f>
        <v/>
      </c>
    </row>
    <row r="1051" spans="1:18" ht="29.85" customHeight="1" x14ac:dyDescent="0.45">
      <c r="A1051" s="30">
        <v>59</v>
      </c>
      <c r="B1051" s="30"/>
      <c r="C1051" s="30"/>
      <c r="D1051" s="30"/>
      <c r="E1051" s="30"/>
      <c r="F1051" s="30"/>
      <c r="G1051" s="30"/>
      <c r="H1051" s="30"/>
      <c r="I1051" s="30"/>
      <c r="J1051" s="30"/>
      <c r="K1051" s="30"/>
      <c r="L1051" s="30"/>
      <c r="M1051" s="30"/>
      <c r="N1051" s="30" t="str" cm="1">
        <f t="array" ref="N1051">Main_Log_Status(Main_Log[[#This Row],[Carrier]],Main_Log[[#This Row],[Net Weight]])</f>
        <v/>
      </c>
      <c r="O1051" s="30"/>
      <c r="P105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51" s="30"/>
      <c r="R1051" s="30" t="str" cm="1">
        <f t="array" ref="R1051">Main_Log_Ref(Main_Log[[#This Row],[Carrier]])</f>
        <v/>
      </c>
    </row>
    <row r="1052" spans="1:18" ht="29.85" customHeight="1" x14ac:dyDescent="0.45">
      <c r="A1052" s="30">
        <v>60</v>
      </c>
      <c r="B1052" s="30"/>
      <c r="C1052" s="30"/>
      <c r="D1052" s="30"/>
      <c r="E1052" s="30"/>
      <c r="F1052" s="30"/>
      <c r="G1052" s="30"/>
      <c r="H1052" s="30"/>
      <c r="I1052" s="30"/>
      <c r="J1052" s="30"/>
      <c r="K1052" s="30"/>
      <c r="L1052" s="30"/>
      <c r="M1052" s="30"/>
      <c r="N1052" s="30" t="str" cm="1">
        <f t="array" ref="N1052">Main_Log_Status(Main_Log[[#This Row],[Carrier]],Main_Log[[#This Row],[Net Weight]])</f>
        <v/>
      </c>
      <c r="O1052" s="30"/>
      <c r="P105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52" s="30"/>
      <c r="R1052" s="30" t="str" cm="1">
        <f t="array" ref="R1052">Main_Log_Ref(Main_Log[[#This Row],[Carrier]])</f>
        <v/>
      </c>
    </row>
    <row r="1053" spans="1:18" ht="29.85" customHeight="1" x14ac:dyDescent="0.45">
      <c r="A1053" s="30">
        <v>61</v>
      </c>
      <c r="B1053" s="30"/>
      <c r="C1053" s="30"/>
      <c r="D1053" s="30"/>
      <c r="E1053" s="30"/>
      <c r="F1053" s="30"/>
      <c r="G1053" s="30"/>
      <c r="H1053" s="30"/>
      <c r="I1053" s="30"/>
      <c r="J1053" s="30"/>
      <c r="K1053" s="30"/>
      <c r="L1053" s="30"/>
      <c r="M1053" s="30"/>
      <c r="N1053" s="30" t="str" cm="1">
        <f t="array" ref="N1053">Main_Log_Status(Main_Log[[#This Row],[Carrier]],Main_Log[[#This Row],[Net Weight]])</f>
        <v/>
      </c>
      <c r="O1053" s="30"/>
      <c r="P105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53" s="30"/>
      <c r="R1053" s="30" t="str" cm="1">
        <f t="array" ref="R1053">Main_Log_Ref(Main_Log[[#This Row],[Carrier]])</f>
        <v/>
      </c>
    </row>
    <row r="1054" spans="1:18" ht="29.85" customHeight="1" x14ac:dyDescent="0.45">
      <c r="A1054" s="30">
        <v>62</v>
      </c>
      <c r="B1054" s="30"/>
      <c r="C1054" s="30"/>
      <c r="D1054" s="30"/>
      <c r="E1054" s="30"/>
      <c r="F1054" s="30"/>
      <c r="G1054" s="30"/>
      <c r="H1054" s="30"/>
      <c r="I1054" s="30"/>
      <c r="J1054" s="30"/>
      <c r="K1054" s="30"/>
      <c r="L1054" s="30"/>
      <c r="M1054" s="30"/>
      <c r="N1054" s="30" t="str" cm="1">
        <f t="array" ref="N1054">Main_Log_Status(Main_Log[[#This Row],[Carrier]],Main_Log[[#This Row],[Net Weight]])</f>
        <v/>
      </c>
      <c r="O1054" s="30"/>
      <c r="P105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54" s="30"/>
      <c r="R1054" s="30" t="str" cm="1">
        <f t="array" ref="R1054">Main_Log_Ref(Main_Log[[#This Row],[Carrier]])</f>
        <v/>
      </c>
    </row>
    <row r="1055" spans="1:18" ht="29.85" customHeight="1" x14ac:dyDescent="0.45">
      <c r="A1055" s="30">
        <v>63</v>
      </c>
      <c r="B1055" s="30"/>
      <c r="C1055" s="30"/>
      <c r="D1055" s="30"/>
      <c r="E1055" s="30"/>
      <c r="F1055" s="30"/>
      <c r="G1055" s="30"/>
      <c r="H1055" s="30"/>
      <c r="I1055" s="30"/>
      <c r="J1055" s="30"/>
      <c r="K1055" s="30"/>
      <c r="L1055" s="30"/>
      <c r="M1055" s="30"/>
      <c r="N1055" s="30" t="str" cm="1">
        <f t="array" ref="N1055">Main_Log_Status(Main_Log[[#This Row],[Carrier]],Main_Log[[#This Row],[Net Weight]])</f>
        <v/>
      </c>
      <c r="O1055" s="30"/>
      <c r="P105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55" s="30"/>
      <c r="R1055" s="30" t="str" cm="1">
        <f t="array" ref="R1055">Main_Log_Ref(Main_Log[[#This Row],[Carrier]])</f>
        <v/>
      </c>
    </row>
    <row r="1056" spans="1:18" ht="29.85" customHeight="1" x14ac:dyDescent="0.45">
      <c r="A1056" s="30">
        <v>64</v>
      </c>
      <c r="B1056" s="30"/>
      <c r="C1056" s="30"/>
      <c r="D1056" s="30"/>
      <c r="E1056" s="30"/>
      <c r="F1056" s="30"/>
      <c r="G1056" s="30"/>
      <c r="H1056" s="30"/>
      <c r="I1056" s="30"/>
      <c r="J1056" s="30"/>
      <c r="K1056" s="30"/>
      <c r="L1056" s="30"/>
      <c r="M1056" s="30"/>
      <c r="N1056" s="30" t="str" cm="1">
        <f t="array" ref="N1056">Main_Log_Status(Main_Log[[#This Row],[Carrier]],Main_Log[[#This Row],[Net Weight]])</f>
        <v/>
      </c>
      <c r="O1056" s="30"/>
      <c r="P105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56" s="30"/>
      <c r="R1056" s="30" t="str" cm="1">
        <f t="array" ref="R1056">Main_Log_Ref(Main_Log[[#This Row],[Carrier]])</f>
        <v/>
      </c>
    </row>
    <row r="1057" spans="1:18" ht="29.85" customHeight="1" x14ac:dyDescent="0.45">
      <c r="A1057" s="30">
        <v>65</v>
      </c>
      <c r="B1057" s="30"/>
      <c r="C1057" s="30"/>
      <c r="D1057" s="30"/>
      <c r="E1057" s="30"/>
      <c r="F1057" s="30"/>
      <c r="G1057" s="30"/>
      <c r="H1057" s="30"/>
      <c r="I1057" s="30"/>
      <c r="J1057" s="30"/>
      <c r="K1057" s="30"/>
      <c r="L1057" s="30"/>
      <c r="M1057" s="30"/>
      <c r="N1057" s="30" t="str" cm="1">
        <f t="array" ref="N1057">Main_Log_Status(Main_Log[[#This Row],[Carrier]],Main_Log[[#This Row],[Net Weight]])</f>
        <v/>
      </c>
      <c r="O1057" s="30"/>
      <c r="P105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57" s="30"/>
      <c r="R1057" s="30" t="str" cm="1">
        <f t="array" ref="R1057">Main_Log_Ref(Main_Log[[#This Row],[Carrier]])</f>
        <v/>
      </c>
    </row>
    <row r="1058" spans="1:18" ht="29.85" customHeight="1" x14ac:dyDescent="0.45">
      <c r="A1058" s="30">
        <v>66</v>
      </c>
      <c r="B1058" s="30"/>
      <c r="C1058" s="30"/>
      <c r="D1058" s="30"/>
      <c r="E1058" s="30"/>
      <c r="F1058" s="30"/>
      <c r="G1058" s="30"/>
      <c r="H1058" s="30"/>
      <c r="I1058" s="30"/>
      <c r="J1058" s="30"/>
      <c r="K1058" s="30"/>
      <c r="L1058" s="30"/>
      <c r="M1058" s="30"/>
      <c r="N1058" s="30" t="str" cm="1">
        <f t="array" ref="N1058">Main_Log_Status(Main_Log[[#This Row],[Carrier]],Main_Log[[#This Row],[Net Weight]])</f>
        <v/>
      </c>
      <c r="O1058" s="30"/>
      <c r="P105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58" s="30"/>
      <c r="R1058" s="30" t="str" cm="1">
        <f t="array" ref="R1058">Main_Log_Ref(Main_Log[[#This Row],[Carrier]])</f>
        <v/>
      </c>
    </row>
    <row r="1059" spans="1:18" ht="29.85" customHeight="1" x14ac:dyDescent="0.45">
      <c r="A1059" s="30">
        <v>67</v>
      </c>
      <c r="B1059" s="30"/>
      <c r="C1059" s="30"/>
      <c r="D1059" s="30"/>
      <c r="E1059" s="30"/>
      <c r="F1059" s="30"/>
      <c r="G1059" s="30"/>
      <c r="H1059" s="30"/>
      <c r="I1059" s="30"/>
      <c r="J1059" s="30"/>
      <c r="K1059" s="30"/>
      <c r="L1059" s="30"/>
      <c r="M1059" s="30"/>
      <c r="N1059" s="30" t="str" cm="1">
        <f t="array" ref="N1059">Main_Log_Status(Main_Log[[#This Row],[Carrier]],Main_Log[[#This Row],[Net Weight]])</f>
        <v/>
      </c>
      <c r="O1059" s="30"/>
      <c r="P105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59" s="30"/>
      <c r="R1059" s="30" t="str" cm="1">
        <f t="array" ref="R1059">Main_Log_Ref(Main_Log[[#This Row],[Carrier]])</f>
        <v/>
      </c>
    </row>
    <row r="1060" spans="1:18" ht="29.85" customHeight="1" x14ac:dyDescent="0.45">
      <c r="A1060" s="30">
        <v>68</v>
      </c>
      <c r="B1060" s="30"/>
      <c r="C1060" s="30"/>
      <c r="D1060" s="30"/>
      <c r="E1060" s="30"/>
      <c r="F1060" s="30"/>
      <c r="G1060" s="30"/>
      <c r="H1060" s="30"/>
      <c r="I1060" s="30"/>
      <c r="J1060" s="30"/>
      <c r="K1060" s="30"/>
      <c r="L1060" s="30"/>
      <c r="M1060" s="30"/>
      <c r="N1060" s="30" t="str" cm="1">
        <f t="array" ref="N1060">Main_Log_Status(Main_Log[[#This Row],[Carrier]],Main_Log[[#This Row],[Net Weight]])</f>
        <v/>
      </c>
      <c r="O1060" s="30"/>
      <c r="P106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60" s="30"/>
      <c r="R1060" s="30" t="str" cm="1">
        <f t="array" ref="R1060">Main_Log_Ref(Main_Log[[#This Row],[Carrier]])</f>
        <v/>
      </c>
    </row>
    <row r="1061" spans="1:18" ht="29.85" customHeight="1" x14ac:dyDescent="0.45">
      <c r="A1061" s="30">
        <v>69</v>
      </c>
      <c r="B1061" s="30"/>
      <c r="C1061" s="30"/>
      <c r="D1061" s="30"/>
      <c r="E1061" s="30"/>
      <c r="F1061" s="30"/>
      <c r="G1061" s="30"/>
      <c r="H1061" s="30"/>
      <c r="I1061" s="30"/>
      <c r="J1061" s="30"/>
      <c r="K1061" s="30"/>
      <c r="L1061" s="30"/>
      <c r="M1061" s="30"/>
      <c r="N1061" s="30" t="str" cm="1">
        <f t="array" ref="N1061">Main_Log_Status(Main_Log[[#This Row],[Carrier]],Main_Log[[#This Row],[Net Weight]])</f>
        <v/>
      </c>
      <c r="O1061" s="30"/>
      <c r="P106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61" s="30"/>
      <c r="R1061" s="30" t="str" cm="1">
        <f t="array" ref="R1061">Main_Log_Ref(Main_Log[[#This Row],[Carrier]])</f>
        <v/>
      </c>
    </row>
    <row r="1062" spans="1:18" ht="29.85" customHeight="1" x14ac:dyDescent="0.45">
      <c r="A1062" s="30">
        <v>70</v>
      </c>
      <c r="B1062" s="30"/>
      <c r="C1062" s="30"/>
      <c r="D1062" s="30"/>
      <c r="E1062" s="30"/>
      <c r="F1062" s="30"/>
      <c r="G1062" s="30"/>
      <c r="H1062" s="30"/>
      <c r="I1062" s="30"/>
      <c r="J1062" s="30"/>
      <c r="K1062" s="30"/>
      <c r="L1062" s="30"/>
      <c r="M1062" s="30"/>
      <c r="N1062" s="30" t="str" cm="1">
        <f t="array" ref="N1062">Main_Log_Status(Main_Log[[#This Row],[Carrier]],Main_Log[[#This Row],[Net Weight]])</f>
        <v/>
      </c>
      <c r="O1062" s="30"/>
      <c r="P106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62" s="30"/>
      <c r="R1062" s="30" t="str" cm="1">
        <f t="array" ref="R1062">Main_Log_Ref(Main_Log[[#This Row],[Carrier]])</f>
        <v/>
      </c>
    </row>
    <row r="1063" spans="1:18" ht="29.85" customHeight="1" x14ac:dyDescent="0.45">
      <c r="A1063" s="30">
        <v>71</v>
      </c>
      <c r="B1063" s="30"/>
      <c r="C1063" s="30"/>
      <c r="D1063" s="30"/>
      <c r="E1063" s="30"/>
      <c r="F1063" s="30"/>
      <c r="G1063" s="30"/>
      <c r="H1063" s="30"/>
      <c r="I1063" s="30"/>
      <c r="J1063" s="30"/>
      <c r="K1063" s="30"/>
      <c r="L1063" s="30"/>
      <c r="M1063" s="30"/>
      <c r="N1063" s="30" t="str" cm="1">
        <f t="array" ref="N1063">Main_Log_Status(Main_Log[[#This Row],[Carrier]],Main_Log[[#This Row],[Net Weight]])</f>
        <v/>
      </c>
      <c r="O1063" s="30"/>
      <c r="P106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63" s="30"/>
      <c r="R1063" s="30" t="str" cm="1">
        <f t="array" ref="R1063">Main_Log_Ref(Main_Log[[#This Row],[Carrier]])</f>
        <v/>
      </c>
    </row>
    <row r="1064" spans="1:18" ht="29.85" customHeight="1" x14ac:dyDescent="0.45">
      <c r="A1064" s="30">
        <v>72</v>
      </c>
      <c r="B1064" s="30"/>
      <c r="C1064" s="30"/>
      <c r="D1064" s="30"/>
      <c r="E1064" s="30"/>
      <c r="F1064" s="30"/>
      <c r="G1064" s="30"/>
      <c r="H1064" s="30"/>
      <c r="I1064" s="30"/>
      <c r="J1064" s="30"/>
      <c r="K1064" s="30"/>
      <c r="L1064" s="30"/>
      <c r="M1064" s="30"/>
      <c r="N1064" s="30" t="str" cm="1">
        <f t="array" ref="N1064">Main_Log_Status(Main_Log[[#This Row],[Carrier]],Main_Log[[#This Row],[Net Weight]])</f>
        <v/>
      </c>
      <c r="O1064" s="30"/>
      <c r="P106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64" s="30"/>
      <c r="R1064" s="30" t="str" cm="1">
        <f t="array" ref="R1064">Main_Log_Ref(Main_Log[[#This Row],[Carrier]])</f>
        <v/>
      </c>
    </row>
    <row r="1065" spans="1:18" ht="29.85" customHeight="1" x14ac:dyDescent="0.45">
      <c r="A1065" s="30">
        <v>73</v>
      </c>
      <c r="B1065" s="30"/>
      <c r="C1065" s="30"/>
      <c r="D1065" s="30"/>
      <c r="E1065" s="30"/>
      <c r="F1065" s="30"/>
      <c r="G1065" s="30"/>
      <c r="H1065" s="30"/>
      <c r="I1065" s="30"/>
      <c r="J1065" s="30"/>
      <c r="K1065" s="30"/>
      <c r="L1065" s="30"/>
      <c r="M1065" s="30"/>
      <c r="N1065" s="30" t="str" cm="1">
        <f t="array" ref="N1065">Main_Log_Status(Main_Log[[#This Row],[Carrier]],Main_Log[[#This Row],[Net Weight]])</f>
        <v/>
      </c>
      <c r="O1065" s="30"/>
      <c r="P106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65" s="30"/>
      <c r="R1065" s="30" t="str" cm="1">
        <f t="array" ref="R1065">Main_Log_Ref(Main_Log[[#This Row],[Carrier]])</f>
        <v/>
      </c>
    </row>
    <row r="1066" spans="1:18" ht="29.85" customHeight="1" x14ac:dyDescent="0.45">
      <c r="A1066" s="30">
        <v>74</v>
      </c>
      <c r="B1066" s="30"/>
      <c r="C1066" s="30"/>
      <c r="D1066" s="30"/>
      <c r="E1066" s="30"/>
      <c r="F1066" s="30"/>
      <c r="G1066" s="30"/>
      <c r="H1066" s="30"/>
      <c r="I1066" s="30"/>
      <c r="J1066" s="30"/>
      <c r="K1066" s="30"/>
      <c r="L1066" s="30"/>
      <c r="M1066" s="30"/>
      <c r="N1066" s="30" t="str" cm="1">
        <f t="array" ref="N1066">Main_Log_Status(Main_Log[[#This Row],[Carrier]],Main_Log[[#This Row],[Net Weight]])</f>
        <v/>
      </c>
      <c r="O1066" s="30"/>
      <c r="P106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66" s="30"/>
      <c r="R1066" s="30" t="str" cm="1">
        <f t="array" ref="R1066">Main_Log_Ref(Main_Log[[#This Row],[Carrier]])</f>
        <v/>
      </c>
    </row>
    <row r="1067" spans="1:18" ht="29.85" customHeight="1" x14ac:dyDescent="0.45">
      <c r="A1067" s="30">
        <v>75</v>
      </c>
      <c r="B1067" s="30"/>
      <c r="C1067" s="30"/>
      <c r="D1067" s="30"/>
      <c r="E1067" s="30"/>
      <c r="F1067" s="30"/>
      <c r="G1067" s="30"/>
      <c r="H1067" s="30"/>
      <c r="I1067" s="30"/>
      <c r="J1067" s="30"/>
      <c r="K1067" s="30"/>
      <c r="L1067" s="30"/>
      <c r="M1067" s="30"/>
      <c r="N1067" s="30" t="str" cm="1">
        <f t="array" ref="N1067">Main_Log_Status(Main_Log[[#This Row],[Carrier]],Main_Log[[#This Row],[Net Weight]])</f>
        <v/>
      </c>
      <c r="O1067" s="30"/>
      <c r="P106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67" s="30"/>
      <c r="R1067" s="30" t="str" cm="1">
        <f t="array" ref="R1067">Main_Log_Ref(Main_Log[[#This Row],[Carrier]])</f>
        <v/>
      </c>
    </row>
    <row r="1068" spans="1:18" ht="29.85" customHeight="1" x14ac:dyDescent="0.45">
      <c r="A1068" s="30">
        <v>76</v>
      </c>
      <c r="B1068" s="30"/>
      <c r="C1068" s="30"/>
      <c r="D1068" s="30"/>
      <c r="E1068" s="30"/>
      <c r="F1068" s="30"/>
      <c r="G1068" s="30"/>
      <c r="H1068" s="30"/>
      <c r="I1068" s="30"/>
      <c r="J1068" s="30"/>
      <c r="K1068" s="30"/>
      <c r="L1068" s="30"/>
      <c r="M1068" s="30"/>
      <c r="N1068" s="30" t="str" cm="1">
        <f t="array" ref="N1068">Main_Log_Status(Main_Log[[#This Row],[Carrier]],Main_Log[[#This Row],[Net Weight]])</f>
        <v/>
      </c>
      <c r="O1068" s="30"/>
      <c r="P106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68" s="30"/>
      <c r="R1068" s="30" t="str" cm="1">
        <f t="array" ref="R1068">Main_Log_Ref(Main_Log[[#This Row],[Carrier]])</f>
        <v/>
      </c>
    </row>
    <row r="1069" spans="1:18" ht="29.85" customHeight="1" x14ac:dyDescent="0.45">
      <c r="A1069" s="30">
        <v>77</v>
      </c>
      <c r="B1069" s="30"/>
      <c r="C1069" s="30"/>
      <c r="D1069" s="30"/>
      <c r="E1069" s="30"/>
      <c r="F1069" s="30"/>
      <c r="G1069" s="30"/>
      <c r="H1069" s="30"/>
      <c r="I1069" s="30"/>
      <c r="J1069" s="30"/>
      <c r="K1069" s="30"/>
      <c r="L1069" s="30"/>
      <c r="M1069" s="30"/>
      <c r="N1069" s="30" t="str" cm="1">
        <f t="array" ref="N1069">Main_Log_Status(Main_Log[[#This Row],[Carrier]],Main_Log[[#This Row],[Net Weight]])</f>
        <v/>
      </c>
      <c r="O1069" s="30"/>
      <c r="P106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69" s="30"/>
      <c r="R1069" s="30" t="str" cm="1">
        <f t="array" ref="R1069">Main_Log_Ref(Main_Log[[#This Row],[Carrier]])</f>
        <v/>
      </c>
    </row>
    <row r="1070" spans="1:18" ht="29.85" customHeight="1" x14ac:dyDescent="0.45">
      <c r="A1070" s="30">
        <v>78</v>
      </c>
      <c r="B1070" s="30"/>
      <c r="C1070" s="30"/>
      <c r="D1070" s="30"/>
      <c r="E1070" s="30"/>
      <c r="F1070" s="30"/>
      <c r="G1070" s="30"/>
      <c r="H1070" s="30"/>
      <c r="I1070" s="30"/>
      <c r="J1070" s="30"/>
      <c r="K1070" s="30"/>
      <c r="L1070" s="30"/>
      <c r="M1070" s="30"/>
      <c r="N1070" s="30" t="str" cm="1">
        <f t="array" ref="N1070">Main_Log_Status(Main_Log[[#This Row],[Carrier]],Main_Log[[#This Row],[Net Weight]])</f>
        <v/>
      </c>
      <c r="O1070" s="30"/>
      <c r="P107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70" s="30"/>
      <c r="R1070" s="30" t="str" cm="1">
        <f t="array" ref="R1070">Main_Log_Ref(Main_Log[[#This Row],[Carrier]])</f>
        <v/>
      </c>
    </row>
    <row r="1071" spans="1:18" ht="29.85" customHeight="1" x14ac:dyDescent="0.45">
      <c r="A1071" s="30">
        <v>79</v>
      </c>
      <c r="B1071" s="30"/>
      <c r="C1071" s="30"/>
      <c r="D1071" s="30"/>
      <c r="E1071" s="30"/>
      <c r="F1071" s="30"/>
      <c r="G1071" s="30"/>
      <c r="H1071" s="30"/>
      <c r="I1071" s="30"/>
      <c r="J1071" s="30"/>
      <c r="K1071" s="30"/>
      <c r="L1071" s="30"/>
      <c r="M1071" s="30"/>
      <c r="N1071" s="30" t="str" cm="1">
        <f t="array" ref="N1071">Main_Log_Status(Main_Log[[#This Row],[Carrier]],Main_Log[[#This Row],[Net Weight]])</f>
        <v/>
      </c>
      <c r="O1071" s="30"/>
      <c r="P107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71" s="30"/>
      <c r="R1071" s="30" t="str" cm="1">
        <f t="array" ref="R1071">Main_Log_Ref(Main_Log[[#This Row],[Carrier]])</f>
        <v/>
      </c>
    </row>
    <row r="1072" spans="1:18" ht="29.85" customHeight="1" x14ac:dyDescent="0.45">
      <c r="A1072" s="30">
        <v>80</v>
      </c>
      <c r="B1072" s="30"/>
      <c r="C1072" s="30"/>
      <c r="D1072" s="30"/>
      <c r="E1072" s="30"/>
      <c r="F1072" s="30"/>
      <c r="G1072" s="30"/>
      <c r="H1072" s="30"/>
      <c r="I1072" s="30"/>
      <c r="J1072" s="30"/>
      <c r="K1072" s="30"/>
      <c r="L1072" s="30"/>
      <c r="M1072" s="30"/>
      <c r="N1072" s="30" t="str" cm="1">
        <f t="array" ref="N1072">Main_Log_Status(Main_Log[[#This Row],[Carrier]],Main_Log[[#This Row],[Net Weight]])</f>
        <v/>
      </c>
      <c r="O1072" s="30"/>
      <c r="P107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72" s="30"/>
      <c r="R1072" s="30" t="str" cm="1">
        <f t="array" ref="R1072">Main_Log_Ref(Main_Log[[#This Row],[Carrier]])</f>
        <v/>
      </c>
    </row>
    <row r="1073" spans="1:18" ht="29.85" customHeight="1" x14ac:dyDescent="0.45">
      <c r="A1073" s="30">
        <v>81</v>
      </c>
      <c r="B1073" s="30"/>
      <c r="C1073" s="30"/>
      <c r="D1073" s="30"/>
      <c r="E1073" s="30"/>
      <c r="F1073" s="30"/>
      <c r="G1073" s="30"/>
      <c r="H1073" s="30"/>
      <c r="I1073" s="30"/>
      <c r="J1073" s="30"/>
      <c r="K1073" s="30"/>
      <c r="L1073" s="30"/>
      <c r="M1073" s="30"/>
      <c r="N1073" s="30" t="str" cm="1">
        <f t="array" ref="N1073">Main_Log_Status(Main_Log[[#This Row],[Carrier]],Main_Log[[#This Row],[Net Weight]])</f>
        <v/>
      </c>
      <c r="O1073" s="30"/>
      <c r="P107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73" s="30"/>
      <c r="R1073" s="30" t="str" cm="1">
        <f t="array" ref="R1073">Main_Log_Ref(Main_Log[[#This Row],[Carrier]])</f>
        <v/>
      </c>
    </row>
    <row r="1074" spans="1:18" ht="29.85" customHeight="1" x14ac:dyDescent="0.45">
      <c r="A1074" s="30">
        <v>82</v>
      </c>
      <c r="B1074" s="30"/>
      <c r="C1074" s="30"/>
      <c r="D1074" s="30"/>
      <c r="E1074" s="30"/>
      <c r="F1074" s="30"/>
      <c r="G1074" s="30"/>
      <c r="H1074" s="30"/>
      <c r="I1074" s="30"/>
      <c r="J1074" s="30"/>
      <c r="K1074" s="30"/>
      <c r="L1074" s="30"/>
      <c r="M1074" s="30"/>
      <c r="N1074" s="30" t="str" cm="1">
        <f t="array" ref="N1074">Main_Log_Status(Main_Log[[#This Row],[Carrier]],Main_Log[[#This Row],[Net Weight]])</f>
        <v/>
      </c>
      <c r="O1074" s="30"/>
      <c r="P107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74" s="30"/>
      <c r="R1074" s="30" t="str" cm="1">
        <f t="array" ref="R1074">Main_Log_Ref(Main_Log[[#This Row],[Carrier]])</f>
        <v/>
      </c>
    </row>
    <row r="1075" spans="1:18" ht="29.85" customHeight="1" x14ac:dyDescent="0.45">
      <c r="A1075" s="30">
        <v>83</v>
      </c>
      <c r="B1075" s="30"/>
      <c r="C1075" s="30"/>
      <c r="D1075" s="30"/>
      <c r="E1075" s="30"/>
      <c r="F1075" s="30"/>
      <c r="G1075" s="30"/>
      <c r="H1075" s="30"/>
      <c r="I1075" s="30"/>
      <c r="J1075" s="30"/>
      <c r="K1075" s="30"/>
      <c r="L1075" s="30"/>
      <c r="M1075" s="30"/>
      <c r="N1075" s="30" t="str" cm="1">
        <f t="array" ref="N1075">Main_Log_Status(Main_Log[[#This Row],[Carrier]],Main_Log[[#This Row],[Net Weight]])</f>
        <v/>
      </c>
      <c r="O1075" s="30"/>
      <c r="P107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75" s="30"/>
      <c r="R1075" s="30" t="str" cm="1">
        <f t="array" ref="R1075">Main_Log_Ref(Main_Log[[#This Row],[Carrier]])</f>
        <v/>
      </c>
    </row>
    <row r="1076" spans="1:18" ht="29.85" customHeight="1" x14ac:dyDescent="0.45">
      <c r="A1076" s="30">
        <v>84</v>
      </c>
      <c r="B1076" s="30"/>
      <c r="C1076" s="30"/>
      <c r="D1076" s="30"/>
      <c r="E1076" s="30"/>
      <c r="F1076" s="30"/>
      <c r="G1076" s="30"/>
      <c r="H1076" s="30"/>
      <c r="I1076" s="30"/>
      <c r="J1076" s="30"/>
      <c r="K1076" s="30"/>
      <c r="L1076" s="30"/>
      <c r="M1076" s="30"/>
      <c r="N1076" s="30" t="str" cm="1">
        <f t="array" ref="N1076">Main_Log_Status(Main_Log[[#This Row],[Carrier]],Main_Log[[#This Row],[Net Weight]])</f>
        <v/>
      </c>
      <c r="O1076" s="30"/>
      <c r="P107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76" s="30"/>
      <c r="R1076" s="30" t="str" cm="1">
        <f t="array" ref="R1076">Main_Log_Ref(Main_Log[[#This Row],[Carrier]])</f>
        <v/>
      </c>
    </row>
    <row r="1077" spans="1:18" ht="29.85" customHeight="1" x14ac:dyDescent="0.45">
      <c r="A1077" s="30">
        <v>85</v>
      </c>
      <c r="B1077" s="30"/>
      <c r="C1077" s="30"/>
      <c r="D1077" s="30"/>
      <c r="E1077" s="30"/>
      <c r="F1077" s="30"/>
      <c r="G1077" s="30"/>
      <c r="H1077" s="30"/>
      <c r="I1077" s="30"/>
      <c r="J1077" s="30"/>
      <c r="K1077" s="30"/>
      <c r="L1077" s="30"/>
      <c r="M1077" s="30"/>
      <c r="N1077" s="30" t="str" cm="1">
        <f t="array" ref="N1077">Main_Log_Status(Main_Log[[#This Row],[Carrier]],Main_Log[[#This Row],[Net Weight]])</f>
        <v/>
      </c>
      <c r="O1077" s="30"/>
      <c r="P107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77" s="30"/>
      <c r="R1077" s="30" t="str" cm="1">
        <f t="array" ref="R1077">Main_Log_Ref(Main_Log[[#This Row],[Carrier]])</f>
        <v/>
      </c>
    </row>
    <row r="1078" spans="1:18" ht="29.85" customHeight="1" x14ac:dyDescent="0.45">
      <c r="A1078" s="30">
        <v>86</v>
      </c>
      <c r="B1078" s="30"/>
      <c r="C1078" s="30"/>
      <c r="D1078" s="30"/>
      <c r="E1078" s="30"/>
      <c r="F1078" s="30"/>
      <c r="G1078" s="30"/>
      <c r="H1078" s="30"/>
      <c r="I1078" s="30"/>
      <c r="J1078" s="30"/>
      <c r="K1078" s="30"/>
      <c r="L1078" s="30"/>
      <c r="M1078" s="30"/>
      <c r="N1078" s="30" t="str" cm="1">
        <f t="array" ref="N1078">Main_Log_Status(Main_Log[[#This Row],[Carrier]],Main_Log[[#This Row],[Net Weight]])</f>
        <v/>
      </c>
      <c r="O1078" s="30"/>
      <c r="P107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78" s="30"/>
      <c r="R1078" s="30" t="str" cm="1">
        <f t="array" ref="R1078">Main_Log_Ref(Main_Log[[#This Row],[Carrier]])</f>
        <v/>
      </c>
    </row>
    <row r="1079" spans="1:18" ht="29.85" customHeight="1" x14ac:dyDescent="0.45">
      <c r="A1079" s="30">
        <v>87</v>
      </c>
      <c r="B1079" s="30"/>
      <c r="C1079" s="30"/>
      <c r="D1079" s="30"/>
      <c r="E1079" s="30"/>
      <c r="F1079" s="30"/>
      <c r="G1079" s="30"/>
      <c r="H1079" s="30"/>
      <c r="I1079" s="30"/>
      <c r="J1079" s="30"/>
      <c r="K1079" s="30"/>
      <c r="L1079" s="30"/>
      <c r="M1079" s="30"/>
      <c r="N1079" s="30" t="str" cm="1">
        <f t="array" ref="N1079">Main_Log_Status(Main_Log[[#This Row],[Carrier]],Main_Log[[#This Row],[Net Weight]])</f>
        <v/>
      </c>
      <c r="O1079" s="30"/>
      <c r="P107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79" s="30"/>
      <c r="R1079" s="30" t="str" cm="1">
        <f t="array" ref="R1079">Main_Log_Ref(Main_Log[[#This Row],[Carrier]])</f>
        <v/>
      </c>
    </row>
    <row r="1080" spans="1:18" ht="29.85" customHeight="1" x14ac:dyDescent="0.45">
      <c r="A1080" s="30">
        <v>88</v>
      </c>
      <c r="B1080" s="30"/>
      <c r="C1080" s="30"/>
      <c r="D1080" s="30"/>
      <c r="E1080" s="30"/>
      <c r="F1080" s="30"/>
      <c r="G1080" s="30"/>
      <c r="H1080" s="30"/>
      <c r="I1080" s="30"/>
      <c r="J1080" s="30"/>
      <c r="K1080" s="30"/>
      <c r="L1080" s="30"/>
      <c r="M1080" s="30"/>
      <c r="N1080" s="30" t="str" cm="1">
        <f t="array" ref="N1080">Main_Log_Status(Main_Log[[#This Row],[Carrier]],Main_Log[[#This Row],[Net Weight]])</f>
        <v/>
      </c>
      <c r="O1080" s="30"/>
      <c r="P108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80" s="30"/>
      <c r="R1080" s="30" t="str" cm="1">
        <f t="array" ref="R1080">Main_Log_Ref(Main_Log[[#This Row],[Carrier]])</f>
        <v/>
      </c>
    </row>
    <row r="1081" spans="1:18" ht="29.85" customHeight="1" x14ac:dyDescent="0.45">
      <c r="A1081" s="30">
        <v>89</v>
      </c>
      <c r="B1081" s="30"/>
      <c r="C1081" s="30"/>
      <c r="D1081" s="30"/>
      <c r="E1081" s="30"/>
      <c r="F1081" s="30"/>
      <c r="G1081" s="30"/>
      <c r="H1081" s="30"/>
      <c r="I1081" s="30"/>
      <c r="J1081" s="30"/>
      <c r="K1081" s="30"/>
      <c r="L1081" s="30"/>
      <c r="M1081" s="30"/>
      <c r="N1081" s="30" t="str" cm="1">
        <f t="array" ref="N1081">Main_Log_Status(Main_Log[[#This Row],[Carrier]],Main_Log[[#This Row],[Net Weight]])</f>
        <v/>
      </c>
      <c r="O1081" s="30"/>
      <c r="P108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81" s="30"/>
      <c r="R1081" s="30" t="str" cm="1">
        <f t="array" ref="R1081">Main_Log_Ref(Main_Log[[#This Row],[Carrier]])</f>
        <v/>
      </c>
    </row>
    <row r="1082" spans="1:18" ht="29.85" customHeight="1" x14ac:dyDescent="0.45">
      <c r="A1082" s="30">
        <v>90</v>
      </c>
      <c r="B1082" s="30"/>
      <c r="C1082" s="30"/>
      <c r="D1082" s="30"/>
      <c r="E1082" s="30"/>
      <c r="F1082" s="30"/>
      <c r="G1082" s="30"/>
      <c r="H1082" s="30"/>
      <c r="I1082" s="30"/>
      <c r="J1082" s="30"/>
      <c r="K1082" s="30"/>
      <c r="L1082" s="30"/>
      <c r="M1082" s="30"/>
      <c r="N1082" s="30" t="str" cm="1">
        <f t="array" ref="N1082">Main_Log_Status(Main_Log[[#This Row],[Carrier]],Main_Log[[#This Row],[Net Weight]])</f>
        <v/>
      </c>
      <c r="O1082" s="30"/>
      <c r="P108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82" s="30"/>
      <c r="R1082" s="30" t="str" cm="1">
        <f t="array" ref="R1082">Main_Log_Ref(Main_Log[[#This Row],[Carrier]])</f>
        <v/>
      </c>
    </row>
    <row r="1083" spans="1:18" ht="29.85" customHeight="1" x14ac:dyDescent="0.45">
      <c r="A1083" s="30">
        <v>91</v>
      </c>
      <c r="B1083" s="30"/>
      <c r="C1083" s="30"/>
      <c r="D1083" s="30"/>
      <c r="E1083" s="30"/>
      <c r="F1083" s="30"/>
      <c r="G1083" s="30"/>
      <c r="H1083" s="30"/>
      <c r="I1083" s="30"/>
      <c r="J1083" s="30"/>
      <c r="K1083" s="30"/>
      <c r="L1083" s="30"/>
      <c r="M1083" s="30"/>
      <c r="N1083" s="30" t="str" cm="1">
        <f t="array" ref="N1083">Main_Log_Status(Main_Log[[#This Row],[Carrier]],Main_Log[[#This Row],[Net Weight]])</f>
        <v/>
      </c>
      <c r="O1083" s="30"/>
      <c r="P108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83" s="30"/>
      <c r="R1083" s="30" t="str" cm="1">
        <f t="array" ref="R1083">Main_Log_Ref(Main_Log[[#This Row],[Carrier]])</f>
        <v/>
      </c>
    </row>
    <row r="1084" spans="1:18" ht="29.85" customHeight="1" x14ac:dyDescent="0.45">
      <c r="A1084" s="30">
        <v>92</v>
      </c>
      <c r="B1084" s="30"/>
      <c r="C1084" s="30"/>
      <c r="D1084" s="30"/>
      <c r="E1084" s="30"/>
      <c r="F1084" s="30"/>
      <c r="G1084" s="30"/>
      <c r="H1084" s="30"/>
      <c r="I1084" s="30"/>
      <c r="J1084" s="30"/>
      <c r="K1084" s="30"/>
      <c r="L1084" s="30"/>
      <c r="M1084" s="30"/>
      <c r="N1084" s="30" t="str" cm="1">
        <f t="array" ref="N1084">Main_Log_Status(Main_Log[[#This Row],[Carrier]],Main_Log[[#This Row],[Net Weight]])</f>
        <v/>
      </c>
      <c r="O1084" s="30"/>
      <c r="P108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84" s="30"/>
      <c r="R1084" s="30" t="str" cm="1">
        <f t="array" ref="R1084">Main_Log_Ref(Main_Log[[#This Row],[Carrier]])</f>
        <v/>
      </c>
    </row>
    <row r="1085" spans="1:18" ht="29.85" customHeight="1" x14ac:dyDescent="0.45">
      <c r="A1085" s="30">
        <v>93</v>
      </c>
      <c r="B1085" s="30"/>
      <c r="C1085" s="30"/>
      <c r="D1085" s="30"/>
      <c r="E1085" s="30"/>
      <c r="F1085" s="30"/>
      <c r="G1085" s="30"/>
      <c r="H1085" s="30"/>
      <c r="I1085" s="30"/>
      <c r="J1085" s="30"/>
      <c r="K1085" s="30"/>
      <c r="L1085" s="30"/>
      <c r="M1085" s="30"/>
      <c r="N1085" s="30" t="str" cm="1">
        <f t="array" ref="N1085">Main_Log_Status(Main_Log[[#This Row],[Carrier]],Main_Log[[#This Row],[Net Weight]])</f>
        <v/>
      </c>
      <c r="O1085" s="30"/>
      <c r="P108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85" s="30"/>
      <c r="R1085" s="30" t="str" cm="1">
        <f t="array" ref="R1085">Main_Log_Ref(Main_Log[[#This Row],[Carrier]])</f>
        <v/>
      </c>
    </row>
    <row r="1086" spans="1:18" ht="29.85" customHeight="1" x14ac:dyDescent="0.45">
      <c r="A1086" s="30">
        <v>94</v>
      </c>
      <c r="B1086" s="30"/>
      <c r="C1086" s="30"/>
      <c r="D1086" s="30"/>
      <c r="E1086" s="30"/>
      <c r="F1086" s="30"/>
      <c r="G1086" s="30"/>
      <c r="H1086" s="30"/>
      <c r="I1086" s="30"/>
      <c r="J1086" s="30"/>
      <c r="K1086" s="30"/>
      <c r="L1086" s="30"/>
      <c r="M1086" s="30"/>
      <c r="N1086" s="30" t="str" cm="1">
        <f t="array" ref="N1086">Main_Log_Status(Main_Log[[#This Row],[Carrier]],Main_Log[[#This Row],[Net Weight]])</f>
        <v/>
      </c>
      <c r="O1086" s="30"/>
      <c r="P108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86" s="30"/>
      <c r="R1086" s="30" t="str" cm="1">
        <f t="array" ref="R1086">Main_Log_Ref(Main_Log[[#This Row],[Carrier]])</f>
        <v/>
      </c>
    </row>
    <row r="1087" spans="1:18" ht="29.85" customHeight="1" x14ac:dyDescent="0.45">
      <c r="A1087" s="30">
        <v>95</v>
      </c>
      <c r="B1087" s="30"/>
      <c r="C1087" s="30"/>
      <c r="D1087" s="30"/>
      <c r="E1087" s="30"/>
      <c r="F1087" s="30"/>
      <c r="G1087" s="30"/>
      <c r="H1087" s="30"/>
      <c r="I1087" s="30"/>
      <c r="J1087" s="30"/>
      <c r="K1087" s="30"/>
      <c r="L1087" s="30"/>
      <c r="M1087" s="30"/>
      <c r="N1087" s="30" t="str" cm="1">
        <f t="array" ref="N1087">Main_Log_Status(Main_Log[[#This Row],[Carrier]],Main_Log[[#This Row],[Net Weight]])</f>
        <v/>
      </c>
      <c r="O1087" s="30"/>
      <c r="P108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87" s="30"/>
      <c r="R1087" s="30" t="str" cm="1">
        <f t="array" ref="R1087">Main_Log_Ref(Main_Log[[#This Row],[Carrier]])</f>
        <v/>
      </c>
    </row>
    <row r="1088" spans="1:18" ht="29.85" customHeight="1" x14ac:dyDescent="0.45">
      <c r="A1088" s="30">
        <v>96</v>
      </c>
      <c r="B1088" s="30"/>
      <c r="C1088" s="30"/>
      <c r="D1088" s="30"/>
      <c r="E1088" s="30"/>
      <c r="F1088" s="30"/>
      <c r="G1088" s="30"/>
      <c r="H1088" s="30"/>
      <c r="I1088" s="30"/>
      <c r="J1088" s="30"/>
      <c r="K1088" s="30"/>
      <c r="L1088" s="30"/>
      <c r="M1088" s="30"/>
      <c r="N1088" s="30" t="str" cm="1">
        <f t="array" ref="N1088">Main_Log_Status(Main_Log[[#This Row],[Carrier]],Main_Log[[#This Row],[Net Weight]])</f>
        <v/>
      </c>
      <c r="O1088" s="30"/>
      <c r="P108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88" s="30"/>
      <c r="R1088" s="30" t="str" cm="1">
        <f t="array" ref="R1088">Main_Log_Ref(Main_Log[[#This Row],[Carrier]])</f>
        <v/>
      </c>
    </row>
    <row r="1089" spans="1:18" ht="29.85" customHeight="1" x14ac:dyDescent="0.45">
      <c r="A1089" s="30">
        <v>97</v>
      </c>
      <c r="B1089" s="30"/>
      <c r="C1089" s="30"/>
      <c r="D1089" s="30"/>
      <c r="E1089" s="30"/>
      <c r="F1089" s="30"/>
      <c r="G1089" s="30"/>
      <c r="H1089" s="30"/>
      <c r="I1089" s="30"/>
      <c r="J1089" s="30"/>
      <c r="K1089" s="30"/>
      <c r="L1089" s="30"/>
      <c r="M1089" s="30"/>
      <c r="N1089" s="30" t="str" cm="1">
        <f t="array" ref="N1089">Main_Log_Status(Main_Log[[#This Row],[Carrier]],Main_Log[[#This Row],[Net Weight]])</f>
        <v/>
      </c>
      <c r="O1089" s="30"/>
      <c r="P108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89" s="30"/>
      <c r="R1089" s="30" t="str" cm="1">
        <f t="array" ref="R1089">Main_Log_Ref(Main_Log[[#This Row],[Carrier]])</f>
        <v/>
      </c>
    </row>
    <row r="1090" spans="1:18" ht="29.85" customHeight="1" x14ac:dyDescent="0.45">
      <c r="A1090" s="30">
        <v>98</v>
      </c>
      <c r="B1090" s="30"/>
      <c r="C1090" s="30"/>
      <c r="D1090" s="30"/>
      <c r="E1090" s="30"/>
      <c r="F1090" s="30"/>
      <c r="G1090" s="30"/>
      <c r="H1090" s="30"/>
      <c r="I1090" s="30"/>
      <c r="J1090" s="30"/>
      <c r="K1090" s="30"/>
      <c r="L1090" s="30"/>
      <c r="M1090" s="30"/>
      <c r="N1090" s="30" t="str" cm="1">
        <f t="array" ref="N1090">Main_Log_Status(Main_Log[[#This Row],[Carrier]],Main_Log[[#This Row],[Net Weight]])</f>
        <v/>
      </c>
      <c r="O1090" s="30"/>
      <c r="P109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90" s="30"/>
      <c r="R1090" s="30" t="str" cm="1">
        <f t="array" ref="R1090">Main_Log_Ref(Main_Log[[#This Row],[Carrier]])</f>
        <v/>
      </c>
    </row>
    <row r="1091" spans="1:18" ht="29.85" customHeight="1" x14ac:dyDescent="0.45">
      <c r="A1091" s="30">
        <v>99</v>
      </c>
      <c r="B1091" s="30"/>
      <c r="C1091" s="30"/>
      <c r="D1091" s="30"/>
      <c r="E1091" s="30"/>
      <c r="F1091" s="30"/>
      <c r="G1091" s="30"/>
      <c r="H1091" s="30"/>
      <c r="I1091" s="30"/>
      <c r="J1091" s="30"/>
      <c r="K1091" s="30"/>
      <c r="L1091" s="30"/>
      <c r="M1091" s="30"/>
      <c r="N1091" s="30" t="str" cm="1">
        <f t="array" ref="N1091">Main_Log_Status(Main_Log[[#This Row],[Carrier]],Main_Log[[#This Row],[Net Weight]])</f>
        <v/>
      </c>
      <c r="O1091" s="30"/>
      <c r="P109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91" s="30"/>
      <c r="R1091" s="30" t="str" cm="1">
        <f t="array" ref="R1091">Main_Log_Ref(Main_Log[[#This Row],[Carrier]])</f>
        <v/>
      </c>
    </row>
    <row r="1092" spans="1:18" ht="29.85" customHeight="1" x14ac:dyDescent="0.45">
      <c r="A1092" s="30">
        <v>1</v>
      </c>
      <c r="B1092" s="30"/>
      <c r="C1092" s="30"/>
      <c r="D1092" s="30"/>
      <c r="E1092" s="30"/>
      <c r="F1092" s="30"/>
      <c r="G1092" s="30"/>
      <c r="H1092" s="30"/>
      <c r="I1092" s="30"/>
      <c r="J1092" s="30"/>
      <c r="K1092" s="30"/>
      <c r="L1092" s="30"/>
      <c r="M1092" s="30"/>
      <c r="N1092" s="30" t="str" cm="1">
        <f t="array" ref="N1092">Main_Log_Status(Main_Log[[#This Row],[Carrier]],Main_Log[[#This Row],[Net Weight]])</f>
        <v/>
      </c>
      <c r="O1092" s="30"/>
      <c r="P109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92" s="30"/>
      <c r="R1092" s="30" t="str" cm="1">
        <f t="array" ref="R1092">Main_Log_Ref(Main_Log[[#This Row],[Carrier]])</f>
        <v/>
      </c>
    </row>
    <row r="1093" spans="1:18" ht="29.85" customHeight="1" x14ac:dyDescent="0.45">
      <c r="A1093" s="30">
        <v>2</v>
      </c>
      <c r="B1093" s="30"/>
      <c r="C1093" s="30"/>
      <c r="D1093" s="30"/>
      <c r="E1093" s="30"/>
      <c r="F1093" s="30"/>
      <c r="G1093" s="30"/>
      <c r="H1093" s="30"/>
      <c r="I1093" s="30"/>
      <c r="J1093" s="30"/>
      <c r="K1093" s="30"/>
      <c r="L1093" s="30"/>
      <c r="M1093" s="30"/>
      <c r="N1093" s="30" t="str" cm="1">
        <f t="array" ref="N1093">Main_Log_Status(Main_Log[[#This Row],[Carrier]],Main_Log[[#This Row],[Net Weight]])</f>
        <v/>
      </c>
      <c r="O1093" s="30"/>
      <c r="P109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93" s="30"/>
      <c r="R1093" s="30" t="str" cm="1">
        <f t="array" ref="R1093">Main_Log_Ref(Main_Log[[#This Row],[Carrier]])</f>
        <v/>
      </c>
    </row>
    <row r="1094" spans="1:18" ht="29.85" customHeight="1" x14ac:dyDescent="0.45">
      <c r="A1094" s="30">
        <v>3</v>
      </c>
      <c r="B1094" s="30"/>
      <c r="C1094" s="30"/>
      <c r="D1094" s="30"/>
      <c r="E1094" s="30"/>
      <c r="F1094" s="30"/>
      <c r="G1094" s="30"/>
      <c r="H1094" s="30"/>
      <c r="I1094" s="30"/>
      <c r="J1094" s="30"/>
      <c r="K1094" s="30"/>
      <c r="L1094" s="30"/>
      <c r="M1094" s="30"/>
      <c r="N1094" s="30" t="str" cm="1">
        <f t="array" ref="N1094">Main_Log_Status(Main_Log[[#This Row],[Carrier]],Main_Log[[#This Row],[Net Weight]])</f>
        <v/>
      </c>
      <c r="O1094" s="30"/>
      <c r="P109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94" s="30"/>
      <c r="R1094" s="30" t="str" cm="1">
        <f t="array" ref="R1094">Main_Log_Ref(Main_Log[[#This Row],[Carrier]])</f>
        <v/>
      </c>
    </row>
    <row r="1095" spans="1:18" ht="29.85" customHeight="1" x14ac:dyDescent="0.45">
      <c r="A1095" s="30">
        <v>4</v>
      </c>
      <c r="B1095" s="30"/>
      <c r="C1095" s="30"/>
      <c r="D1095" s="30"/>
      <c r="E1095" s="30"/>
      <c r="F1095" s="30"/>
      <c r="G1095" s="30"/>
      <c r="H1095" s="30"/>
      <c r="I1095" s="30"/>
      <c r="J1095" s="30"/>
      <c r="K1095" s="30"/>
      <c r="L1095" s="30"/>
      <c r="M1095" s="30"/>
      <c r="N1095" s="30" t="str" cm="1">
        <f t="array" ref="N1095">Main_Log_Status(Main_Log[[#This Row],[Carrier]],Main_Log[[#This Row],[Net Weight]])</f>
        <v/>
      </c>
      <c r="O1095" s="30"/>
      <c r="P109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95" s="30"/>
      <c r="R1095" s="30" t="str" cm="1">
        <f t="array" ref="R1095">Main_Log_Ref(Main_Log[[#This Row],[Carrier]])</f>
        <v/>
      </c>
    </row>
    <row r="1096" spans="1:18" ht="29.85" customHeight="1" x14ac:dyDescent="0.45">
      <c r="A1096" s="30">
        <v>5</v>
      </c>
      <c r="B1096" s="30"/>
      <c r="C1096" s="30"/>
      <c r="D1096" s="30"/>
      <c r="E1096" s="30"/>
      <c r="F1096" s="30"/>
      <c r="G1096" s="30"/>
      <c r="H1096" s="30"/>
      <c r="I1096" s="30"/>
      <c r="J1096" s="30"/>
      <c r="K1096" s="30"/>
      <c r="L1096" s="30"/>
      <c r="M1096" s="30"/>
      <c r="N1096" s="30" t="str" cm="1">
        <f t="array" ref="N1096">Main_Log_Status(Main_Log[[#This Row],[Carrier]],Main_Log[[#This Row],[Net Weight]])</f>
        <v/>
      </c>
      <c r="O1096" s="30"/>
      <c r="P109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96" s="30"/>
      <c r="R1096" s="30" t="str" cm="1">
        <f t="array" ref="R1096">Main_Log_Ref(Main_Log[[#This Row],[Carrier]])</f>
        <v/>
      </c>
    </row>
    <row r="1097" spans="1:18" ht="29.85" customHeight="1" x14ac:dyDescent="0.45">
      <c r="A1097" s="30">
        <v>6</v>
      </c>
      <c r="B1097" s="30"/>
      <c r="C1097" s="30"/>
      <c r="D1097" s="30"/>
      <c r="E1097" s="30"/>
      <c r="F1097" s="30"/>
      <c r="G1097" s="30"/>
      <c r="H1097" s="30"/>
      <c r="I1097" s="30"/>
      <c r="J1097" s="30"/>
      <c r="K1097" s="30"/>
      <c r="L1097" s="30"/>
      <c r="M1097" s="30"/>
      <c r="N1097" s="30" t="str" cm="1">
        <f t="array" ref="N1097">Main_Log_Status(Main_Log[[#This Row],[Carrier]],Main_Log[[#This Row],[Net Weight]])</f>
        <v/>
      </c>
      <c r="O1097" s="30"/>
      <c r="P109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97" s="30"/>
      <c r="R1097" s="30" t="str" cm="1">
        <f t="array" ref="R1097">Main_Log_Ref(Main_Log[[#This Row],[Carrier]])</f>
        <v/>
      </c>
    </row>
    <row r="1098" spans="1:18" ht="29.85" customHeight="1" x14ac:dyDescent="0.45">
      <c r="A1098" s="30">
        <v>7</v>
      </c>
      <c r="B1098" s="30"/>
      <c r="C1098" s="30"/>
      <c r="D1098" s="30"/>
      <c r="E1098" s="30"/>
      <c r="F1098" s="30"/>
      <c r="G1098" s="30"/>
      <c r="H1098" s="30"/>
      <c r="I1098" s="30"/>
      <c r="J1098" s="30"/>
      <c r="K1098" s="30"/>
      <c r="L1098" s="30"/>
      <c r="M1098" s="30"/>
      <c r="N1098" s="30" t="str" cm="1">
        <f t="array" ref="N1098">Main_Log_Status(Main_Log[[#This Row],[Carrier]],Main_Log[[#This Row],[Net Weight]])</f>
        <v/>
      </c>
      <c r="O1098" s="30"/>
      <c r="P109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98" s="30"/>
      <c r="R1098" s="30" t="str" cm="1">
        <f t="array" ref="R1098">Main_Log_Ref(Main_Log[[#This Row],[Carrier]])</f>
        <v/>
      </c>
    </row>
    <row r="1099" spans="1:18" ht="29.85" customHeight="1" x14ac:dyDescent="0.45">
      <c r="A1099" s="30">
        <v>8</v>
      </c>
      <c r="B1099" s="30"/>
      <c r="C1099" s="30"/>
      <c r="D1099" s="30"/>
      <c r="E1099" s="30"/>
      <c r="F1099" s="30"/>
      <c r="G1099" s="30"/>
      <c r="H1099" s="30"/>
      <c r="I1099" s="30"/>
      <c r="J1099" s="30"/>
      <c r="K1099" s="30"/>
      <c r="L1099" s="30"/>
      <c r="M1099" s="30"/>
      <c r="N1099" s="30" t="str" cm="1">
        <f t="array" ref="N1099">Main_Log_Status(Main_Log[[#This Row],[Carrier]],Main_Log[[#This Row],[Net Weight]])</f>
        <v/>
      </c>
      <c r="O1099" s="30"/>
      <c r="P109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099" s="30"/>
      <c r="R1099" s="30" t="str" cm="1">
        <f t="array" ref="R1099">Main_Log_Ref(Main_Log[[#This Row],[Carrier]])</f>
        <v/>
      </c>
    </row>
    <row r="1100" spans="1:18" ht="29.85" customHeight="1" x14ac:dyDescent="0.45">
      <c r="A1100" s="30">
        <v>9</v>
      </c>
      <c r="B1100" s="30"/>
      <c r="C1100" s="30"/>
      <c r="D1100" s="30"/>
      <c r="E1100" s="30"/>
      <c r="F1100" s="30"/>
      <c r="G1100" s="30"/>
      <c r="H1100" s="30"/>
      <c r="I1100" s="30"/>
      <c r="J1100" s="30"/>
      <c r="K1100" s="30"/>
      <c r="L1100" s="30"/>
      <c r="M1100" s="30"/>
      <c r="N1100" s="30" t="str" cm="1">
        <f t="array" ref="N1100">Main_Log_Status(Main_Log[[#This Row],[Carrier]],Main_Log[[#This Row],[Net Weight]])</f>
        <v/>
      </c>
      <c r="O1100" s="30"/>
      <c r="P110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00" s="30"/>
      <c r="R1100" s="30" t="str" cm="1">
        <f t="array" ref="R1100">Main_Log_Ref(Main_Log[[#This Row],[Carrier]])</f>
        <v/>
      </c>
    </row>
    <row r="1101" spans="1:18" ht="29.85" customHeight="1" x14ac:dyDescent="0.45">
      <c r="A1101" s="30">
        <v>10</v>
      </c>
      <c r="B1101" s="30"/>
      <c r="C1101" s="30"/>
      <c r="D1101" s="30"/>
      <c r="E1101" s="30"/>
      <c r="F1101" s="30"/>
      <c r="G1101" s="30"/>
      <c r="H1101" s="30"/>
      <c r="I1101" s="30"/>
      <c r="J1101" s="30"/>
      <c r="K1101" s="30"/>
      <c r="L1101" s="30"/>
      <c r="M1101" s="30"/>
      <c r="N1101" s="30" t="str" cm="1">
        <f t="array" ref="N1101">Main_Log_Status(Main_Log[[#This Row],[Carrier]],Main_Log[[#This Row],[Net Weight]])</f>
        <v/>
      </c>
      <c r="O1101" s="30"/>
      <c r="P110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01" s="30"/>
      <c r="R1101" s="30" t="str" cm="1">
        <f t="array" ref="R1101">Main_Log_Ref(Main_Log[[#This Row],[Carrier]])</f>
        <v/>
      </c>
    </row>
    <row r="1102" spans="1:18" ht="29.85" customHeight="1" x14ac:dyDescent="0.45">
      <c r="A1102" s="30">
        <v>11</v>
      </c>
      <c r="B1102" s="30"/>
      <c r="C1102" s="30"/>
      <c r="D1102" s="30"/>
      <c r="E1102" s="30"/>
      <c r="F1102" s="30"/>
      <c r="G1102" s="30"/>
      <c r="H1102" s="30"/>
      <c r="I1102" s="30"/>
      <c r="J1102" s="30"/>
      <c r="K1102" s="30"/>
      <c r="L1102" s="30"/>
      <c r="M1102" s="30"/>
      <c r="N1102" s="30" t="str" cm="1">
        <f t="array" ref="N1102">Main_Log_Status(Main_Log[[#This Row],[Carrier]],Main_Log[[#This Row],[Net Weight]])</f>
        <v/>
      </c>
      <c r="O1102" s="30"/>
      <c r="P110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02" s="30"/>
      <c r="R1102" s="30" t="str" cm="1">
        <f t="array" ref="R1102">Main_Log_Ref(Main_Log[[#This Row],[Carrier]])</f>
        <v/>
      </c>
    </row>
    <row r="1103" spans="1:18" ht="29.85" customHeight="1" x14ac:dyDescent="0.45">
      <c r="A1103" s="30">
        <v>12</v>
      </c>
      <c r="B1103" s="30"/>
      <c r="C1103" s="30"/>
      <c r="D1103" s="30"/>
      <c r="E1103" s="30"/>
      <c r="F1103" s="30"/>
      <c r="G1103" s="30"/>
      <c r="H1103" s="30"/>
      <c r="I1103" s="30"/>
      <c r="J1103" s="30"/>
      <c r="K1103" s="30"/>
      <c r="L1103" s="30"/>
      <c r="M1103" s="30"/>
      <c r="N1103" s="30" t="str" cm="1">
        <f t="array" ref="N1103">Main_Log_Status(Main_Log[[#This Row],[Carrier]],Main_Log[[#This Row],[Net Weight]])</f>
        <v/>
      </c>
      <c r="O1103" s="30"/>
      <c r="P110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03" s="30"/>
      <c r="R1103" s="30" t="str" cm="1">
        <f t="array" ref="R1103">Main_Log_Ref(Main_Log[[#This Row],[Carrier]])</f>
        <v/>
      </c>
    </row>
    <row r="1104" spans="1:18" ht="29.85" customHeight="1" x14ac:dyDescent="0.45">
      <c r="A1104" s="30">
        <v>13</v>
      </c>
      <c r="B1104" s="30"/>
      <c r="C1104" s="30"/>
      <c r="D1104" s="30"/>
      <c r="E1104" s="30"/>
      <c r="F1104" s="30"/>
      <c r="G1104" s="30"/>
      <c r="H1104" s="30"/>
      <c r="I1104" s="30"/>
      <c r="J1104" s="30"/>
      <c r="K1104" s="30"/>
      <c r="L1104" s="30"/>
      <c r="M1104" s="30"/>
      <c r="N1104" s="30" t="str" cm="1">
        <f t="array" ref="N1104">Main_Log_Status(Main_Log[[#This Row],[Carrier]],Main_Log[[#This Row],[Net Weight]])</f>
        <v/>
      </c>
      <c r="O1104" s="30"/>
      <c r="P110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04" s="30"/>
      <c r="R1104" s="30" t="str" cm="1">
        <f t="array" ref="R1104">Main_Log_Ref(Main_Log[[#This Row],[Carrier]])</f>
        <v/>
      </c>
    </row>
    <row r="1105" spans="1:18" ht="29.85" customHeight="1" x14ac:dyDescent="0.45">
      <c r="A1105" s="30">
        <v>14</v>
      </c>
      <c r="B1105" s="30"/>
      <c r="C1105" s="30"/>
      <c r="D1105" s="30"/>
      <c r="E1105" s="30"/>
      <c r="F1105" s="30"/>
      <c r="G1105" s="30"/>
      <c r="H1105" s="30"/>
      <c r="I1105" s="30"/>
      <c r="J1105" s="30"/>
      <c r="K1105" s="30"/>
      <c r="L1105" s="30"/>
      <c r="M1105" s="30"/>
      <c r="N1105" s="30" t="str" cm="1">
        <f t="array" ref="N1105">Main_Log_Status(Main_Log[[#This Row],[Carrier]],Main_Log[[#This Row],[Net Weight]])</f>
        <v/>
      </c>
      <c r="O1105" s="30"/>
      <c r="P110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05" s="30"/>
      <c r="R1105" s="30" t="str" cm="1">
        <f t="array" ref="R1105">Main_Log_Ref(Main_Log[[#This Row],[Carrier]])</f>
        <v/>
      </c>
    </row>
    <row r="1106" spans="1:18" ht="29.85" customHeight="1" x14ac:dyDescent="0.45">
      <c r="A1106" s="30">
        <v>15</v>
      </c>
      <c r="B1106" s="30"/>
      <c r="C1106" s="30"/>
      <c r="D1106" s="30"/>
      <c r="E1106" s="30"/>
      <c r="F1106" s="30"/>
      <c r="G1106" s="30"/>
      <c r="H1106" s="30"/>
      <c r="I1106" s="30"/>
      <c r="J1106" s="30"/>
      <c r="K1106" s="30"/>
      <c r="L1106" s="30"/>
      <c r="M1106" s="30"/>
      <c r="N1106" s="30" t="str" cm="1">
        <f t="array" ref="N1106">Main_Log_Status(Main_Log[[#This Row],[Carrier]],Main_Log[[#This Row],[Net Weight]])</f>
        <v/>
      </c>
      <c r="O1106" s="30"/>
      <c r="P110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06" s="30"/>
      <c r="R1106" s="30" t="str" cm="1">
        <f t="array" ref="R1106">Main_Log_Ref(Main_Log[[#This Row],[Carrier]])</f>
        <v/>
      </c>
    </row>
    <row r="1107" spans="1:18" ht="29.85" customHeight="1" x14ac:dyDescent="0.45">
      <c r="A1107" s="30">
        <v>16</v>
      </c>
      <c r="B1107" s="30"/>
      <c r="C1107" s="30"/>
      <c r="D1107" s="30"/>
      <c r="E1107" s="30"/>
      <c r="F1107" s="30"/>
      <c r="G1107" s="30"/>
      <c r="H1107" s="30"/>
      <c r="I1107" s="30"/>
      <c r="J1107" s="30"/>
      <c r="K1107" s="30"/>
      <c r="L1107" s="30"/>
      <c r="M1107" s="30"/>
      <c r="N1107" s="30" t="str" cm="1">
        <f t="array" ref="N1107">Main_Log_Status(Main_Log[[#This Row],[Carrier]],Main_Log[[#This Row],[Net Weight]])</f>
        <v/>
      </c>
      <c r="O1107" s="30"/>
      <c r="P110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07" s="30"/>
      <c r="R1107" s="30" t="str" cm="1">
        <f t="array" ref="R1107">Main_Log_Ref(Main_Log[[#This Row],[Carrier]])</f>
        <v/>
      </c>
    </row>
    <row r="1108" spans="1:18" ht="29.85" customHeight="1" x14ac:dyDescent="0.45">
      <c r="A1108" s="30">
        <v>17</v>
      </c>
      <c r="B1108" s="30"/>
      <c r="C1108" s="30"/>
      <c r="D1108" s="30"/>
      <c r="E1108" s="30"/>
      <c r="F1108" s="30"/>
      <c r="G1108" s="30"/>
      <c r="H1108" s="30"/>
      <c r="I1108" s="30"/>
      <c r="J1108" s="30"/>
      <c r="K1108" s="30"/>
      <c r="L1108" s="30"/>
      <c r="M1108" s="30"/>
      <c r="N1108" s="30" t="str" cm="1">
        <f t="array" ref="N1108">Main_Log_Status(Main_Log[[#This Row],[Carrier]],Main_Log[[#This Row],[Net Weight]])</f>
        <v/>
      </c>
      <c r="O1108" s="30"/>
      <c r="P110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08" s="30"/>
      <c r="R1108" s="30" t="str" cm="1">
        <f t="array" ref="R1108">Main_Log_Ref(Main_Log[[#This Row],[Carrier]])</f>
        <v/>
      </c>
    </row>
    <row r="1109" spans="1:18" ht="29.85" customHeight="1" x14ac:dyDescent="0.45">
      <c r="A1109" s="30">
        <v>18</v>
      </c>
      <c r="B1109" s="30"/>
      <c r="C1109" s="30"/>
      <c r="D1109" s="30"/>
      <c r="E1109" s="30"/>
      <c r="F1109" s="30"/>
      <c r="G1109" s="30"/>
      <c r="H1109" s="30"/>
      <c r="I1109" s="30"/>
      <c r="J1109" s="30"/>
      <c r="K1109" s="30"/>
      <c r="L1109" s="30"/>
      <c r="M1109" s="30"/>
      <c r="N1109" s="30" t="str" cm="1">
        <f t="array" ref="N1109">Main_Log_Status(Main_Log[[#This Row],[Carrier]],Main_Log[[#This Row],[Net Weight]])</f>
        <v/>
      </c>
      <c r="O1109" s="30"/>
      <c r="P110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09" s="30"/>
      <c r="R1109" s="30" t="str" cm="1">
        <f t="array" ref="R1109">Main_Log_Ref(Main_Log[[#This Row],[Carrier]])</f>
        <v/>
      </c>
    </row>
    <row r="1110" spans="1:18" ht="29.85" customHeight="1" x14ac:dyDescent="0.45">
      <c r="A1110" s="30">
        <v>19</v>
      </c>
      <c r="B1110" s="30"/>
      <c r="C1110" s="30"/>
      <c r="D1110" s="30"/>
      <c r="E1110" s="30"/>
      <c r="F1110" s="30"/>
      <c r="G1110" s="30"/>
      <c r="H1110" s="30"/>
      <c r="I1110" s="30"/>
      <c r="J1110" s="30"/>
      <c r="K1110" s="30"/>
      <c r="L1110" s="30"/>
      <c r="M1110" s="30"/>
      <c r="N1110" s="30" t="str" cm="1">
        <f t="array" ref="N1110">Main_Log_Status(Main_Log[[#This Row],[Carrier]],Main_Log[[#This Row],[Net Weight]])</f>
        <v/>
      </c>
      <c r="O1110" s="30"/>
      <c r="P111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10" s="30"/>
      <c r="R1110" s="30" t="str" cm="1">
        <f t="array" ref="R1110">Main_Log_Ref(Main_Log[[#This Row],[Carrier]])</f>
        <v/>
      </c>
    </row>
    <row r="1111" spans="1:18" ht="29.85" customHeight="1" x14ac:dyDescent="0.45">
      <c r="A1111" s="30">
        <v>20</v>
      </c>
      <c r="B1111" s="30"/>
      <c r="C1111" s="30"/>
      <c r="D1111" s="30"/>
      <c r="E1111" s="30"/>
      <c r="F1111" s="30"/>
      <c r="G1111" s="30"/>
      <c r="H1111" s="30"/>
      <c r="I1111" s="30"/>
      <c r="J1111" s="30"/>
      <c r="K1111" s="30"/>
      <c r="L1111" s="30"/>
      <c r="M1111" s="30"/>
      <c r="N1111" s="30" t="str" cm="1">
        <f t="array" ref="N1111">Main_Log_Status(Main_Log[[#This Row],[Carrier]],Main_Log[[#This Row],[Net Weight]])</f>
        <v/>
      </c>
      <c r="O1111" s="30"/>
      <c r="P111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11" s="30"/>
      <c r="R1111" s="30" t="str" cm="1">
        <f t="array" ref="R1111">Main_Log_Ref(Main_Log[[#This Row],[Carrier]])</f>
        <v/>
      </c>
    </row>
    <row r="1112" spans="1:18" ht="29.85" customHeight="1" x14ac:dyDescent="0.45">
      <c r="A1112" s="30">
        <v>21</v>
      </c>
      <c r="B1112" s="30"/>
      <c r="C1112" s="30"/>
      <c r="D1112" s="30"/>
      <c r="E1112" s="30"/>
      <c r="F1112" s="30"/>
      <c r="G1112" s="30"/>
      <c r="H1112" s="30"/>
      <c r="I1112" s="30"/>
      <c r="J1112" s="30"/>
      <c r="K1112" s="30"/>
      <c r="L1112" s="30"/>
      <c r="M1112" s="30"/>
      <c r="N1112" s="30" t="str" cm="1">
        <f t="array" ref="N1112">Main_Log_Status(Main_Log[[#This Row],[Carrier]],Main_Log[[#This Row],[Net Weight]])</f>
        <v/>
      </c>
      <c r="O1112" s="30"/>
      <c r="P111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12" s="30"/>
      <c r="R1112" s="30" t="str" cm="1">
        <f t="array" ref="R1112">Main_Log_Ref(Main_Log[[#This Row],[Carrier]])</f>
        <v/>
      </c>
    </row>
    <row r="1113" spans="1:18" ht="29.85" customHeight="1" x14ac:dyDescent="0.45">
      <c r="A1113" s="30">
        <v>22</v>
      </c>
      <c r="B1113" s="30"/>
      <c r="C1113" s="30"/>
      <c r="D1113" s="30"/>
      <c r="E1113" s="30"/>
      <c r="F1113" s="30"/>
      <c r="G1113" s="30"/>
      <c r="H1113" s="30"/>
      <c r="I1113" s="30"/>
      <c r="J1113" s="30"/>
      <c r="K1113" s="30"/>
      <c r="L1113" s="30"/>
      <c r="M1113" s="30"/>
      <c r="N1113" s="30" t="str" cm="1">
        <f t="array" ref="N1113">Main_Log_Status(Main_Log[[#This Row],[Carrier]],Main_Log[[#This Row],[Net Weight]])</f>
        <v/>
      </c>
      <c r="O1113" s="30"/>
      <c r="P111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13" s="30"/>
      <c r="R1113" s="30" t="str" cm="1">
        <f t="array" ref="R1113">Main_Log_Ref(Main_Log[[#This Row],[Carrier]])</f>
        <v/>
      </c>
    </row>
    <row r="1114" spans="1:18" ht="29.85" customHeight="1" x14ac:dyDescent="0.45">
      <c r="A1114" s="30">
        <v>23</v>
      </c>
      <c r="B1114" s="30"/>
      <c r="C1114" s="30"/>
      <c r="D1114" s="30"/>
      <c r="E1114" s="30"/>
      <c r="F1114" s="30"/>
      <c r="G1114" s="30"/>
      <c r="H1114" s="30"/>
      <c r="I1114" s="30"/>
      <c r="J1114" s="30"/>
      <c r="K1114" s="30"/>
      <c r="L1114" s="30"/>
      <c r="M1114" s="30"/>
      <c r="N1114" s="30" t="str" cm="1">
        <f t="array" ref="N1114">Main_Log_Status(Main_Log[[#This Row],[Carrier]],Main_Log[[#This Row],[Net Weight]])</f>
        <v/>
      </c>
      <c r="O1114" s="30"/>
      <c r="P111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14" s="30"/>
      <c r="R1114" s="30" t="str" cm="1">
        <f t="array" ref="R1114">Main_Log_Ref(Main_Log[[#This Row],[Carrier]])</f>
        <v/>
      </c>
    </row>
    <row r="1115" spans="1:18" ht="29.85" customHeight="1" x14ac:dyDescent="0.45">
      <c r="A1115" s="30">
        <v>24</v>
      </c>
      <c r="B1115" s="30"/>
      <c r="C1115" s="30"/>
      <c r="D1115" s="30"/>
      <c r="E1115" s="30"/>
      <c r="F1115" s="30"/>
      <c r="G1115" s="30"/>
      <c r="H1115" s="30"/>
      <c r="I1115" s="30"/>
      <c r="J1115" s="30"/>
      <c r="K1115" s="30"/>
      <c r="L1115" s="30"/>
      <c r="M1115" s="30"/>
      <c r="N1115" s="30" t="str" cm="1">
        <f t="array" ref="N1115">Main_Log_Status(Main_Log[[#This Row],[Carrier]],Main_Log[[#This Row],[Net Weight]])</f>
        <v/>
      </c>
      <c r="O1115" s="30"/>
      <c r="P111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15" s="30"/>
      <c r="R1115" s="30" t="str" cm="1">
        <f t="array" ref="R1115">Main_Log_Ref(Main_Log[[#This Row],[Carrier]])</f>
        <v/>
      </c>
    </row>
    <row r="1116" spans="1:18" ht="29.85" customHeight="1" x14ac:dyDescent="0.45">
      <c r="A1116" s="30">
        <v>25</v>
      </c>
      <c r="B1116" s="30"/>
      <c r="C1116" s="30"/>
      <c r="D1116" s="30"/>
      <c r="E1116" s="30"/>
      <c r="F1116" s="30"/>
      <c r="G1116" s="30"/>
      <c r="H1116" s="30"/>
      <c r="I1116" s="30"/>
      <c r="J1116" s="30"/>
      <c r="K1116" s="30"/>
      <c r="L1116" s="30"/>
      <c r="M1116" s="30"/>
      <c r="N1116" s="30" t="str" cm="1">
        <f t="array" ref="N1116">Main_Log_Status(Main_Log[[#This Row],[Carrier]],Main_Log[[#This Row],[Net Weight]])</f>
        <v/>
      </c>
      <c r="O1116" s="30"/>
      <c r="P111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16" s="30"/>
      <c r="R1116" s="30" t="str" cm="1">
        <f t="array" ref="R1116">Main_Log_Ref(Main_Log[[#This Row],[Carrier]])</f>
        <v/>
      </c>
    </row>
    <row r="1117" spans="1:18" ht="29.85" customHeight="1" x14ac:dyDescent="0.45">
      <c r="A1117" s="30">
        <v>26</v>
      </c>
      <c r="B1117" s="30"/>
      <c r="C1117" s="30"/>
      <c r="D1117" s="30"/>
      <c r="E1117" s="30"/>
      <c r="F1117" s="30"/>
      <c r="G1117" s="30"/>
      <c r="H1117" s="30"/>
      <c r="I1117" s="30"/>
      <c r="J1117" s="30"/>
      <c r="K1117" s="30"/>
      <c r="L1117" s="30"/>
      <c r="M1117" s="30"/>
      <c r="N1117" s="30" t="str" cm="1">
        <f t="array" ref="N1117">Main_Log_Status(Main_Log[[#This Row],[Carrier]],Main_Log[[#This Row],[Net Weight]])</f>
        <v/>
      </c>
      <c r="O1117" s="30"/>
      <c r="P111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17" s="30"/>
      <c r="R1117" s="30" t="str" cm="1">
        <f t="array" ref="R1117">Main_Log_Ref(Main_Log[[#This Row],[Carrier]])</f>
        <v/>
      </c>
    </row>
    <row r="1118" spans="1:18" ht="29.85" customHeight="1" x14ac:dyDescent="0.45">
      <c r="A1118" s="30">
        <v>27</v>
      </c>
      <c r="B1118" s="30"/>
      <c r="C1118" s="30"/>
      <c r="D1118" s="30"/>
      <c r="E1118" s="30"/>
      <c r="F1118" s="30"/>
      <c r="G1118" s="30"/>
      <c r="H1118" s="30"/>
      <c r="I1118" s="30"/>
      <c r="J1118" s="30"/>
      <c r="K1118" s="30"/>
      <c r="L1118" s="30"/>
      <c r="M1118" s="30"/>
      <c r="N1118" s="30" t="str" cm="1">
        <f t="array" ref="N1118">Main_Log_Status(Main_Log[[#This Row],[Carrier]],Main_Log[[#This Row],[Net Weight]])</f>
        <v/>
      </c>
      <c r="O1118" s="30"/>
      <c r="P111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18" s="30"/>
      <c r="R1118" s="30" t="str" cm="1">
        <f t="array" ref="R1118">Main_Log_Ref(Main_Log[[#This Row],[Carrier]])</f>
        <v/>
      </c>
    </row>
    <row r="1119" spans="1:18" ht="29.85" customHeight="1" x14ac:dyDescent="0.45">
      <c r="A1119" s="30">
        <v>28</v>
      </c>
      <c r="B1119" s="30"/>
      <c r="C1119" s="30"/>
      <c r="D1119" s="30"/>
      <c r="E1119" s="30"/>
      <c r="F1119" s="30"/>
      <c r="G1119" s="30"/>
      <c r="H1119" s="30"/>
      <c r="I1119" s="30"/>
      <c r="J1119" s="30"/>
      <c r="K1119" s="30"/>
      <c r="L1119" s="30"/>
      <c r="M1119" s="30"/>
      <c r="N1119" s="30" t="str" cm="1">
        <f t="array" ref="N1119">Main_Log_Status(Main_Log[[#This Row],[Carrier]],Main_Log[[#This Row],[Net Weight]])</f>
        <v/>
      </c>
      <c r="O1119" s="30"/>
      <c r="P111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19" s="30"/>
      <c r="R1119" s="30" t="str" cm="1">
        <f t="array" ref="R1119">Main_Log_Ref(Main_Log[[#This Row],[Carrier]])</f>
        <v/>
      </c>
    </row>
    <row r="1120" spans="1:18" ht="29.85" customHeight="1" x14ac:dyDescent="0.45">
      <c r="A1120" s="30">
        <v>29</v>
      </c>
      <c r="B1120" s="30"/>
      <c r="C1120" s="30"/>
      <c r="D1120" s="30"/>
      <c r="E1120" s="30"/>
      <c r="F1120" s="30"/>
      <c r="G1120" s="30"/>
      <c r="H1120" s="30"/>
      <c r="I1120" s="30"/>
      <c r="J1120" s="30"/>
      <c r="K1120" s="30"/>
      <c r="L1120" s="30"/>
      <c r="M1120" s="30"/>
      <c r="N1120" s="30" t="str" cm="1">
        <f t="array" ref="N1120">Main_Log_Status(Main_Log[[#This Row],[Carrier]],Main_Log[[#This Row],[Net Weight]])</f>
        <v/>
      </c>
      <c r="O1120" s="30"/>
      <c r="P112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20" s="30"/>
      <c r="R1120" s="30" t="str" cm="1">
        <f t="array" ref="R1120">Main_Log_Ref(Main_Log[[#This Row],[Carrier]])</f>
        <v/>
      </c>
    </row>
    <row r="1121" spans="1:18" ht="29.85" customHeight="1" x14ac:dyDescent="0.45">
      <c r="A1121" s="30">
        <v>30</v>
      </c>
      <c r="B1121" s="30"/>
      <c r="C1121" s="30"/>
      <c r="D1121" s="30"/>
      <c r="E1121" s="30"/>
      <c r="F1121" s="30"/>
      <c r="G1121" s="30"/>
      <c r="H1121" s="30"/>
      <c r="I1121" s="30"/>
      <c r="J1121" s="30"/>
      <c r="K1121" s="30"/>
      <c r="L1121" s="30"/>
      <c r="M1121" s="30"/>
      <c r="N1121" s="30" t="str" cm="1">
        <f t="array" ref="N1121">Main_Log_Status(Main_Log[[#This Row],[Carrier]],Main_Log[[#This Row],[Net Weight]])</f>
        <v/>
      </c>
      <c r="O1121" s="30"/>
      <c r="P112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21" s="30"/>
      <c r="R1121" s="30" t="str" cm="1">
        <f t="array" ref="R1121">Main_Log_Ref(Main_Log[[#This Row],[Carrier]])</f>
        <v/>
      </c>
    </row>
    <row r="1122" spans="1:18" ht="29.85" customHeight="1" x14ac:dyDescent="0.45">
      <c r="A1122" s="30">
        <v>31</v>
      </c>
      <c r="B1122" s="30"/>
      <c r="C1122" s="30"/>
      <c r="D1122" s="30"/>
      <c r="E1122" s="30"/>
      <c r="F1122" s="30"/>
      <c r="G1122" s="30"/>
      <c r="H1122" s="30"/>
      <c r="I1122" s="30"/>
      <c r="J1122" s="30"/>
      <c r="K1122" s="30"/>
      <c r="L1122" s="30"/>
      <c r="M1122" s="30"/>
      <c r="N1122" s="30" t="str" cm="1">
        <f t="array" ref="N1122">Main_Log_Status(Main_Log[[#This Row],[Carrier]],Main_Log[[#This Row],[Net Weight]])</f>
        <v/>
      </c>
      <c r="O1122" s="30"/>
      <c r="P112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22" s="30"/>
      <c r="R1122" s="30" t="str" cm="1">
        <f t="array" ref="R1122">Main_Log_Ref(Main_Log[[#This Row],[Carrier]])</f>
        <v/>
      </c>
    </row>
    <row r="1123" spans="1:18" ht="29.85" customHeight="1" x14ac:dyDescent="0.45">
      <c r="A1123" s="30">
        <v>32</v>
      </c>
      <c r="B1123" s="30"/>
      <c r="C1123" s="30"/>
      <c r="D1123" s="30"/>
      <c r="E1123" s="30"/>
      <c r="F1123" s="30"/>
      <c r="G1123" s="30"/>
      <c r="H1123" s="30"/>
      <c r="I1123" s="30"/>
      <c r="J1123" s="30"/>
      <c r="K1123" s="30"/>
      <c r="L1123" s="30"/>
      <c r="M1123" s="30"/>
      <c r="N1123" s="30" t="str" cm="1">
        <f t="array" ref="N1123">Main_Log_Status(Main_Log[[#This Row],[Carrier]],Main_Log[[#This Row],[Net Weight]])</f>
        <v/>
      </c>
      <c r="O1123" s="30"/>
      <c r="P112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23" s="30"/>
      <c r="R1123" s="30" t="str" cm="1">
        <f t="array" ref="R1123">Main_Log_Ref(Main_Log[[#This Row],[Carrier]])</f>
        <v/>
      </c>
    </row>
    <row r="1124" spans="1:18" ht="29.85" customHeight="1" x14ac:dyDescent="0.45">
      <c r="A1124" s="30">
        <v>33</v>
      </c>
      <c r="B1124" s="30"/>
      <c r="C1124" s="30"/>
      <c r="D1124" s="30"/>
      <c r="E1124" s="30"/>
      <c r="F1124" s="30"/>
      <c r="G1124" s="30"/>
      <c r="H1124" s="30"/>
      <c r="I1124" s="30"/>
      <c r="J1124" s="30"/>
      <c r="K1124" s="30"/>
      <c r="L1124" s="30"/>
      <c r="M1124" s="30"/>
      <c r="N1124" s="30" t="str" cm="1">
        <f t="array" ref="N1124">Main_Log_Status(Main_Log[[#This Row],[Carrier]],Main_Log[[#This Row],[Net Weight]])</f>
        <v/>
      </c>
      <c r="O1124" s="30"/>
      <c r="P112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24" s="30"/>
      <c r="R1124" s="30" t="str" cm="1">
        <f t="array" ref="R1124">Main_Log_Ref(Main_Log[[#This Row],[Carrier]])</f>
        <v/>
      </c>
    </row>
    <row r="1125" spans="1:18" ht="29.85" customHeight="1" x14ac:dyDescent="0.45">
      <c r="A1125" s="30">
        <v>34</v>
      </c>
      <c r="B1125" s="30"/>
      <c r="C1125" s="30"/>
      <c r="D1125" s="30"/>
      <c r="E1125" s="30"/>
      <c r="F1125" s="30"/>
      <c r="G1125" s="30"/>
      <c r="H1125" s="30"/>
      <c r="I1125" s="30"/>
      <c r="J1125" s="30"/>
      <c r="K1125" s="30"/>
      <c r="L1125" s="30"/>
      <c r="M1125" s="30"/>
      <c r="N1125" s="30" t="str" cm="1">
        <f t="array" ref="N1125">Main_Log_Status(Main_Log[[#This Row],[Carrier]],Main_Log[[#This Row],[Net Weight]])</f>
        <v/>
      </c>
      <c r="O1125" s="30"/>
      <c r="P112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25" s="30"/>
      <c r="R1125" s="30" t="str" cm="1">
        <f t="array" ref="R1125">Main_Log_Ref(Main_Log[[#This Row],[Carrier]])</f>
        <v/>
      </c>
    </row>
    <row r="1126" spans="1:18" ht="29.85" customHeight="1" x14ac:dyDescent="0.45">
      <c r="A1126" s="30">
        <v>35</v>
      </c>
      <c r="B1126" s="30"/>
      <c r="C1126" s="30"/>
      <c r="D1126" s="30"/>
      <c r="E1126" s="30"/>
      <c r="F1126" s="30"/>
      <c r="G1126" s="30"/>
      <c r="H1126" s="30"/>
      <c r="I1126" s="30"/>
      <c r="J1126" s="30"/>
      <c r="K1126" s="30"/>
      <c r="L1126" s="30"/>
      <c r="M1126" s="30"/>
      <c r="N1126" s="30" t="str" cm="1">
        <f t="array" ref="N1126">Main_Log_Status(Main_Log[[#This Row],[Carrier]],Main_Log[[#This Row],[Net Weight]])</f>
        <v/>
      </c>
      <c r="O1126" s="30"/>
      <c r="P112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26" s="30"/>
      <c r="R1126" s="30" t="str" cm="1">
        <f t="array" ref="R1126">Main_Log_Ref(Main_Log[[#This Row],[Carrier]])</f>
        <v/>
      </c>
    </row>
    <row r="1127" spans="1:18" ht="29.85" customHeight="1" x14ac:dyDescent="0.45">
      <c r="A1127" s="30">
        <v>36</v>
      </c>
      <c r="B1127" s="30"/>
      <c r="C1127" s="30"/>
      <c r="D1127" s="30"/>
      <c r="E1127" s="30"/>
      <c r="F1127" s="30"/>
      <c r="G1127" s="30"/>
      <c r="H1127" s="30"/>
      <c r="I1127" s="30"/>
      <c r="J1127" s="30"/>
      <c r="K1127" s="30"/>
      <c r="L1127" s="30"/>
      <c r="M1127" s="30"/>
      <c r="N1127" s="30" t="str" cm="1">
        <f t="array" ref="N1127">Main_Log_Status(Main_Log[[#This Row],[Carrier]],Main_Log[[#This Row],[Net Weight]])</f>
        <v/>
      </c>
      <c r="O1127" s="30"/>
      <c r="P112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27" s="30"/>
      <c r="R1127" s="30" t="str" cm="1">
        <f t="array" ref="R1127">Main_Log_Ref(Main_Log[[#This Row],[Carrier]])</f>
        <v/>
      </c>
    </row>
    <row r="1128" spans="1:18" ht="29.85" customHeight="1" x14ac:dyDescent="0.45">
      <c r="A1128" s="30">
        <v>37</v>
      </c>
      <c r="B1128" s="30"/>
      <c r="C1128" s="30"/>
      <c r="D1128" s="30"/>
      <c r="E1128" s="30"/>
      <c r="F1128" s="30"/>
      <c r="G1128" s="30"/>
      <c r="H1128" s="30"/>
      <c r="I1128" s="30"/>
      <c r="J1128" s="30"/>
      <c r="K1128" s="30"/>
      <c r="L1128" s="30"/>
      <c r="M1128" s="30"/>
      <c r="N1128" s="30" t="str" cm="1">
        <f t="array" ref="N1128">Main_Log_Status(Main_Log[[#This Row],[Carrier]],Main_Log[[#This Row],[Net Weight]])</f>
        <v/>
      </c>
      <c r="O1128" s="30"/>
      <c r="P112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28" s="30"/>
      <c r="R1128" s="30" t="str" cm="1">
        <f t="array" ref="R1128">Main_Log_Ref(Main_Log[[#This Row],[Carrier]])</f>
        <v/>
      </c>
    </row>
    <row r="1129" spans="1:18" ht="29.85" customHeight="1" x14ac:dyDescent="0.45">
      <c r="A1129" s="30">
        <v>38</v>
      </c>
      <c r="B1129" s="30"/>
      <c r="C1129" s="30"/>
      <c r="D1129" s="30"/>
      <c r="E1129" s="30"/>
      <c r="F1129" s="30"/>
      <c r="G1129" s="30"/>
      <c r="H1129" s="30"/>
      <c r="I1129" s="30"/>
      <c r="J1129" s="30"/>
      <c r="K1129" s="30"/>
      <c r="L1129" s="30"/>
      <c r="M1129" s="30"/>
      <c r="N1129" s="30" t="str" cm="1">
        <f t="array" ref="N1129">Main_Log_Status(Main_Log[[#This Row],[Carrier]],Main_Log[[#This Row],[Net Weight]])</f>
        <v/>
      </c>
      <c r="O1129" s="30"/>
      <c r="P112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29" s="30"/>
      <c r="R1129" s="30" t="str" cm="1">
        <f t="array" ref="R1129">Main_Log_Ref(Main_Log[[#This Row],[Carrier]])</f>
        <v/>
      </c>
    </row>
    <row r="1130" spans="1:18" ht="29.85" customHeight="1" x14ac:dyDescent="0.45">
      <c r="A1130" s="30">
        <v>39</v>
      </c>
      <c r="B1130" s="30"/>
      <c r="C1130" s="30"/>
      <c r="D1130" s="30"/>
      <c r="E1130" s="30"/>
      <c r="F1130" s="30"/>
      <c r="G1130" s="30"/>
      <c r="H1130" s="30"/>
      <c r="I1130" s="30"/>
      <c r="J1130" s="30"/>
      <c r="K1130" s="30"/>
      <c r="L1130" s="30"/>
      <c r="M1130" s="30"/>
      <c r="N1130" s="30" t="str" cm="1">
        <f t="array" ref="N1130">Main_Log_Status(Main_Log[[#This Row],[Carrier]],Main_Log[[#This Row],[Net Weight]])</f>
        <v/>
      </c>
      <c r="O1130" s="30"/>
      <c r="P113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30" s="30"/>
      <c r="R1130" s="30" t="str" cm="1">
        <f t="array" ref="R1130">Main_Log_Ref(Main_Log[[#This Row],[Carrier]])</f>
        <v/>
      </c>
    </row>
    <row r="1131" spans="1:18" ht="29.85" customHeight="1" x14ac:dyDescent="0.45">
      <c r="A1131" s="30">
        <v>40</v>
      </c>
      <c r="B1131" s="30"/>
      <c r="C1131" s="30"/>
      <c r="D1131" s="30"/>
      <c r="E1131" s="30"/>
      <c r="F1131" s="30"/>
      <c r="G1131" s="30"/>
      <c r="H1131" s="30"/>
      <c r="I1131" s="30"/>
      <c r="J1131" s="30"/>
      <c r="K1131" s="30"/>
      <c r="L1131" s="30"/>
      <c r="M1131" s="30"/>
      <c r="N1131" s="30" t="str" cm="1">
        <f t="array" ref="N1131">Main_Log_Status(Main_Log[[#This Row],[Carrier]],Main_Log[[#This Row],[Net Weight]])</f>
        <v/>
      </c>
      <c r="O1131" s="30"/>
      <c r="P113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31" s="30"/>
      <c r="R1131" s="30" t="str" cm="1">
        <f t="array" ref="R1131">Main_Log_Ref(Main_Log[[#This Row],[Carrier]])</f>
        <v/>
      </c>
    </row>
    <row r="1132" spans="1:18" ht="29.85" customHeight="1" x14ac:dyDescent="0.45">
      <c r="A1132" s="30">
        <v>41</v>
      </c>
      <c r="B1132" s="30"/>
      <c r="C1132" s="30"/>
      <c r="D1132" s="30"/>
      <c r="E1132" s="30"/>
      <c r="F1132" s="30"/>
      <c r="G1132" s="30"/>
      <c r="H1132" s="30"/>
      <c r="I1132" s="30"/>
      <c r="J1132" s="30"/>
      <c r="K1132" s="30"/>
      <c r="L1132" s="30"/>
      <c r="M1132" s="30"/>
      <c r="N1132" s="30" t="str" cm="1">
        <f t="array" ref="N1132">Main_Log_Status(Main_Log[[#This Row],[Carrier]],Main_Log[[#This Row],[Net Weight]])</f>
        <v/>
      </c>
      <c r="O1132" s="30"/>
      <c r="P113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32" s="30"/>
      <c r="R1132" s="30" t="str" cm="1">
        <f t="array" ref="R1132">Main_Log_Ref(Main_Log[[#This Row],[Carrier]])</f>
        <v/>
      </c>
    </row>
    <row r="1133" spans="1:18" ht="29.85" customHeight="1" x14ac:dyDescent="0.45">
      <c r="A1133" s="30">
        <v>42</v>
      </c>
      <c r="B1133" s="30"/>
      <c r="C1133" s="30"/>
      <c r="D1133" s="30"/>
      <c r="E1133" s="30"/>
      <c r="F1133" s="30"/>
      <c r="G1133" s="30"/>
      <c r="H1133" s="30"/>
      <c r="I1133" s="30"/>
      <c r="J1133" s="30"/>
      <c r="K1133" s="30"/>
      <c r="L1133" s="30"/>
      <c r="M1133" s="30"/>
      <c r="N1133" s="30" t="str" cm="1">
        <f t="array" ref="N1133">Main_Log_Status(Main_Log[[#This Row],[Carrier]],Main_Log[[#This Row],[Net Weight]])</f>
        <v/>
      </c>
      <c r="O1133" s="30"/>
      <c r="P113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33" s="30"/>
      <c r="R1133" s="30" t="str" cm="1">
        <f t="array" ref="R1133">Main_Log_Ref(Main_Log[[#This Row],[Carrier]])</f>
        <v/>
      </c>
    </row>
    <row r="1134" spans="1:18" ht="29.85" customHeight="1" x14ac:dyDescent="0.45">
      <c r="A1134" s="30">
        <v>43</v>
      </c>
      <c r="B1134" s="30"/>
      <c r="C1134" s="30"/>
      <c r="D1134" s="30"/>
      <c r="E1134" s="30"/>
      <c r="F1134" s="30"/>
      <c r="G1134" s="30"/>
      <c r="H1134" s="30"/>
      <c r="I1134" s="30"/>
      <c r="J1134" s="30"/>
      <c r="K1134" s="30"/>
      <c r="L1134" s="30"/>
      <c r="M1134" s="30"/>
      <c r="N1134" s="30" t="str" cm="1">
        <f t="array" ref="N1134">Main_Log_Status(Main_Log[[#This Row],[Carrier]],Main_Log[[#This Row],[Net Weight]])</f>
        <v/>
      </c>
      <c r="O1134" s="30"/>
      <c r="P113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34" s="30"/>
      <c r="R1134" s="30" t="str" cm="1">
        <f t="array" ref="R1134">Main_Log_Ref(Main_Log[[#This Row],[Carrier]])</f>
        <v/>
      </c>
    </row>
    <row r="1135" spans="1:18" ht="29.85" customHeight="1" x14ac:dyDescent="0.45">
      <c r="A1135" s="30">
        <v>44</v>
      </c>
      <c r="B1135" s="30"/>
      <c r="C1135" s="30"/>
      <c r="D1135" s="30"/>
      <c r="E1135" s="30"/>
      <c r="F1135" s="30"/>
      <c r="G1135" s="30"/>
      <c r="H1135" s="30"/>
      <c r="I1135" s="30"/>
      <c r="J1135" s="30"/>
      <c r="K1135" s="30"/>
      <c r="L1135" s="30"/>
      <c r="M1135" s="30"/>
      <c r="N1135" s="30" t="str" cm="1">
        <f t="array" ref="N1135">Main_Log_Status(Main_Log[[#This Row],[Carrier]],Main_Log[[#This Row],[Net Weight]])</f>
        <v/>
      </c>
      <c r="O1135" s="30"/>
      <c r="P113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35" s="30"/>
      <c r="R1135" s="30" t="str" cm="1">
        <f t="array" ref="R1135">Main_Log_Ref(Main_Log[[#This Row],[Carrier]])</f>
        <v/>
      </c>
    </row>
    <row r="1136" spans="1:18" ht="29.85" customHeight="1" x14ac:dyDescent="0.45">
      <c r="A1136" s="30">
        <v>45</v>
      </c>
      <c r="B1136" s="30"/>
      <c r="C1136" s="30"/>
      <c r="D1136" s="30"/>
      <c r="E1136" s="30"/>
      <c r="F1136" s="30"/>
      <c r="G1136" s="30"/>
      <c r="H1136" s="30"/>
      <c r="I1136" s="30"/>
      <c r="J1136" s="30"/>
      <c r="K1136" s="30"/>
      <c r="L1136" s="30"/>
      <c r="M1136" s="30"/>
      <c r="N1136" s="30" t="str" cm="1">
        <f t="array" ref="N1136">Main_Log_Status(Main_Log[[#This Row],[Carrier]],Main_Log[[#This Row],[Net Weight]])</f>
        <v/>
      </c>
      <c r="O1136" s="30"/>
      <c r="P113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36" s="30"/>
      <c r="R1136" s="30" t="str" cm="1">
        <f t="array" ref="R1136">Main_Log_Ref(Main_Log[[#This Row],[Carrier]])</f>
        <v/>
      </c>
    </row>
    <row r="1137" spans="1:18" ht="29.85" customHeight="1" x14ac:dyDescent="0.45">
      <c r="A1137" s="30">
        <v>46</v>
      </c>
      <c r="B1137" s="30"/>
      <c r="C1137" s="30"/>
      <c r="D1137" s="30"/>
      <c r="E1137" s="30"/>
      <c r="F1137" s="30"/>
      <c r="G1137" s="30"/>
      <c r="H1137" s="30"/>
      <c r="I1137" s="30"/>
      <c r="J1137" s="30"/>
      <c r="K1137" s="30"/>
      <c r="L1137" s="30"/>
      <c r="M1137" s="30"/>
      <c r="N1137" s="30" t="str" cm="1">
        <f t="array" ref="N1137">Main_Log_Status(Main_Log[[#This Row],[Carrier]],Main_Log[[#This Row],[Net Weight]])</f>
        <v/>
      </c>
      <c r="O1137" s="30"/>
      <c r="P113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37" s="30"/>
      <c r="R1137" s="30" t="str" cm="1">
        <f t="array" ref="R1137">Main_Log_Ref(Main_Log[[#This Row],[Carrier]])</f>
        <v/>
      </c>
    </row>
    <row r="1138" spans="1:18" ht="29.85" customHeight="1" x14ac:dyDescent="0.45">
      <c r="A1138" s="30">
        <v>47</v>
      </c>
      <c r="B1138" s="30"/>
      <c r="C1138" s="30"/>
      <c r="D1138" s="30"/>
      <c r="E1138" s="30"/>
      <c r="F1138" s="30"/>
      <c r="G1138" s="30"/>
      <c r="H1138" s="30"/>
      <c r="I1138" s="30"/>
      <c r="J1138" s="30"/>
      <c r="K1138" s="30"/>
      <c r="L1138" s="30"/>
      <c r="M1138" s="30"/>
      <c r="N1138" s="30" t="str" cm="1">
        <f t="array" ref="N1138">Main_Log_Status(Main_Log[[#This Row],[Carrier]],Main_Log[[#This Row],[Net Weight]])</f>
        <v/>
      </c>
      <c r="O1138" s="30"/>
      <c r="P113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38" s="30"/>
      <c r="R1138" s="30" t="str" cm="1">
        <f t="array" ref="R1138">Main_Log_Ref(Main_Log[[#This Row],[Carrier]])</f>
        <v/>
      </c>
    </row>
    <row r="1139" spans="1:18" ht="29.85" customHeight="1" x14ac:dyDescent="0.45">
      <c r="A1139" s="30">
        <v>48</v>
      </c>
      <c r="B1139" s="30"/>
      <c r="C1139" s="30"/>
      <c r="D1139" s="30"/>
      <c r="E1139" s="30"/>
      <c r="F1139" s="30"/>
      <c r="G1139" s="30"/>
      <c r="H1139" s="30"/>
      <c r="I1139" s="30"/>
      <c r="J1139" s="30"/>
      <c r="K1139" s="30"/>
      <c r="L1139" s="30"/>
      <c r="M1139" s="30"/>
      <c r="N1139" s="30" t="str" cm="1">
        <f t="array" ref="N1139">Main_Log_Status(Main_Log[[#This Row],[Carrier]],Main_Log[[#This Row],[Net Weight]])</f>
        <v/>
      </c>
      <c r="O1139" s="30"/>
      <c r="P113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39" s="30"/>
      <c r="R1139" s="30" t="str" cm="1">
        <f t="array" ref="R1139">Main_Log_Ref(Main_Log[[#This Row],[Carrier]])</f>
        <v/>
      </c>
    </row>
    <row r="1140" spans="1:18" ht="29.85" customHeight="1" x14ac:dyDescent="0.45">
      <c r="A1140" s="30">
        <v>49</v>
      </c>
      <c r="B1140" s="30"/>
      <c r="C1140" s="30"/>
      <c r="D1140" s="30"/>
      <c r="E1140" s="30"/>
      <c r="F1140" s="30"/>
      <c r="G1140" s="30"/>
      <c r="H1140" s="30"/>
      <c r="I1140" s="30"/>
      <c r="J1140" s="30"/>
      <c r="K1140" s="30"/>
      <c r="L1140" s="30"/>
      <c r="M1140" s="30"/>
      <c r="N1140" s="30" t="str" cm="1">
        <f t="array" ref="N1140">Main_Log_Status(Main_Log[[#This Row],[Carrier]],Main_Log[[#This Row],[Net Weight]])</f>
        <v/>
      </c>
      <c r="O1140" s="30"/>
      <c r="P114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40" s="30"/>
      <c r="R1140" s="30" t="str" cm="1">
        <f t="array" ref="R1140">Main_Log_Ref(Main_Log[[#This Row],[Carrier]])</f>
        <v/>
      </c>
    </row>
    <row r="1141" spans="1:18" ht="29.85" customHeight="1" x14ac:dyDescent="0.45">
      <c r="A1141" s="30">
        <v>50</v>
      </c>
      <c r="B1141" s="30"/>
      <c r="C1141" s="30"/>
      <c r="D1141" s="30"/>
      <c r="E1141" s="30"/>
      <c r="F1141" s="30"/>
      <c r="G1141" s="30"/>
      <c r="H1141" s="30"/>
      <c r="I1141" s="30"/>
      <c r="J1141" s="30"/>
      <c r="K1141" s="30"/>
      <c r="L1141" s="30"/>
      <c r="M1141" s="30"/>
      <c r="N1141" s="30" t="str" cm="1">
        <f t="array" ref="N1141">Main_Log_Status(Main_Log[[#This Row],[Carrier]],Main_Log[[#This Row],[Net Weight]])</f>
        <v/>
      </c>
      <c r="O1141" s="30"/>
      <c r="P114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41" s="30"/>
      <c r="R1141" s="30" t="str" cm="1">
        <f t="array" ref="R1141">Main_Log_Ref(Main_Log[[#This Row],[Carrier]])</f>
        <v/>
      </c>
    </row>
    <row r="1142" spans="1:18" ht="29.85" customHeight="1" x14ac:dyDescent="0.45">
      <c r="A1142" s="30">
        <v>51</v>
      </c>
      <c r="B1142" s="30"/>
      <c r="C1142" s="30"/>
      <c r="D1142" s="30"/>
      <c r="E1142" s="30"/>
      <c r="F1142" s="30"/>
      <c r="G1142" s="30"/>
      <c r="H1142" s="30"/>
      <c r="I1142" s="30"/>
      <c r="J1142" s="30"/>
      <c r="K1142" s="30"/>
      <c r="L1142" s="30"/>
      <c r="M1142" s="30"/>
      <c r="N1142" s="30" t="str" cm="1">
        <f t="array" ref="N1142">Main_Log_Status(Main_Log[[#This Row],[Carrier]],Main_Log[[#This Row],[Net Weight]])</f>
        <v/>
      </c>
      <c r="O1142" s="30"/>
      <c r="P114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42" s="30"/>
      <c r="R1142" s="30" t="str" cm="1">
        <f t="array" ref="R1142">Main_Log_Ref(Main_Log[[#This Row],[Carrier]])</f>
        <v/>
      </c>
    </row>
    <row r="1143" spans="1:18" ht="29.85" customHeight="1" x14ac:dyDescent="0.45">
      <c r="A1143" s="30">
        <v>52</v>
      </c>
      <c r="B1143" s="30"/>
      <c r="C1143" s="30"/>
      <c r="D1143" s="30"/>
      <c r="E1143" s="30"/>
      <c r="F1143" s="30"/>
      <c r="G1143" s="30"/>
      <c r="H1143" s="30"/>
      <c r="I1143" s="30"/>
      <c r="J1143" s="30"/>
      <c r="K1143" s="30"/>
      <c r="L1143" s="30"/>
      <c r="M1143" s="30"/>
      <c r="N1143" s="30" t="str" cm="1">
        <f t="array" ref="N1143">Main_Log_Status(Main_Log[[#This Row],[Carrier]],Main_Log[[#This Row],[Net Weight]])</f>
        <v/>
      </c>
      <c r="O1143" s="30"/>
      <c r="P114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43" s="30"/>
      <c r="R1143" s="30" t="str" cm="1">
        <f t="array" ref="R1143">Main_Log_Ref(Main_Log[[#This Row],[Carrier]])</f>
        <v/>
      </c>
    </row>
    <row r="1144" spans="1:18" ht="29.85" customHeight="1" x14ac:dyDescent="0.45">
      <c r="A1144" s="30">
        <v>53</v>
      </c>
      <c r="B1144" s="30"/>
      <c r="C1144" s="30"/>
      <c r="D1144" s="30"/>
      <c r="E1144" s="30"/>
      <c r="F1144" s="30"/>
      <c r="G1144" s="30"/>
      <c r="H1144" s="30"/>
      <c r="I1144" s="30"/>
      <c r="J1144" s="30"/>
      <c r="K1144" s="30"/>
      <c r="L1144" s="30"/>
      <c r="M1144" s="30"/>
      <c r="N1144" s="30" t="str" cm="1">
        <f t="array" ref="N1144">Main_Log_Status(Main_Log[[#This Row],[Carrier]],Main_Log[[#This Row],[Net Weight]])</f>
        <v/>
      </c>
      <c r="O1144" s="30"/>
      <c r="P114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44" s="30"/>
      <c r="R1144" s="30" t="str" cm="1">
        <f t="array" ref="R1144">Main_Log_Ref(Main_Log[[#This Row],[Carrier]])</f>
        <v/>
      </c>
    </row>
    <row r="1145" spans="1:18" ht="29.85" customHeight="1" x14ac:dyDescent="0.45">
      <c r="A1145" s="30">
        <v>54</v>
      </c>
      <c r="B1145" s="30"/>
      <c r="C1145" s="30"/>
      <c r="D1145" s="30"/>
      <c r="E1145" s="30"/>
      <c r="F1145" s="30"/>
      <c r="G1145" s="30"/>
      <c r="H1145" s="30"/>
      <c r="I1145" s="30"/>
      <c r="J1145" s="30"/>
      <c r="K1145" s="30"/>
      <c r="L1145" s="30"/>
      <c r="M1145" s="30"/>
      <c r="N1145" s="30" t="str" cm="1">
        <f t="array" ref="N1145">Main_Log_Status(Main_Log[[#This Row],[Carrier]],Main_Log[[#This Row],[Net Weight]])</f>
        <v/>
      </c>
      <c r="O1145" s="30"/>
      <c r="P114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45" s="30"/>
      <c r="R1145" s="30" t="str" cm="1">
        <f t="array" ref="R1145">Main_Log_Ref(Main_Log[[#This Row],[Carrier]])</f>
        <v/>
      </c>
    </row>
    <row r="1146" spans="1:18" ht="29.85" customHeight="1" x14ac:dyDescent="0.45">
      <c r="A1146" s="30">
        <v>55</v>
      </c>
      <c r="B1146" s="30"/>
      <c r="C1146" s="30"/>
      <c r="D1146" s="30"/>
      <c r="E1146" s="30"/>
      <c r="F1146" s="30"/>
      <c r="G1146" s="30"/>
      <c r="H1146" s="30"/>
      <c r="I1146" s="30"/>
      <c r="J1146" s="30"/>
      <c r="K1146" s="30"/>
      <c r="L1146" s="30"/>
      <c r="M1146" s="30"/>
      <c r="N1146" s="30" t="str" cm="1">
        <f t="array" ref="N1146">Main_Log_Status(Main_Log[[#This Row],[Carrier]],Main_Log[[#This Row],[Net Weight]])</f>
        <v/>
      </c>
      <c r="O1146" s="30"/>
      <c r="P114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46" s="30"/>
      <c r="R1146" s="30" t="str" cm="1">
        <f t="array" ref="R1146">Main_Log_Ref(Main_Log[[#This Row],[Carrier]])</f>
        <v/>
      </c>
    </row>
    <row r="1147" spans="1:18" ht="29.85" customHeight="1" x14ac:dyDescent="0.45">
      <c r="A1147" s="30">
        <v>56</v>
      </c>
      <c r="B1147" s="30"/>
      <c r="C1147" s="30"/>
      <c r="D1147" s="30"/>
      <c r="E1147" s="30"/>
      <c r="F1147" s="30"/>
      <c r="G1147" s="30"/>
      <c r="H1147" s="30"/>
      <c r="I1147" s="30"/>
      <c r="J1147" s="30"/>
      <c r="K1147" s="30"/>
      <c r="L1147" s="30"/>
      <c r="M1147" s="30"/>
      <c r="N1147" s="30" t="str" cm="1">
        <f t="array" ref="N1147">Main_Log_Status(Main_Log[[#This Row],[Carrier]],Main_Log[[#This Row],[Net Weight]])</f>
        <v/>
      </c>
      <c r="O1147" s="30"/>
      <c r="P114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47" s="30"/>
      <c r="R1147" s="30" t="str" cm="1">
        <f t="array" ref="R1147">Main_Log_Ref(Main_Log[[#This Row],[Carrier]])</f>
        <v/>
      </c>
    </row>
    <row r="1148" spans="1:18" ht="29.85" customHeight="1" x14ac:dyDescent="0.45">
      <c r="A1148" s="30">
        <v>57</v>
      </c>
      <c r="B1148" s="30"/>
      <c r="C1148" s="30"/>
      <c r="D1148" s="30"/>
      <c r="E1148" s="30"/>
      <c r="F1148" s="30"/>
      <c r="G1148" s="30"/>
      <c r="H1148" s="30"/>
      <c r="I1148" s="30"/>
      <c r="J1148" s="30"/>
      <c r="K1148" s="30"/>
      <c r="L1148" s="30"/>
      <c r="M1148" s="30"/>
      <c r="N1148" s="30" t="str" cm="1">
        <f t="array" ref="N1148">Main_Log_Status(Main_Log[[#This Row],[Carrier]],Main_Log[[#This Row],[Net Weight]])</f>
        <v/>
      </c>
      <c r="O1148" s="30"/>
      <c r="P114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48" s="30"/>
      <c r="R1148" s="30" t="str" cm="1">
        <f t="array" ref="R1148">Main_Log_Ref(Main_Log[[#This Row],[Carrier]])</f>
        <v/>
      </c>
    </row>
    <row r="1149" spans="1:18" ht="29.85" customHeight="1" x14ac:dyDescent="0.45">
      <c r="A1149" s="30">
        <v>58</v>
      </c>
      <c r="B1149" s="30"/>
      <c r="C1149" s="30"/>
      <c r="D1149" s="30"/>
      <c r="E1149" s="30"/>
      <c r="F1149" s="30"/>
      <c r="G1149" s="30"/>
      <c r="H1149" s="30"/>
      <c r="I1149" s="30"/>
      <c r="J1149" s="30"/>
      <c r="K1149" s="30"/>
      <c r="L1149" s="30"/>
      <c r="M1149" s="30"/>
      <c r="N1149" s="30" t="str" cm="1">
        <f t="array" ref="N1149">Main_Log_Status(Main_Log[[#This Row],[Carrier]],Main_Log[[#This Row],[Net Weight]])</f>
        <v/>
      </c>
      <c r="O1149" s="30"/>
      <c r="P114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49" s="30"/>
      <c r="R1149" s="30" t="str" cm="1">
        <f t="array" ref="R1149">Main_Log_Ref(Main_Log[[#This Row],[Carrier]])</f>
        <v/>
      </c>
    </row>
    <row r="1150" spans="1:18" ht="29.85" customHeight="1" x14ac:dyDescent="0.45">
      <c r="A1150" s="30">
        <v>59</v>
      </c>
      <c r="B1150" s="30"/>
      <c r="C1150" s="30"/>
      <c r="D1150" s="30"/>
      <c r="E1150" s="30"/>
      <c r="F1150" s="30"/>
      <c r="G1150" s="30"/>
      <c r="H1150" s="30"/>
      <c r="I1150" s="30"/>
      <c r="J1150" s="30"/>
      <c r="K1150" s="30"/>
      <c r="L1150" s="30"/>
      <c r="M1150" s="30"/>
      <c r="N1150" s="30" t="str" cm="1">
        <f t="array" ref="N1150">Main_Log_Status(Main_Log[[#This Row],[Carrier]],Main_Log[[#This Row],[Net Weight]])</f>
        <v/>
      </c>
      <c r="O1150" s="30"/>
      <c r="P115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50" s="30"/>
      <c r="R1150" s="30" t="str" cm="1">
        <f t="array" ref="R1150">Main_Log_Ref(Main_Log[[#This Row],[Carrier]])</f>
        <v/>
      </c>
    </row>
    <row r="1151" spans="1:18" ht="29.85" customHeight="1" x14ac:dyDescent="0.45">
      <c r="A1151" s="30">
        <v>60</v>
      </c>
      <c r="B1151" s="30"/>
      <c r="C1151" s="30"/>
      <c r="D1151" s="30"/>
      <c r="E1151" s="30"/>
      <c r="F1151" s="30"/>
      <c r="G1151" s="30"/>
      <c r="H1151" s="30"/>
      <c r="I1151" s="30"/>
      <c r="J1151" s="30"/>
      <c r="K1151" s="30"/>
      <c r="L1151" s="30"/>
      <c r="M1151" s="30"/>
      <c r="N1151" s="30" t="str" cm="1">
        <f t="array" ref="N1151">Main_Log_Status(Main_Log[[#This Row],[Carrier]],Main_Log[[#This Row],[Net Weight]])</f>
        <v/>
      </c>
      <c r="O1151" s="30"/>
      <c r="P115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51" s="30"/>
      <c r="R1151" s="30" t="str" cm="1">
        <f t="array" ref="R1151">Main_Log_Ref(Main_Log[[#This Row],[Carrier]])</f>
        <v/>
      </c>
    </row>
    <row r="1152" spans="1:18" ht="29.85" customHeight="1" x14ac:dyDescent="0.45">
      <c r="A1152" s="30">
        <v>61</v>
      </c>
      <c r="B1152" s="30"/>
      <c r="C1152" s="30"/>
      <c r="D1152" s="30"/>
      <c r="E1152" s="30"/>
      <c r="F1152" s="30"/>
      <c r="G1152" s="30"/>
      <c r="H1152" s="30"/>
      <c r="I1152" s="30"/>
      <c r="J1152" s="30"/>
      <c r="K1152" s="30"/>
      <c r="L1152" s="30"/>
      <c r="M1152" s="30"/>
      <c r="N1152" s="30" t="str" cm="1">
        <f t="array" ref="N1152">Main_Log_Status(Main_Log[[#This Row],[Carrier]],Main_Log[[#This Row],[Net Weight]])</f>
        <v/>
      </c>
      <c r="O1152" s="30"/>
      <c r="P115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52" s="30"/>
      <c r="R1152" s="30" t="str" cm="1">
        <f t="array" ref="R1152">Main_Log_Ref(Main_Log[[#This Row],[Carrier]])</f>
        <v/>
      </c>
    </row>
    <row r="1153" spans="1:18" ht="29.85" customHeight="1" x14ac:dyDescent="0.45">
      <c r="A1153" s="30">
        <v>62</v>
      </c>
      <c r="B1153" s="30"/>
      <c r="C1153" s="30"/>
      <c r="D1153" s="30"/>
      <c r="E1153" s="30"/>
      <c r="F1153" s="30"/>
      <c r="G1153" s="30"/>
      <c r="H1153" s="30"/>
      <c r="I1153" s="30"/>
      <c r="J1153" s="30"/>
      <c r="K1153" s="30"/>
      <c r="L1153" s="30"/>
      <c r="M1153" s="30"/>
      <c r="N1153" s="30" t="str" cm="1">
        <f t="array" ref="N1153">Main_Log_Status(Main_Log[[#This Row],[Carrier]],Main_Log[[#This Row],[Net Weight]])</f>
        <v/>
      </c>
      <c r="O1153" s="30"/>
      <c r="P115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53" s="30"/>
      <c r="R1153" s="30" t="str" cm="1">
        <f t="array" ref="R1153">Main_Log_Ref(Main_Log[[#This Row],[Carrier]])</f>
        <v/>
      </c>
    </row>
    <row r="1154" spans="1:18" ht="29.85" customHeight="1" x14ac:dyDescent="0.45">
      <c r="A1154" s="30">
        <v>63</v>
      </c>
      <c r="B1154" s="30"/>
      <c r="C1154" s="30"/>
      <c r="D1154" s="30"/>
      <c r="E1154" s="30"/>
      <c r="F1154" s="30"/>
      <c r="G1154" s="30"/>
      <c r="H1154" s="30"/>
      <c r="I1154" s="30"/>
      <c r="J1154" s="30"/>
      <c r="K1154" s="30"/>
      <c r="L1154" s="30"/>
      <c r="M1154" s="30"/>
      <c r="N1154" s="30" t="str" cm="1">
        <f t="array" ref="N1154">Main_Log_Status(Main_Log[[#This Row],[Carrier]],Main_Log[[#This Row],[Net Weight]])</f>
        <v/>
      </c>
      <c r="O1154" s="30"/>
      <c r="P115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54" s="30"/>
      <c r="R1154" s="30" t="str" cm="1">
        <f t="array" ref="R1154">Main_Log_Ref(Main_Log[[#This Row],[Carrier]])</f>
        <v/>
      </c>
    </row>
    <row r="1155" spans="1:18" ht="29.85" customHeight="1" x14ac:dyDescent="0.45">
      <c r="A1155" s="30">
        <v>64</v>
      </c>
      <c r="B1155" s="30"/>
      <c r="C1155" s="30"/>
      <c r="D1155" s="30"/>
      <c r="E1155" s="30"/>
      <c r="F1155" s="30"/>
      <c r="G1155" s="30"/>
      <c r="H1155" s="30"/>
      <c r="I1155" s="30"/>
      <c r="J1155" s="30"/>
      <c r="K1155" s="30"/>
      <c r="L1155" s="30"/>
      <c r="M1155" s="30"/>
      <c r="N1155" s="30" t="str" cm="1">
        <f t="array" ref="N1155">Main_Log_Status(Main_Log[[#This Row],[Carrier]],Main_Log[[#This Row],[Net Weight]])</f>
        <v/>
      </c>
      <c r="O1155" s="30"/>
      <c r="P115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55" s="30"/>
      <c r="R1155" s="30" t="str" cm="1">
        <f t="array" ref="R1155">Main_Log_Ref(Main_Log[[#This Row],[Carrier]])</f>
        <v/>
      </c>
    </row>
    <row r="1156" spans="1:18" ht="29.85" customHeight="1" x14ac:dyDescent="0.45">
      <c r="A1156" s="30">
        <v>65</v>
      </c>
      <c r="B1156" s="30"/>
      <c r="C1156" s="30"/>
      <c r="D1156" s="30"/>
      <c r="E1156" s="30"/>
      <c r="F1156" s="30"/>
      <c r="G1156" s="30"/>
      <c r="H1156" s="30"/>
      <c r="I1156" s="30"/>
      <c r="J1156" s="30"/>
      <c r="K1156" s="30"/>
      <c r="L1156" s="30"/>
      <c r="M1156" s="30"/>
      <c r="N1156" s="30" t="str" cm="1">
        <f t="array" ref="N1156">Main_Log_Status(Main_Log[[#This Row],[Carrier]],Main_Log[[#This Row],[Net Weight]])</f>
        <v/>
      </c>
      <c r="O1156" s="30"/>
      <c r="P115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56" s="30"/>
      <c r="R1156" s="30" t="str" cm="1">
        <f t="array" ref="R1156">Main_Log_Ref(Main_Log[[#This Row],[Carrier]])</f>
        <v/>
      </c>
    </row>
    <row r="1157" spans="1:18" ht="29.85" customHeight="1" x14ac:dyDescent="0.45">
      <c r="A1157" s="30">
        <v>66</v>
      </c>
      <c r="B1157" s="30"/>
      <c r="C1157" s="30"/>
      <c r="D1157" s="30"/>
      <c r="E1157" s="30"/>
      <c r="F1157" s="30"/>
      <c r="G1157" s="30"/>
      <c r="H1157" s="30"/>
      <c r="I1157" s="30"/>
      <c r="J1157" s="30"/>
      <c r="K1157" s="30"/>
      <c r="L1157" s="30"/>
      <c r="M1157" s="30"/>
      <c r="N1157" s="30" t="str" cm="1">
        <f t="array" ref="N1157">Main_Log_Status(Main_Log[[#This Row],[Carrier]],Main_Log[[#This Row],[Net Weight]])</f>
        <v/>
      </c>
      <c r="O1157" s="30"/>
      <c r="P115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57" s="30"/>
      <c r="R1157" s="30" t="str" cm="1">
        <f t="array" ref="R1157">Main_Log_Ref(Main_Log[[#This Row],[Carrier]])</f>
        <v/>
      </c>
    </row>
    <row r="1158" spans="1:18" ht="29.85" customHeight="1" x14ac:dyDescent="0.45">
      <c r="A1158" s="30">
        <v>67</v>
      </c>
      <c r="B1158" s="30"/>
      <c r="C1158" s="30"/>
      <c r="D1158" s="30"/>
      <c r="E1158" s="30"/>
      <c r="F1158" s="30"/>
      <c r="G1158" s="30"/>
      <c r="H1158" s="30"/>
      <c r="I1158" s="30"/>
      <c r="J1158" s="30"/>
      <c r="K1158" s="30"/>
      <c r="L1158" s="30"/>
      <c r="M1158" s="30"/>
      <c r="N1158" s="30" t="str" cm="1">
        <f t="array" ref="N1158">Main_Log_Status(Main_Log[[#This Row],[Carrier]],Main_Log[[#This Row],[Net Weight]])</f>
        <v/>
      </c>
      <c r="O1158" s="30"/>
      <c r="P115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58" s="30"/>
      <c r="R1158" s="30" t="str" cm="1">
        <f t="array" ref="R1158">Main_Log_Ref(Main_Log[[#This Row],[Carrier]])</f>
        <v/>
      </c>
    </row>
    <row r="1159" spans="1:18" ht="29.85" customHeight="1" x14ac:dyDescent="0.45">
      <c r="A1159" s="30">
        <v>68</v>
      </c>
      <c r="B1159" s="30"/>
      <c r="C1159" s="30"/>
      <c r="D1159" s="30"/>
      <c r="E1159" s="30"/>
      <c r="F1159" s="30"/>
      <c r="G1159" s="30"/>
      <c r="H1159" s="30"/>
      <c r="I1159" s="30"/>
      <c r="J1159" s="30"/>
      <c r="K1159" s="30"/>
      <c r="L1159" s="30"/>
      <c r="M1159" s="30"/>
      <c r="N1159" s="30" t="str" cm="1">
        <f t="array" ref="N1159">Main_Log_Status(Main_Log[[#This Row],[Carrier]],Main_Log[[#This Row],[Net Weight]])</f>
        <v/>
      </c>
      <c r="O1159" s="30"/>
      <c r="P115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59" s="30"/>
      <c r="R1159" s="30" t="str" cm="1">
        <f t="array" ref="R1159">Main_Log_Ref(Main_Log[[#This Row],[Carrier]])</f>
        <v/>
      </c>
    </row>
    <row r="1160" spans="1:18" ht="29.85" customHeight="1" x14ac:dyDescent="0.45">
      <c r="A1160" s="30">
        <v>69</v>
      </c>
      <c r="B1160" s="30"/>
      <c r="C1160" s="30"/>
      <c r="D1160" s="30"/>
      <c r="E1160" s="30"/>
      <c r="F1160" s="30"/>
      <c r="G1160" s="30"/>
      <c r="H1160" s="30"/>
      <c r="I1160" s="30"/>
      <c r="J1160" s="30"/>
      <c r="K1160" s="30"/>
      <c r="L1160" s="30"/>
      <c r="M1160" s="30"/>
      <c r="N1160" s="30" t="str" cm="1">
        <f t="array" ref="N1160">Main_Log_Status(Main_Log[[#This Row],[Carrier]],Main_Log[[#This Row],[Net Weight]])</f>
        <v/>
      </c>
      <c r="O1160" s="30"/>
      <c r="P116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60" s="30"/>
      <c r="R1160" s="30" t="str" cm="1">
        <f t="array" ref="R1160">Main_Log_Ref(Main_Log[[#This Row],[Carrier]])</f>
        <v/>
      </c>
    </row>
    <row r="1161" spans="1:18" ht="29.85" customHeight="1" x14ac:dyDescent="0.45">
      <c r="A1161" s="30">
        <v>70</v>
      </c>
      <c r="B1161" s="30"/>
      <c r="C1161" s="30"/>
      <c r="D1161" s="30"/>
      <c r="E1161" s="30"/>
      <c r="F1161" s="30"/>
      <c r="G1161" s="30"/>
      <c r="H1161" s="30"/>
      <c r="I1161" s="30"/>
      <c r="J1161" s="30"/>
      <c r="K1161" s="30"/>
      <c r="L1161" s="30"/>
      <c r="M1161" s="30"/>
      <c r="N1161" s="30" t="str" cm="1">
        <f t="array" ref="N1161">Main_Log_Status(Main_Log[[#This Row],[Carrier]],Main_Log[[#This Row],[Net Weight]])</f>
        <v/>
      </c>
      <c r="O1161" s="30"/>
      <c r="P116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61" s="30"/>
      <c r="R1161" s="30" t="str" cm="1">
        <f t="array" ref="R1161">Main_Log_Ref(Main_Log[[#This Row],[Carrier]])</f>
        <v/>
      </c>
    </row>
    <row r="1162" spans="1:18" ht="29.85" customHeight="1" x14ac:dyDescent="0.45">
      <c r="A1162" s="30">
        <v>71</v>
      </c>
      <c r="B1162" s="30"/>
      <c r="C1162" s="30"/>
      <c r="D1162" s="30"/>
      <c r="E1162" s="30"/>
      <c r="F1162" s="30"/>
      <c r="G1162" s="30"/>
      <c r="H1162" s="30"/>
      <c r="I1162" s="30"/>
      <c r="J1162" s="30"/>
      <c r="K1162" s="30"/>
      <c r="L1162" s="30"/>
      <c r="M1162" s="30"/>
      <c r="N1162" s="30" t="str" cm="1">
        <f t="array" ref="N1162">Main_Log_Status(Main_Log[[#This Row],[Carrier]],Main_Log[[#This Row],[Net Weight]])</f>
        <v/>
      </c>
      <c r="O1162" s="30"/>
      <c r="P116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62" s="30"/>
      <c r="R1162" s="30" t="str" cm="1">
        <f t="array" ref="R1162">Main_Log_Ref(Main_Log[[#This Row],[Carrier]])</f>
        <v/>
      </c>
    </row>
    <row r="1163" spans="1:18" ht="29.85" customHeight="1" x14ac:dyDescent="0.45">
      <c r="A1163" s="30">
        <v>72</v>
      </c>
      <c r="B1163" s="30"/>
      <c r="C1163" s="30"/>
      <c r="D1163" s="30"/>
      <c r="E1163" s="30"/>
      <c r="F1163" s="30"/>
      <c r="G1163" s="30"/>
      <c r="H1163" s="30"/>
      <c r="I1163" s="30"/>
      <c r="J1163" s="30"/>
      <c r="K1163" s="30"/>
      <c r="L1163" s="30"/>
      <c r="M1163" s="30"/>
      <c r="N1163" s="30" t="str" cm="1">
        <f t="array" ref="N1163">Main_Log_Status(Main_Log[[#This Row],[Carrier]],Main_Log[[#This Row],[Net Weight]])</f>
        <v/>
      </c>
      <c r="O1163" s="30"/>
      <c r="P116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63" s="30"/>
      <c r="R1163" s="30" t="str" cm="1">
        <f t="array" ref="R1163">Main_Log_Ref(Main_Log[[#This Row],[Carrier]])</f>
        <v/>
      </c>
    </row>
    <row r="1164" spans="1:18" ht="29.85" customHeight="1" x14ac:dyDescent="0.45">
      <c r="A1164" s="30">
        <v>73</v>
      </c>
      <c r="B1164" s="30"/>
      <c r="C1164" s="30"/>
      <c r="D1164" s="30"/>
      <c r="E1164" s="30"/>
      <c r="F1164" s="30"/>
      <c r="G1164" s="30"/>
      <c r="H1164" s="30"/>
      <c r="I1164" s="30"/>
      <c r="J1164" s="30"/>
      <c r="K1164" s="30"/>
      <c r="L1164" s="30"/>
      <c r="M1164" s="30"/>
      <c r="N1164" s="30" t="str" cm="1">
        <f t="array" ref="N1164">Main_Log_Status(Main_Log[[#This Row],[Carrier]],Main_Log[[#This Row],[Net Weight]])</f>
        <v/>
      </c>
      <c r="O1164" s="30"/>
      <c r="P116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64" s="30"/>
      <c r="R1164" s="30" t="str" cm="1">
        <f t="array" ref="R1164">Main_Log_Ref(Main_Log[[#This Row],[Carrier]])</f>
        <v/>
      </c>
    </row>
    <row r="1165" spans="1:18" ht="29.85" customHeight="1" x14ac:dyDescent="0.45">
      <c r="A1165" s="30">
        <v>74</v>
      </c>
      <c r="B1165" s="30"/>
      <c r="C1165" s="30"/>
      <c r="D1165" s="30"/>
      <c r="E1165" s="30"/>
      <c r="F1165" s="30"/>
      <c r="G1165" s="30"/>
      <c r="H1165" s="30"/>
      <c r="I1165" s="30"/>
      <c r="J1165" s="30"/>
      <c r="K1165" s="30"/>
      <c r="L1165" s="30"/>
      <c r="M1165" s="30"/>
      <c r="N1165" s="30" t="str" cm="1">
        <f t="array" ref="N1165">Main_Log_Status(Main_Log[[#This Row],[Carrier]],Main_Log[[#This Row],[Net Weight]])</f>
        <v/>
      </c>
      <c r="O1165" s="30"/>
      <c r="P116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65" s="30"/>
      <c r="R1165" s="30" t="str" cm="1">
        <f t="array" ref="R1165">Main_Log_Ref(Main_Log[[#This Row],[Carrier]])</f>
        <v/>
      </c>
    </row>
    <row r="1166" spans="1:18" ht="29.85" customHeight="1" x14ac:dyDescent="0.45">
      <c r="A1166" s="30">
        <v>75</v>
      </c>
      <c r="B1166" s="30"/>
      <c r="C1166" s="30"/>
      <c r="D1166" s="30"/>
      <c r="E1166" s="30"/>
      <c r="F1166" s="30"/>
      <c r="G1166" s="30"/>
      <c r="H1166" s="30"/>
      <c r="I1166" s="30"/>
      <c r="J1166" s="30"/>
      <c r="K1166" s="30"/>
      <c r="L1166" s="30"/>
      <c r="M1166" s="30"/>
      <c r="N1166" s="30" t="str" cm="1">
        <f t="array" ref="N1166">Main_Log_Status(Main_Log[[#This Row],[Carrier]],Main_Log[[#This Row],[Net Weight]])</f>
        <v/>
      </c>
      <c r="O1166" s="30"/>
      <c r="P116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66" s="30"/>
      <c r="R1166" s="30" t="str" cm="1">
        <f t="array" ref="R1166">Main_Log_Ref(Main_Log[[#This Row],[Carrier]])</f>
        <v/>
      </c>
    </row>
    <row r="1167" spans="1:18" ht="29.85" customHeight="1" x14ac:dyDescent="0.45">
      <c r="A1167" s="30">
        <v>76</v>
      </c>
      <c r="B1167" s="30"/>
      <c r="C1167" s="30"/>
      <c r="D1167" s="30"/>
      <c r="E1167" s="30"/>
      <c r="F1167" s="30"/>
      <c r="G1167" s="30"/>
      <c r="H1167" s="30"/>
      <c r="I1167" s="30"/>
      <c r="J1167" s="30"/>
      <c r="K1167" s="30"/>
      <c r="L1167" s="30"/>
      <c r="M1167" s="30"/>
      <c r="N1167" s="30" t="str" cm="1">
        <f t="array" ref="N1167">Main_Log_Status(Main_Log[[#This Row],[Carrier]],Main_Log[[#This Row],[Net Weight]])</f>
        <v/>
      </c>
      <c r="O1167" s="30"/>
      <c r="P116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67" s="30"/>
      <c r="R1167" s="30" t="str" cm="1">
        <f t="array" ref="R1167">Main_Log_Ref(Main_Log[[#This Row],[Carrier]])</f>
        <v/>
      </c>
    </row>
    <row r="1168" spans="1:18" ht="29.85" customHeight="1" x14ac:dyDescent="0.45">
      <c r="A1168" s="30">
        <v>77</v>
      </c>
      <c r="B1168" s="30"/>
      <c r="C1168" s="30"/>
      <c r="D1168" s="30"/>
      <c r="E1168" s="30"/>
      <c r="F1168" s="30"/>
      <c r="G1168" s="30"/>
      <c r="H1168" s="30"/>
      <c r="I1168" s="30"/>
      <c r="J1168" s="30"/>
      <c r="K1168" s="30"/>
      <c r="L1168" s="30"/>
      <c r="M1168" s="30"/>
      <c r="N1168" s="30" t="str" cm="1">
        <f t="array" ref="N1168">Main_Log_Status(Main_Log[[#This Row],[Carrier]],Main_Log[[#This Row],[Net Weight]])</f>
        <v/>
      </c>
      <c r="O1168" s="30"/>
      <c r="P116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68" s="30"/>
      <c r="R1168" s="30" t="str" cm="1">
        <f t="array" ref="R1168">Main_Log_Ref(Main_Log[[#This Row],[Carrier]])</f>
        <v/>
      </c>
    </row>
    <row r="1169" spans="1:18" ht="29.85" customHeight="1" x14ac:dyDescent="0.45">
      <c r="A1169" s="30">
        <v>78</v>
      </c>
      <c r="B1169" s="30"/>
      <c r="C1169" s="30"/>
      <c r="D1169" s="30"/>
      <c r="E1169" s="30"/>
      <c r="F1169" s="30"/>
      <c r="G1169" s="30"/>
      <c r="H1169" s="30"/>
      <c r="I1169" s="30"/>
      <c r="J1169" s="30"/>
      <c r="K1169" s="30"/>
      <c r="L1169" s="30"/>
      <c r="M1169" s="30"/>
      <c r="N1169" s="30" t="str" cm="1">
        <f t="array" ref="N1169">Main_Log_Status(Main_Log[[#This Row],[Carrier]],Main_Log[[#This Row],[Net Weight]])</f>
        <v/>
      </c>
      <c r="O1169" s="30"/>
      <c r="P116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69" s="30"/>
      <c r="R1169" s="30" t="str" cm="1">
        <f t="array" ref="R1169">Main_Log_Ref(Main_Log[[#This Row],[Carrier]])</f>
        <v/>
      </c>
    </row>
    <row r="1170" spans="1:18" ht="29.85" customHeight="1" x14ac:dyDescent="0.45">
      <c r="A1170" s="30">
        <v>79</v>
      </c>
      <c r="B1170" s="30"/>
      <c r="C1170" s="30"/>
      <c r="D1170" s="30"/>
      <c r="E1170" s="30"/>
      <c r="F1170" s="30"/>
      <c r="G1170" s="30"/>
      <c r="H1170" s="30"/>
      <c r="I1170" s="30"/>
      <c r="J1170" s="30"/>
      <c r="K1170" s="30"/>
      <c r="L1170" s="30"/>
      <c r="M1170" s="30"/>
      <c r="N1170" s="30" t="str" cm="1">
        <f t="array" ref="N1170">Main_Log_Status(Main_Log[[#This Row],[Carrier]],Main_Log[[#This Row],[Net Weight]])</f>
        <v/>
      </c>
      <c r="O1170" s="30"/>
      <c r="P117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70" s="30"/>
      <c r="R1170" s="30" t="str" cm="1">
        <f t="array" ref="R1170">Main_Log_Ref(Main_Log[[#This Row],[Carrier]])</f>
        <v/>
      </c>
    </row>
    <row r="1171" spans="1:18" ht="29.85" customHeight="1" x14ac:dyDescent="0.45">
      <c r="A1171" s="30">
        <v>80</v>
      </c>
      <c r="B1171" s="30"/>
      <c r="C1171" s="30"/>
      <c r="D1171" s="30"/>
      <c r="E1171" s="30"/>
      <c r="F1171" s="30"/>
      <c r="G1171" s="30"/>
      <c r="H1171" s="30"/>
      <c r="I1171" s="30"/>
      <c r="J1171" s="30"/>
      <c r="K1171" s="30"/>
      <c r="L1171" s="30"/>
      <c r="M1171" s="30"/>
      <c r="N1171" s="30" t="str" cm="1">
        <f t="array" ref="N1171">Main_Log_Status(Main_Log[[#This Row],[Carrier]],Main_Log[[#This Row],[Net Weight]])</f>
        <v/>
      </c>
      <c r="O1171" s="30"/>
      <c r="P117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71" s="30"/>
      <c r="R1171" s="30" t="str" cm="1">
        <f t="array" ref="R1171">Main_Log_Ref(Main_Log[[#This Row],[Carrier]])</f>
        <v/>
      </c>
    </row>
    <row r="1172" spans="1:18" ht="29.85" customHeight="1" x14ac:dyDescent="0.45">
      <c r="A1172" s="30">
        <v>81</v>
      </c>
      <c r="B1172" s="30"/>
      <c r="C1172" s="30"/>
      <c r="D1172" s="30"/>
      <c r="E1172" s="30"/>
      <c r="F1172" s="30"/>
      <c r="G1172" s="30"/>
      <c r="H1172" s="30"/>
      <c r="I1172" s="30"/>
      <c r="J1172" s="30"/>
      <c r="K1172" s="30"/>
      <c r="L1172" s="30"/>
      <c r="M1172" s="30"/>
      <c r="N1172" s="30" t="str" cm="1">
        <f t="array" ref="N1172">Main_Log_Status(Main_Log[[#This Row],[Carrier]],Main_Log[[#This Row],[Net Weight]])</f>
        <v/>
      </c>
      <c r="O1172" s="30"/>
      <c r="P117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72" s="30"/>
      <c r="R1172" s="30" t="str" cm="1">
        <f t="array" ref="R1172">Main_Log_Ref(Main_Log[[#This Row],[Carrier]])</f>
        <v/>
      </c>
    </row>
    <row r="1173" spans="1:18" ht="29.85" customHeight="1" x14ac:dyDescent="0.45">
      <c r="A1173" s="30">
        <v>82</v>
      </c>
      <c r="B1173" s="30"/>
      <c r="C1173" s="30"/>
      <c r="D1173" s="30"/>
      <c r="E1173" s="30"/>
      <c r="F1173" s="30"/>
      <c r="G1173" s="30"/>
      <c r="H1173" s="30"/>
      <c r="I1173" s="30"/>
      <c r="J1173" s="30"/>
      <c r="K1173" s="30"/>
      <c r="L1173" s="30"/>
      <c r="M1173" s="30"/>
      <c r="N1173" s="30" t="str" cm="1">
        <f t="array" ref="N1173">Main_Log_Status(Main_Log[[#This Row],[Carrier]],Main_Log[[#This Row],[Net Weight]])</f>
        <v/>
      </c>
      <c r="O1173" s="30"/>
      <c r="P117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73" s="30"/>
      <c r="R1173" s="30" t="str" cm="1">
        <f t="array" ref="R1173">Main_Log_Ref(Main_Log[[#This Row],[Carrier]])</f>
        <v/>
      </c>
    </row>
    <row r="1174" spans="1:18" ht="29.85" customHeight="1" x14ac:dyDescent="0.45">
      <c r="A1174" s="30">
        <v>83</v>
      </c>
      <c r="B1174" s="30"/>
      <c r="C1174" s="30"/>
      <c r="D1174" s="30"/>
      <c r="E1174" s="30"/>
      <c r="F1174" s="30"/>
      <c r="G1174" s="30"/>
      <c r="H1174" s="30"/>
      <c r="I1174" s="30"/>
      <c r="J1174" s="30"/>
      <c r="K1174" s="30"/>
      <c r="L1174" s="30"/>
      <c r="M1174" s="30"/>
      <c r="N1174" s="30" t="str" cm="1">
        <f t="array" ref="N1174">Main_Log_Status(Main_Log[[#This Row],[Carrier]],Main_Log[[#This Row],[Net Weight]])</f>
        <v/>
      </c>
      <c r="O1174" s="30"/>
      <c r="P117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74" s="30"/>
      <c r="R1174" s="30" t="str" cm="1">
        <f t="array" ref="R1174">Main_Log_Ref(Main_Log[[#This Row],[Carrier]])</f>
        <v/>
      </c>
    </row>
    <row r="1175" spans="1:18" ht="29.85" customHeight="1" x14ac:dyDescent="0.45">
      <c r="A1175" s="30">
        <v>84</v>
      </c>
      <c r="B1175" s="30"/>
      <c r="C1175" s="30"/>
      <c r="D1175" s="30"/>
      <c r="E1175" s="30"/>
      <c r="F1175" s="30"/>
      <c r="G1175" s="30"/>
      <c r="H1175" s="30"/>
      <c r="I1175" s="30"/>
      <c r="J1175" s="30"/>
      <c r="K1175" s="30"/>
      <c r="L1175" s="30"/>
      <c r="M1175" s="30"/>
      <c r="N1175" s="30" t="str" cm="1">
        <f t="array" ref="N1175">Main_Log_Status(Main_Log[[#This Row],[Carrier]],Main_Log[[#This Row],[Net Weight]])</f>
        <v/>
      </c>
      <c r="O1175" s="30"/>
      <c r="P117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75" s="30"/>
      <c r="R1175" s="30" t="str" cm="1">
        <f t="array" ref="R1175">Main_Log_Ref(Main_Log[[#This Row],[Carrier]])</f>
        <v/>
      </c>
    </row>
    <row r="1176" spans="1:18" ht="29.85" customHeight="1" x14ac:dyDescent="0.45">
      <c r="A1176" s="30">
        <v>85</v>
      </c>
      <c r="B1176" s="30"/>
      <c r="C1176" s="30"/>
      <c r="D1176" s="30"/>
      <c r="E1176" s="30"/>
      <c r="F1176" s="30"/>
      <c r="G1176" s="30"/>
      <c r="H1176" s="30"/>
      <c r="I1176" s="30"/>
      <c r="J1176" s="30"/>
      <c r="K1176" s="30"/>
      <c r="L1176" s="30"/>
      <c r="M1176" s="30"/>
      <c r="N1176" s="30" t="str" cm="1">
        <f t="array" ref="N1176">Main_Log_Status(Main_Log[[#This Row],[Carrier]],Main_Log[[#This Row],[Net Weight]])</f>
        <v/>
      </c>
      <c r="O1176" s="30"/>
      <c r="P117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76" s="30"/>
      <c r="R1176" s="30" t="str" cm="1">
        <f t="array" ref="R1176">Main_Log_Ref(Main_Log[[#This Row],[Carrier]])</f>
        <v/>
      </c>
    </row>
    <row r="1177" spans="1:18" ht="29.85" customHeight="1" x14ac:dyDescent="0.45">
      <c r="A1177" s="30">
        <v>86</v>
      </c>
      <c r="B1177" s="30"/>
      <c r="C1177" s="30"/>
      <c r="D1177" s="30"/>
      <c r="E1177" s="30"/>
      <c r="F1177" s="30"/>
      <c r="G1177" s="30"/>
      <c r="H1177" s="30"/>
      <c r="I1177" s="30"/>
      <c r="J1177" s="30"/>
      <c r="K1177" s="30"/>
      <c r="L1177" s="30"/>
      <c r="M1177" s="30"/>
      <c r="N1177" s="30" t="str" cm="1">
        <f t="array" ref="N1177">Main_Log_Status(Main_Log[[#This Row],[Carrier]],Main_Log[[#This Row],[Net Weight]])</f>
        <v/>
      </c>
      <c r="O1177" s="30"/>
      <c r="P117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77" s="30"/>
      <c r="R1177" s="30" t="str" cm="1">
        <f t="array" ref="R1177">Main_Log_Ref(Main_Log[[#This Row],[Carrier]])</f>
        <v/>
      </c>
    </row>
    <row r="1178" spans="1:18" ht="29.85" customHeight="1" x14ac:dyDescent="0.45">
      <c r="A1178" s="30">
        <v>87</v>
      </c>
      <c r="B1178" s="30"/>
      <c r="C1178" s="30"/>
      <c r="D1178" s="30"/>
      <c r="E1178" s="30"/>
      <c r="F1178" s="30"/>
      <c r="G1178" s="30"/>
      <c r="H1178" s="30"/>
      <c r="I1178" s="30"/>
      <c r="J1178" s="30"/>
      <c r="K1178" s="30"/>
      <c r="L1178" s="30"/>
      <c r="M1178" s="30"/>
      <c r="N1178" s="30" t="str" cm="1">
        <f t="array" ref="N1178">Main_Log_Status(Main_Log[[#This Row],[Carrier]],Main_Log[[#This Row],[Net Weight]])</f>
        <v/>
      </c>
      <c r="O1178" s="30"/>
      <c r="P117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78" s="30"/>
      <c r="R1178" s="30" t="str" cm="1">
        <f t="array" ref="R1178">Main_Log_Ref(Main_Log[[#This Row],[Carrier]])</f>
        <v/>
      </c>
    </row>
    <row r="1179" spans="1:18" ht="29.85" customHeight="1" x14ac:dyDescent="0.45">
      <c r="A1179" s="30">
        <v>88</v>
      </c>
      <c r="B1179" s="30"/>
      <c r="C1179" s="30"/>
      <c r="D1179" s="30"/>
      <c r="E1179" s="30"/>
      <c r="F1179" s="30"/>
      <c r="G1179" s="30"/>
      <c r="H1179" s="30"/>
      <c r="I1179" s="30"/>
      <c r="J1179" s="30"/>
      <c r="K1179" s="30"/>
      <c r="L1179" s="30"/>
      <c r="M1179" s="30"/>
      <c r="N1179" s="30" t="str" cm="1">
        <f t="array" ref="N1179">Main_Log_Status(Main_Log[[#This Row],[Carrier]],Main_Log[[#This Row],[Net Weight]])</f>
        <v/>
      </c>
      <c r="O1179" s="30"/>
      <c r="P117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79" s="30"/>
      <c r="R1179" s="30" t="str" cm="1">
        <f t="array" ref="R1179">Main_Log_Ref(Main_Log[[#This Row],[Carrier]])</f>
        <v/>
      </c>
    </row>
    <row r="1180" spans="1:18" ht="29.85" customHeight="1" x14ac:dyDescent="0.45">
      <c r="A1180" s="30">
        <v>89</v>
      </c>
      <c r="B1180" s="30"/>
      <c r="C1180" s="30"/>
      <c r="D1180" s="30"/>
      <c r="E1180" s="30"/>
      <c r="F1180" s="30"/>
      <c r="G1180" s="30"/>
      <c r="H1180" s="30"/>
      <c r="I1180" s="30"/>
      <c r="J1180" s="30"/>
      <c r="K1180" s="30"/>
      <c r="L1180" s="30"/>
      <c r="M1180" s="30"/>
      <c r="N1180" s="30" t="str" cm="1">
        <f t="array" ref="N1180">Main_Log_Status(Main_Log[[#This Row],[Carrier]],Main_Log[[#This Row],[Net Weight]])</f>
        <v/>
      </c>
      <c r="O1180" s="30"/>
      <c r="P118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80" s="30"/>
      <c r="R1180" s="30" t="str" cm="1">
        <f t="array" ref="R1180">Main_Log_Ref(Main_Log[[#This Row],[Carrier]])</f>
        <v/>
      </c>
    </row>
    <row r="1181" spans="1:18" ht="29.85" customHeight="1" x14ac:dyDescent="0.45">
      <c r="A1181" s="30">
        <v>90</v>
      </c>
      <c r="B1181" s="30"/>
      <c r="C1181" s="30"/>
      <c r="D1181" s="30"/>
      <c r="E1181" s="30"/>
      <c r="F1181" s="30"/>
      <c r="G1181" s="30"/>
      <c r="H1181" s="30"/>
      <c r="I1181" s="30"/>
      <c r="J1181" s="30"/>
      <c r="K1181" s="30"/>
      <c r="L1181" s="30"/>
      <c r="M1181" s="30"/>
      <c r="N1181" s="30" t="str" cm="1">
        <f t="array" ref="N1181">Main_Log_Status(Main_Log[[#This Row],[Carrier]],Main_Log[[#This Row],[Net Weight]])</f>
        <v/>
      </c>
      <c r="O1181" s="30"/>
      <c r="P118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81" s="30"/>
      <c r="R1181" s="30" t="str" cm="1">
        <f t="array" ref="R1181">Main_Log_Ref(Main_Log[[#This Row],[Carrier]])</f>
        <v/>
      </c>
    </row>
    <row r="1182" spans="1:18" ht="29.85" customHeight="1" x14ac:dyDescent="0.45">
      <c r="A1182" s="30">
        <v>91</v>
      </c>
      <c r="B1182" s="30"/>
      <c r="C1182" s="30"/>
      <c r="D1182" s="30"/>
      <c r="E1182" s="30"/>
      <c r="F1182" s="30"/>
      <c r="G1182" s="30"/>
      <c r="H1182" s="30"/>
      <c r="I1182" s="30"/>
      <c r="J1182" s="30"/>
      <c r="K1182" s="30"/>
      <c r="L1182" s="30"/>
      <c r="M1182" s="30"/>
      <c r="N1182" s="30" t="str" cm="1">
        <f t="array" ref="N1182">Main_Log_Status(Main_Log[[#This Row],[Carrier]],Main_Log[[#This Row],[Net Weight]])</f>
        <v/>
      </c>
      <c r="O1182" s="30"/>
      <c r="P118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82" s="30"/>
      <c r="R1182" s="30" t="str" cm="1">
        <f t="array" ref="R1182">Main_Log_Ref(Main_Log[[#This Row],[Carrier]])</f>
        <v/>
      </c>
    </row>
    <row r="1183" spans="1:18" ht="29.85" customHeight="1" x14ac:dyDescent="0.45">
      <c r="A1183" s="30">
        <v>92</v>
      </c>
      <c r="B1183" s="30"/>
      <c r="C1183" s="30"/>
      <c r="D1183" s="30"/>
      <c r="E1183" s="30"/>
      <c r="F1183" s="30"/>
      <c r="G1183" s="30"/>
      <c r="H1183" s="30"/>
      <c r="I1183" s="30"/>
      <c r="J1183" s="30"/>
      <c r="K1183" s="30"/>
      <c r="L1183" s="30"/>
      <c r="M1183" s="30"/>
      <c r="N1183" s="30" t="str" cm="1">
        <f t="array" ref="N1183">Main_Log_Status(Main_Log[[#This Row],[Carrier]],Main_Log[[#This Row],[Net Weight]])</f>
        <v/>
      </c>
      <c r="O1183" s="30"/>
      <c r="P118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83" s="30"/>
      <c r="R1183" s="30" t="str" cm="1">
        <f t="array" ref="R1183">Main_Log_Ref(Main_Log[[#This Row],[Carrier]])</f>
        <v/>
      </c>
    </row>
    <row r="1184" spans="1:18" ht="29.85" customHeight="1" x14ac:dyDescent="0.45">
      <c r="A1184" s="30">
        <v>93</v>
      </c>
      <c r="B1184" s="30"/>
      <c r="C1184" s="30"/>
      <c r="D1184" s="30"/>
      <c r="E1184" s="30"/>
      <c r="F1184" s="30"/>
      <c r="G1184" s="30"/>
      <c r="H1184" s="30"/>
      <c r="I1184" s="30"/>
      <c r="J1184" s="30"/>
      <c r="K1184" s="30"/>
      <c r="L1184" s="30"/>
      <c r="M1184" s="30"/>
      <c r="N1184" s="30" t="str" cm="1">
        <f t="array" ref="N1184">Main_Log_Status(Main_Log[[#This Row],[Carrier]],Main_Log[[#This Row],[Net Weight]])</f>
        <v/>
      </c>
      <c r="O1184" s="30"/>
      <c r="P118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84" s="30"/>
      <c r="R1184" s="30" t="str" cm="1">
        <f t="array" ref="R1184">Main_Log_Ref(Main_Log[[#This Row],[Carrier]])</f>
        <v/>
      </c>
    </row>
    <row r="1185" spans="1:18" ht="29.85" customHeight="1" x14ac:dyDescent="0.45">
      <c r="A1185" s="30">
        <v>94</v>
      </c>
      <c r="B1185" s="30"/>
      <c r="C1185" s="30"/>
      <c r="D1185" s="30"/>
      <c r="E1185" s="30"/>
      <c r="F1185" s="30"/>
      <c r="G1185" s="30"/>
      <c r="H1185" s="30"/>
      <c r="I1185" s="30"/>
      <c r="J1185" s="30"/>
      <c r="K1185" s="30"/>
      <c r="L1185" s="30"/>
      <c r="M1185" s="30"/>
      <c r="N1185" s="30" t="str" cm="1">
        <f t="array" ref="N1185">Main_Log_Status(Main_Log[[#This Row],[Carrier]],Main_Log[[#This Row],[Net Weight]])</f>
        <v/>
      </c>
      <c r="O1185" s="30"/>
      <c r="P118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85" s="30"/>
      <c r="R1185" s="30" t="str" cm="1">
        <f t="array" ref="R1185">Main_Log_Ref(Main_Log[[#This Row],[Carrier]])</f>
        <v/>
      </c>
    </row>
    <row r="1186" spans="1:18" ht="29.85" customHeight="1" x14ac:dyDescent="0.45">
      <c r="A1186" s="30">
        <v>95</v>
      </c>
      <c r="B1186" s="30"/>
      <c r="C1186" s="30"/>
      <c r="D1186" s="30"/>
      <c r="E1186" s="30"/>
      <c r="F1186" s="30"/>
      <c r="G1186" s="30"/>
      <c r="H1186" s="30"/>
      <c r="I1186" s="30"/>
      <c r="J1186" s="30"/>
      <c r="K1186" s="30"/>
      <c r="L1186" s="30"/>
      <c r="M1186" s="30"/>
      <c r="N1186" s="30" t="str" cm="1">
        <f t="array" ref="N1186">Main_Log_Status(Main_Log[[#This Row],[Carrier]],Main_Log[[#This Row],[Net Weight]])</f>
        <v/>
      </c>
      <c r="O1186" s="30"/>
      <c r="P118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86" s="30"/>
      <c r="R1186" s="30" t="str" cm="1">
        <f t="array" ref="R1186">Main_Log_Ref(Main_Log[[#This Row],[Carrier]])</f>
        <v/>
      </c>
    </row>
    <row r="1187" spans="1:18" ht="29.85" customHeight="1" x14ac:dyDescent="0.45">
      <c r="A1187" s="30">
        <v>96</v>
      </c>
      <c r="B1187" s="30"/>
      <c r="C1187" s="30"/>
      <c r="D1187" s="30"/>
      <c r="E1187" s="30"/>
      <c r="F1187" s="30"/>
      <c r="G1187" s="30"/>
      <c r="H1187" s="30"/>
      <c r="I1187" s="30"/>
      <c r="J1187" s="30"/>
      <c r="K1187" s="30"/>
      <c r="L1187" s="30"/>
      <c r="M1187" s="30"/>
      <c r="N1187" s="30" t="str" cm="1">
        <f t="array" ref="N1187">Main_Log_Status(Main_Log[[#This Row],[Carrier]],Main_Log[[#This Row],[Net Weight]])</f>
        <v/>
      </c>
      <c r="O1187" s="30"/>
      <c r="P118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87" s="30"/>
      <c r="R1187" s="30" t="str" cm="1">
        <f t="array" ref="R1187">Main_Log_Ref(Main_Log[[#This Row],[Carrier]])</f>
        <v/>
      </c>
    </row>
    <row r="1188" spans="1:18" ht="29.85" customHeight="1" x14ac:dyDescent="0.45">
      <c r="A1188" s="30">
        <v>97</v>
      </c>
      <c r="B1188" s="30"/>
      <c r="C1188" s="30"/>
      <c r="D1188" s="30"/>
      <c r="E1188" s="30"/>
      <c r="F1188" s="30"/>
      <c r="G1188" s="30"/>
      <c r="H1188" s="30"/>
      <c r="I1188" s="30"/>
      <c r="J1188" s="30"/>
      <c r="K1188" s="30"/>
      <c r="L1188" s="30"/>
      <c r="M1188" s="30"/>
      <c r="N1188" s="30" t="str" cm="1">
        <f t="array" ref="N1188">Main_Log_Status(Main_Log[[#This Row],[Carrier]],Main_Log[[#This Row],[Net Weight]])</f>
        <v/>
      </c>
      <c r="O1188" s="30"/>
      <c r="P118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88" s="30"/>
      <c r="R1188" s="30" t="str" cm="1">
        <f t="array" ref="R1188">Main_Log_Ref(Main_Log[[#This Row],[Carrier]])</f>
        <v/>
      </c>
    </row>
    <row r="1189" spans="1:18" ht="29.85" customHeight="1" x14ac:dyDescent="0.45">
      <c r="A1189" s="30">
        <v>98</v>
      </c>
      <c r="B1189" s="30"/>
      <c r="C1189" s="30"/>
      <c r="D1189" s="30"/>
      <c r="E1189" s="30"/>
      <c r="F1189" s="30"/>
      <c r="G1189" s="30"/>
      <c r="H1189" s="30"/>
      <c r="I1189" s="30"/>
      <c r="J1189" s="30"/>
      <c r="K1189" s="30"/>
      <c r="L1189" s="30"/>
      <c r="M1189" s="30"/>
      <c r="N1189" s="30" t="str" cm="1">
        <f t="array" ref="N1189">Main_Log_Status(Main_Log[[#This Row],[Carrier]],Main_Log[[#This Row],[Net Weight]])</f>
        <v/>
      </c>
      <c r="O1189" s="30"/>
      <c r="P118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89" s="30"/>
      <c r="R1189" s="30" t="str" cm="1">
        <f t="array" ref="R1189">Main_Log_Ref(Main_Log[[#This Row],[Carrier]])</f>
        <v/>
      </c>
    </row>
    <row r="1190" spans="1:18" ht="29.85" customHeight="1" x14ac:dyDescent="0.45">
      <c r="A1190" s="30">
        <v>99</v>
      </c>
      <c r="B1190" s="30"/>
      <c r="C1190" s="30"/>
      <c r="D1190" s="30"/>
      <c r="E1190" s="30"/>
      <c r="F1190" s="30"/>
      <c r="G1190" s="30"/>
      <c r="H1190" s="30"/>
      <c r="I1190" s="30"/>
      <c r="J1190" s="30"/>
      <c r="K1190" s="30"/>
      <c r="L1190" s="30"/>
      <c r="M1190" s="30"/>
      <c r="N1190" s="30" t="str" cm="1">
        <f t="array" ref="N1190">Main_Log_Status(Main_Log[[#This Row],[Carrier]],Main_Log[[#This Row],[Net Weight]])</f>
        <v/>
      </c>
      <c r="O1190" s="30"/>
      <c r="P119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90" s="30"/>
      <c r="R1190" s="30" t="str" cm="1">
        <f t="array" ref="R1190">Main_Log_Ref(Main_Log[[#This Row],[Carrier]])</f>
        <v/>
      </c>
    </row>
    <row r="1191" spans="1:18" ht="29.85" customHeight="1" x14ac:dyDescent="0.45">
      <c r="A1191" s="30">
        <v>1</v>
      </c>
      <c r="B1191" s="30"/>
      <c r="C1191" s="30"/>
      <c r="D1191" s="30"/>
      <c r="E1191" s="30"/>
      <c r="F1191" s="30"/>
      <c r="G1191" s="30"/>
      <c r="H1191" s="30"/>
      <c r="I1191" s="30"/>
      <c r="J1191" s="30"/>
      <c r="K1191" s="30"/>
      <c r="L1191" s="30"/>
      <c r="M1191" s="30"/>
      <c r="N1191" s="30" t="str" cm="1">
        <f t="array" ref="N1191">Main_Log_Status(Main_Log[[#This Row],[Carrier]],Main_Log[[#This Row],[Net Weight]])</f>
        <v/>
      </c>
      <c r="O1191" s="30"/>
      <c r="P119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91" s="30"/>
      <c r="R1191" s="30" t="str" cm="1">
        <f t="array" ref="R1191">Main_Log_Ref(Main_Log[[#This Row],[Carrier]])</f>
        <v/>
      </c>
    </row>
    <row r="1192" spans="1:18" ht="29.85" customHeight="1" x14ac:dyDescent="0.45">
      <c r="A1192" s="30">
        <v>2</v>
      </c>
      <c r="B1192" s="30"/>
      <c r="C1192" s="30"/>
      <c r="D1192" s="30"/>
      <c r="E1192" s="30"/>
      <c r="F1192" s="30"/>
      <c r="G1192" s="30"/>
      <c r="H1192" s="30"/>
      <c r="I1192" s="30"/>
      <c r="J1192" s="30"/>
      <c r="K1192" s="30"/>
      <c r="L1192" s="30"/>
      <c r="M1192" s="30"/>
      <c r="N1192" s="30" t="str" cm="1">
        <f t="array" ref="N1192">Main_Log_Status(Main_Log[[#This Row],[Carrier]],Main_Log[[#This Row],[Net Weight]])</f>
        <v/>
      </c>
      <c r="O1192" s="30"/>
      <c r="P119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92" s="30"/>
      <c r="R1192" s="30" t="str" cm="1">
        <f t="array" ref="R1192">Main_Log_Ref(Main_Log[[#This Row],[Carrier]])</f>
        <v/>
      </c>
    </row>
    <row r="1193" spans="1:18" ht="29.85" customHeight="1" x14ac:dyDescent="0.45">
      <c r="A1193" s="30">
        <v>3</v>
      </c>
      <c r="B1193" s="30"/>
      <c r="C1193" s="30"/>
      <c r="D1193" s="30"/>
      <c r="E1193" s="30"/>
      <c r="F1193" s="30"/>
      <c r="G1193" s="30"/>
      <c r="H1193" s="30"/>
      <c r="I1193" s="30"/>
      <c r="J1193" s="30"/>
      <c r="K1193" s="30"/>
      <c r="L1193" s="30"/>
      <c r="M1193" s="30"/>
      <c r="N1193" s="30" t="str" cm="1">
        <f t="array" ref="N1193">Main_Log_Status(Main_Log[[#This Row],[Carrier]],Main_Log[[#This Row],[Net Weight]])</f>
        <v/>
      </c>
      <c r="O1193" s="30"/>
      <c r="P119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93" s="30"/>
      <c r="R1193" s="30" t="str" cm="1">
        <f t="array" ref="R1193">Main_Log_Ref(Main_Log[[#This Row],[Carrier]])</f>
        <v/>
      </c>
    </row>
    <row r="1194" spans="1:18" ht="29.85" customHeight="1" x14ac:dyDescent="0.45">
      <c r="A1194" s="30">
        <v>4</v>
      </c>
      <c r="B1194" s="30"/>
      <c r="C1194" s="30"/>
      <c r="D1194" s="30"/>
      <c r="E1194" s="30"/>
      <c r="F1194" s="30"/>
      <c r="G1194" s="30"/>
      <c r="H1194" s="30"/>
      <c r="I1194" s="30"/>
      <c r="J1194" s="30"/>
      <c r="K1194" s="30"/>
      <c r="L1194" s="30"/>
      <c r="M1194" s="30"/>
      <c r="N1194" s="30" t="str" cm="1">
        <f t="array" ref="N1194">Main_Log_Status(Main_Log[[#This Row],[Carrier]],Main_Log[[#This Row],[Net Weight]])</f>
        <v/>
      </c>
      <c r="O1194" s="30"/>
      <c r="P119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94" s="30"/>
      <c r="R1194" s="30" t="str" cm="1">
        <f t="array" ref="R1194">Main_Log_Ref(Main_Log[[#This Row],[Carrier]])</f>
        <v/>
      </c>
    </row>
    <row r="1195" spans="1:18" ht="29.85" customHeight="1" x14ac:dyDescent="0.45">
      <c r="A1195" s="30">
        <v>5</v>
      </c>
      <c r="B1195" s="30"/>
      <c r="C1195" s="30"/>
      <c r="D1195" s="30"/>
      <c r="E1195" s="30"/>
      <c r="F1195" s="30"/>
      <c r="G1195" s="30"/>
      <c r="H1195" s="30"/>
      <c r="I1195" s="30"/>
      <c r="J1195" s="30"/>
      <c r="K1195" s="30"/>
      <c r="L1195" s="30"/>
      <c r="M1195" s="30"/>
      <c r="N1195" s="30" t="str" cm="1">
        <f t="array" ref="N1195">Main_Log_Status(Main_Log[[#This Row],[Carrier]],Main_Log[[#This Row],[Net Weight]])</f>
        <v/>
      </c>
      <c r="O1195" s="30"/>
      <c r="P119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95" s="30"/>
      <c r="R1195" s="30" t="str" cm="1">
        <f t="array" ref="R1195">Main_Log_Ref(Main_Log[[#This Row],[Carrier]])</f>
        <v/>
      </c>
    </row>
    <row r="1196" spans="1:18" ht="29.85" customHeight="1" x14ac:dyDescent="0.45">
      <c r="A1196" s="30">
        <v>6</v>
      </c>
      <c r="B1196" s="30"/>
      <c r="C1196" s="30"/>
      <c r="D1196" s="30"/>
      <c r="E1196" s="30"/>
      <c r="F1196" s="30"/>
      <c r="G1196" s="30"/>
      <c r="H1196" s="30"/>
      <c r="I1196" s="30"/>
      <c r="J1196" s="30"/>
      <c r="K1196" s="30"/>
      <c r="L1196" s="30"/>
      <c r="M1196" s="30"/>
      <c r="N1196" s="30" t="str" cm="1">
        <f t="array" ref="N1196">Main_Log_Status(Main_Log[[#This Row],[Carrier]],Main_Log[[#This Row],[Net Weight]])</f>
        <v/>
      </c>
      <c r="O1196" s="30"/>
      <c r="P119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96" s="30"/>
      <c r="R1196" s="30" t="str" cm="1">
        <f t="array" ref="R1196">Main_Log_Ref(Main_Log[[#This Row],[Carrier]])</f>
        <v/>
      </c>
    </row>
    <row r="1197" spans="1:18" ht="29.85" customHeight="1" x14ac:dyDescent="0.45">
      <c r="A1197" s="30">
        <v>7</v>
      </c>
      <c r="B1197" s="30"/>
      <c r="C1197" s="30"/>
      <c r="D1197" s="30"/>
      <c r="E1197" s="30"/>
      <c r="F1197" s="30"/>
      <c r="G1197" s="30"/>
      <c r="H1197" s="30"/>
      <c r="I1197" s="30"/>
      <c r="J1197" s="30"/>
      <c r="K1197" s="30"/>
      <c r="L1197" s="30"/>
      <c r="M1197" s="30"/>
      <c r="N1197" s="30" t="str" cm="1">
        <f t="array" ref="N1197">Main_Log_Status(Main_Log[[#This Row],[Carrier]],Main_Log[[#This Row],[Net Weight]])</f>
        <v/>
      </c>
      <c r="O1197" s="30"/>
      <c r="P119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97" s="30"/>
      <c r="R1197" s="30" t="str" cm="1">
        <f t="array" ref="R1197">Main_Log_Ref(Main_Log[[#This Row],[Carrier]])</f>
        <v/>
      </c>
    </row>
    <row r="1198" spans="1:18" ht="29.85" customHeight="1" x14ac:dyDescent="0.45">
      <c r="A1198" s="30">
        <v>8</v>
      </c>
      <c r="B1198" s="30"/>
      <c r="C1198" s="30"/>
      <c r="D1198" s="30"/>
      <c r="E1198" s="30"/>
      <c r="F1198" s="30"/>
      <c r="G1198" s="30"/>
      <c r="H1198" s="30"/>
      <c r="I1198" s="30"/>
      <c r="J1198" s="30"/>
      <c r="K1198" s="30"/>
      <c r="L1198" s="30"/>
      <c r="M1198" s="30"/>
      <c r="N1198" s="30" t="str" cm="1">
        <f t="array" ref="N1198">Main_Log_Status(Main_Log[[#This Row],[Carrier]],Main_Log[[#This Row],[Net Weight]])</f>
        <v/>
      </c>
      <c r="O1198" s="30"/>
      <c r="P119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98" s="30"/>
      <c r="R1198" s="30" t="str" cm="1">
        <f t="array" ref="R1198">Main_Log_Ref(Main_Log[[#This Row],[Carrier]])</f>
        <v/>
      </c>
    </row>
    <row r="1199" spans="1:18" ht="29.85" customHeight="1" x14ac:dyDescent="0.45">
      <c r="A1199" s="30">
        <v>9</v>
      </c>
      <c r="B1199" s="30"/>
      <c r="C1199" s="30"/>
      <c r="D1199" s="30"/>
      <c r="E1199" s="30"/>
      <c r="F1199" s="30"/>
      <c r="G1199" s="30"/>
      <c r="H1199" s="30"/>
      <c r="I1199" s="30"/>
      <c r="J1199" s="30"/>
      <c r="K1199" s="30"/>
      <c r="L1199" s="30"/>
      <c r="M1199" s="30"/>
      <c r="N1199" s="30" t="str" cm="1">
        <f t="array" ref="N1199">Main_Log_Status(Main_Log[[#This Row],[Carrier]],Main_Log[[#This Row],[Net Weight]])</f>
        <v/>
      </c>
      <c r="O1199" s="30"/>
      <c r="P119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199" s="30"/>
      <c r="R1199" s="30" t="str" cm="1">
        <f t="array" ref="R1199">Main_Log_Ref(Main_Log[[#This Row],[Carrier]])</f>
        <v/>
      </c>
    </row>
    <row r="1200" spans="1:18" ht="29.85" customHeight="1" x14ac:dyDescent="0.45">
      <c r="A1200" s="30">
        <v>10</v>
      </c>
      <c r="B1200" s="30"/>
      <c r="C1200" s="30"/>
      <c r="D1200" s="30"/>
      <c r="E1200" s="30"/>
      <c r="F1200" s="30"/>
      <c r="G1200" s="30"/>
      <c r="H1200" s="30"/>
      <c r="I1200" s="30"/>
      <c r="J1200" s="30"/>
      <c r="K1200" s="30"/>
      <c r="L1200" s="30"/>
      <c r="M1200" s="30"/>
      <c r="N1200" s="30" t="str" cm="1">
        <f t="array" ref="N1200">Main_Log_Status(Main_Log[[#This Row],[Carrier]],Main_Log[[#This Row],[Net Weight]])</f>
        <v/>
      </c>
      <c r="O1200" s="30"/>
      <c r="P120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00" s="30"/>
      <c r="R1200" s="30" t="str" cm="1">
        <f t="array" ref="R1200">Main_Log_Ref(Main_Log[[#This Row],[Carrier]])</f>
        <v/>
      </c>
    </row>
    <row r="1201" spans="1:18" ht="29.85" customHeight="1" x14ac:dyDescent="0.45">
      <c r="A1201" s="30">
        <v>11</v>
      </c>
      <c r="B1201" s="30"/>
      <c r="C1201" s="30"/>
      <c r="D1201" s="30"/>
      <c r="E1201" s="30"/>
      <c r="F1201" s="30"/>
      <c r="G1201" s="30"/>
      <c r="H1201" s="30"/>
      <c r="I1201" s="30"/>
      <c r="J1201" s="30"/>
      <c r="K1201" s="30"/>
      <c r="L1201" s="30"/>
      <c r="M1201" s="30"/>
      <c r="N1201" s="30" t="str" cm="1">
        <f t="array" ref="N1201">Main_Log_Status(Main_Log[[#This Row],[Carrier]],Main_Log[[#This Row],[Net Weight]])</f>
        <v/>
      </c>
      <c r="O1201" s="30"/>
      <c r="P120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01" s="30"/>
      <c r="R1201" s="30" t="str" cm="1">
        <f t="array" ref="R1201">Main_Log_Ref(Main_Log[[#This Row],[Carrier]])</f>
        <v/>
      </c>
    </row>
    <row r="1202" spans="1:18" ht="29.85" customHeight="1" x14ac:dyDescent="0.45">
      <c r="A1202" s="30">
        <v>12</v>
      </c>
      <c r="B1202" s="30"/>
      <c r="C1202" s="30"/>
      <c r="D1202" s="30"/>
      <c r="E1202" s="30"/>
      <c r="F1202" s="30"/>
      <c r="G1202" s="30"/>
      <c r="H1202" s="30"/>
      <c r="I1202" s="30"/>
      <c r="J1202" s="30"/>
      <c r="K1202" s="30"/>
      <c r="L1202" s="30"/>
      <c r="M1202" s="30"/>
      <c r="N1202" s="30" t="str" cm="1">
        <f t="array" ref="N1202">Main_Log_Status(Main_Log[[#This Row],[Carrier]],Main_Log[[#This Row],[Net Weight]])</f>
        <v/>
      </c>
      <c r="O1202" s="30"/>
      <c r="P120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02" s="30"/>
      <c r="R1202" s="30" t="str" cm="1">
        <f t="array" ref="R1202">Main_Log_Ref(Main_Log[[#This Row],[Carrier]])</f>
        <v/>
      </c>
    </row>
    <row r="1203" spans="1:18" ht="29.85" customHeight="1" x14ac:dyDescent="0.45">
      <c r="A1203" s="30">
        <v>13</v>
      </c>
      <c r="B1203" s="30"/>
      <c r="C1203" s="30"/>
      <c r="D1203" s="30"/>
      <c r="E1203" s="30"/>
      <c r="F1203" s="30"/>
      <c r="G1203" s="30"/>
      <c r="H1203" s="30"/>
      <c r="I1203" s="30"/>
      <c r="J1203" s="30"/>
      <c r="K1203" s="30"/>
      <c r="L1203" s="30"/>
      <c r="M1203" s="30"/>
      <c r="N1203" s="30" t="str" cm="1">
        <f t="array" ref="N1203">Main_Log_Status(Main_Log[[#This Row],[Carrier]],Main_Log[[#This Row],[Net Weight]])</f>
        <v/>
      </c>
      <c r="O1203" s="30"/>
      <c r="P120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03" s="30"/>
      <c r="R1203" s="30" t="str" cm="1">
        <f t="array" ref="R1203">Main_Log_Ref(Main_Log[[#This Row],[Carrier]])</f>
        <v/>
      </c>
    </row>
    <row r="1204" spans="1:18" ht="29.85" customHeight="1" x14ac:dyDescent="0.45">
      <c r="A1204" s="30">
        <v>14</v>
      </c>
      <c r="B1204" s="30"/>
      <c r="C1204" s="30"/>
      <c r="D1204" s="30"/>
      <c r="E1204" s="30"/>
      <c r="F1204" s="30"/>
      <c r="G1204" s="30"/>
      <c r="H1204" s="30"/>
      <c r="I1204" s="30"/>
      <c r="J1204" s="30"/>
      <c r="K1204" s="30"/>
      <c r="L1204" s="30"/>
      <c r="M1204" s="30"/>
      <c r="N1204" s="30" t="str" cm="1">
        <f t="array" ref="N1204">Main_Log_Status(Main_Log[[#This Row],[Carrier]],Main_Log[[#This Row],[Net Weight]])</f>
        <v/>
      </c>
      <c r="O1204" s="30"/>
      <c r="P120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04" s="30"/>
      <c r="R1204" s="30" t="str" cm="1">
        <f t="array" ref="R1204">Main_Log_Ref(Main_Log[[#This Row],[Carrier]])</f>
        <v/>
      </c>
    </row>
    <row r="1205" spans="1:18" ht="29.85" customHeight="1" x14ac:dyDescent="0.45">
      <c r="A1205" s="30">
        <v>15</v>
      </c>
      <c r="B1205" s="30"/>
      <c r="C1205" s="30"/>
      <c r="D1205" s="30"/>
      <c r="E1205" s="30"/>
      <c r="F1205" s="30"/>
      <c r="G1205" s="30"/>
      <c r="H1205" s="30"/>
      <c r="I1205" s="30"/>
      <c r="J1205" s="30"/>
      <c r="K1205" s="30"/>
      <c r="L1205" s="30"/>
      <c r="M1205" s="30"/>
      <c r="N1205" s="30" t="str" cm="1">
        <f t="array" ref="N1205">Main_Log_Status(Main_Log[[#This Row],[Carrier]],Main_Log[[#This Row],[Net Weight]])</f>
        <v/>
      </c>
      <c r="O1205" s="30"/>
      <c r="P120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05" s="30"/>
      <c r="R1205" s="30" t="str" cm="1">
        <f t="array" ref="R1205">Main_Log_Ref(Main_Log[[#This Row],[Carrier]])</f>
        <v/>
      </c>
    </row>
    <row r="1206" spans="1:18" ht="29.85" customHeight="1" x14ac:dyDescent="0.45">
      <c r="A1206" s="30">
        <v>16</v>
      </c>
      <c r="B1206" s="30"/>
      <c r="C1206" s="30"/>
      <c r="D1206" s="30"/>
      <c r="E1206" s="30"/>
      <c r="F1206" s="30"/>
      <c r="G1206" s="30"/>
      <c r="H1206" s="30"/>
      <c r="I1206" s="30"/>
      <c r="J1206" s="30"/>
      <c r="K1206" s="30"/>
      <c r="L1206" s="30"/>
      <c r="M1206" s="30"/>
      <c r="N1206" s="30" t="str" cm="1">
        <f t="array" ref="N1206">Main_Log_Status(Main_Log[[#This Row],[Carrier]],Main_Log[[#This Row],[Net Weight]])</f>
        <v/>
      </c>
      <c r="O1206" s="30"/>
      <c r="P120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06" s="30"/>
      <c r="R1206" s="30" t="str" cm="1">
        <f t="array" ref="R1206">Main_Log_Ref(Main_Log[[#This Row],[Carrier]])</f>
        <v/>
      </c>
    </row>
    <row r="1207" spans="1:18" ht="29.85" customHeight="1" x14ac:dyDescent="0.45">
      <c r="A1207" s="30">
        <v>17</v>
      </c>
      <c r="B1207" s="30"/>
      <c r="C1207" s="30"/>
      <c r="D1207" s="30"/>
      <c r="E1207" s="30"/>
      <c r="F1207" s="30"/>
      <c r="G1207" s="30"/>
      <c r="H1207" s="30"/>
      <c r="I1207" s="30"/>
      <c r="J1207" s="30"/>
      <c r="K1207" s="30"/>
      <c r="L1207" s="30"/>
      <c r="M1207" s="30"/>
      <c r="N1207" s="30" t="str" cm="1">
        <f t="array" ref="N1207">Main_Log_Status(Main_Log[[#This Row],[Carrier]],Main_Log[[#This Row],[Net Weight]])</f>
        <v/>
      </c>
      <c r="O1207" s="30"/>
      <c r="P120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07" s="30"/>
      <c r="R1207" s="30" t="str" cm="1">
        <f t="array" ref="R1207">Main_Log_Ref(Main_Log[[#This Row],[Carrier]])</f>
        <v/>
      </c>
    </row>
    <row r="1208" spans="1:18" ht="29.85" customHeight="1" x14ac:dyDescent="0.45">
      <c r="A1208" s="30">
        <v>18</v>
      </c>
      <c r="B1208" s="30"/>
      <c r="C1208" s="30"/>
      <c r="D1208" s="30"/>
      <c r="E1208" s="30"/>
      <c r="F1208" s="30"/>
      <c r="G1208" s="30"/>
      <c r="H1208" s="30"/>
      <c r="I1208" s="30"/>
      <c r="J1208" s="30"/>
      <c r="K1208" s="30"/>
      <c r="L1208" s="30"/>
      <c r="M1208" s="30"/>
      <c r="N1208" s="30" t="str" cm="1">
        <f t="array" ref="N1208">Main_Log_Status(Main_Log[[#This Row],[Carrier]],Main_Log[[#This Row],[Net Weight]])</f>
        <v/>
      </c>
      <c r="O1208" s="30"/>
      <c r="P120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08" s="30"/>
      <c r="R1208" s="30" t="str" cm="1">
        <f t="array" ref="R1208">Main_Log_Ref(Main_Log[[#This Row],[Carrier]])</f>
        <v/>
      </c>
    </row>
    <row r="1209" spans="1:18" ht="29.85" customHeight="1" x14ac:dyDescent="0.45">
      <c r="A1209" s="30">
        <v>19</v>
      </c>
      <c r="B1209" s="30"/>
      <c r="C1209" s="30"/>
      <c r="D1209" s="30"/>
      <c r="E1209" s="30"/>
      <c r="F1209" s="30"/>
      <c r="G1209" s="30"/>
      <c r="H1209" s="30"/>
      <c r="I1209" s="30"/>
      <c r="J1209" s="30"/>
      <c r="K1209" s="30"/>
      <c r="L1209" s="30"/>
      <c r="M1209" s="30"/>
      <c r="N1209" s="30" t="str" cm="1">
        <f t="array" ref="N1209">Main_Log_Status(Main_Log[[#This Row],[Carrier]],Main_Log[[#This Row],[Net Weight]])</f>
        <v/>
      </c>
      <c r="O1209" s="30"/>
      <c r="P120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09" s="30"/>
      <c r="R1209" s="30" t="str" cm="1">
        <f t="array" ref="R1209">Main_Log_Ref(Main_Log[[#This Row],[Carrier]])</f>
        <v/>
      </c>
    </row>
    <row r="1210" spans="1:18" ht="29.85" customHeight="1" x14ac:dyDescent="0.45">
      <c r="A1210" s="30">
        <v>20</v>
      </c>
      <c r="B1210" s="30"/>
      <c r="C1210" s="30"/>
      <c r="D1210" s="30"/>
      <c r="E1210" s="30"/>
      <c r="F1210" s="30"/>
      <c r="G1210" s="30"/>
      <c r="H1210" s="30"/>
      <c r="I1210" s="30"/>
      <c r="J1210" s="30"/>
      <c r="K1210" s="30"/>
      <c r="L1210" s="30"/>
      <c r="M1210" s="30"/>
      <c r="N1210" s="30" t="str" cm="1">
        <f t="array" ref="N1210">Main_Log_Status(Main_Log[[#This Row],[Carrier]],Main_Log[[#This Row],[Net Weight]])</f>
        <v/>
      </c>
      <c r="O1210" s="30"/>
      <c r="P121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10" s="30"/>
      <c r="R1210" s="30" t="str" cm="1">
        <f t="array" ref="R1210">Main_Log_Ref(Main_Log[[#This Row],[Carrier]])</f>
        <v/>
      </c>
    </row>
    <row r="1211" spans="1:18" ht="29.85" customHeight="1" x14ac:dyDescent="0.45">
      <c r="A1211" s="30">
        <v>21</v>
      </c>
      <c r="B1211" s="30"/>
      <c r="C1211" s="30"/>
      <c r="D1211" s="30"/>
      <c r="E1211" s="30"/>
      <c r="F1211" s="30"/>
      <c r="G1211" s="30"/>
      <c r="H1211" s="30"/>
      <c r="I1211" s="30"/>
      <c r="J1211" s="30"/>
      <c r="K1211" s="30"/>
      <c r="L1211" s="30"/>
      <c r="M1211" s="30"/>
      <c r="N1211" s="30" t="str" cm="1">
        <f t="array" ref="N1211">Main_Log_Status(Main_Log[[#This Row],[Carrier]],Main_Log[[#This Row],[Net Weight]])</f>
        <v/>
      </c>
      <c r="O1211" s="30"/>
      <c r="P121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11" s="30"/>
      <c r="R1211" s="30" t="str" cm="1">
        <f t="array" ref="R1211">Main_Log_Ref(Main_Log[[#This Row],[Carrier]])</f>
        <v/>
      </c>
    </row>
    <row r="1212" spans="1:18" ht="29.85" customHeight="1" x14ac:dyDescent="0.45">
      <c r="A1212" s="30">
        <v>22</v>
      </c>
      <c r="B1212" s="30"/>
      <c r="C1212" s="30"/>
      <c r="D1212" s="30"/>
      <c r="E1212" s="30"/>
      <c r="F1212" s="30"/>
      <c r="G1212" s="30"/>
      <c r="H1212" s="30"/>
      <c r="I1212" s="30"/>
      <c r="J1212" s="30"/>
      <c r="K1212" s="30"/>
      <c r="L1212" s="30"/>
      <c r="M1212" s="30"/>
      <c r="N1212" s="30" t="str" cm="1">
        <f t="array" ref="N1212">Main_Log_Status(Main_Log[[#This Row],[Carrier]],Main_Log[[#This Row],[Net Weight]])</f>
        <v/>
      </c>
      <c r="O1212" s="30"/>
      <c r="P121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12" s="30"/>
      <c r="R1212" s="30" t="str" cm="1">
        <f t="array" ref="R1212">Main_Log_Ref(Main_Log[[#This Row],[Carrier]])</f>
        <v/>
      </c>
    </row>
    <row r="1213" spans="1:18" ht="29.85" customHeight="1" x14ac:dyDescent="0.45">
      <c r="A1213" s="30">
        <v>23</v>
      </c>
      <c r="B1213" s="30"/>
      <c r="C1213" s="30"/>
      <c r="D1213" s="30"/>
      <c r="E1213" s="30"/>
      <c r="F1213" s="30"/>
      <c r="G1213" s="30"/>
      <c r="H1213" s="30"/>
      <c r="I1213" s="30"/>
      <c r="J1213" s="30"/>
      <c r="K1213" s="30"/>
      <c r="L1213" s="30"/>
      <c r="M1213" s="30"/>
      <c r="N1213" s="30" t="str" cm="1">
        <f t="array" ref="N1213">Main_Log_Status(Main_Log[[#This Row],[Carrier]],Main_Log[[#This Row],[Net Weight]])</f>
        <v/>
      </c>
      <c r="O1213" s="30"/>
      <c r="P121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13" s="30"/>
      <c r="R1213" s="30" t="str" cm="1">
        <f t="array" ref="R1213">Main_Log_Ref(Main_Log[[#This Row],[Carrier]])</f>
        <v/>
      </c>
    </row>
    <row r="1214" spans="1:18" ht="29.85" customHeight="1" x14ac:dyDescent="0.45">
      <c r="A1214" s="30">
        <v>24</v>
      </c>
      <c r="B1214" s="30"/>
      <c r="C1214" s="30"/>
      <c r="D1214" s="30"/>
      <c r="E1214" s="30"/>
      <c r="F1214" s="30"/>
      <c r="G1214" s="30"/>
      <c r="H1214" s="30"/>
      <c r="I1214" s="30"/>
      <c r="J1214" s="30"/>
      <c r="K1214" s="30"/>
      <c r="L1214" s="30"/>
      <c r="M1214" s="30"/>
      <c r="N1214" s="30" t="str" cm="1">
        <f t="array" ref="N1214">Main_Log_Status(Main_Log[[#This Row],[Carrier]],Main_Log[[#This Row],[Net Weight]])</f>
        <v/>
      </c>
      <c r="O1214" s="30"/>
      <c r="P121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14" s="30"/>
      <c r="R1214" s="30" t="str" cm="1">
        <f t="array" ref="R1214">Main_Log_Ref(Main_Log[[#This Row],[Carrier]])</f>
        <v/>
      </c>
    </row>
    <row r="1215" spans="1:18" ht="29.85" customHeight="1" x14ac:dyDescent="0.45">
      <c r="A1215" s="30">
        <v>25</v>
      </c>
      <c r="B1215" s="30"/>
      <c r="C1215" s="30"/>
      <c r="D1215" s="30"/>
      <c r="E1215" s="30"/>
      <c r="F1215" s="30"/>
      <c r="G1215" s="30"/>
      <c r="H1215" s="30"/>
      <c r="I1215" s="30"/>
      <c r="J1215" s="30"/>
      <c r="K1215" s="30"/>
      <c r="L1215" s="30"/>
      <c r="M1215" s="30"/>
      <c r="N1215" s="30" t="str" cm="1">
        <f t="array" ref="N1215">Main_Log_Status(Main_Log[[#This Row],[Carrier]],Main_Log[[#This Row],[Net Weight]])</f>
        <v/>
      </c>
      <c r="O1215" s="30"/>
      <c r="P121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15" s="30"/>
      <c r="R1215" s="30" t="str" cm="1">
        <f t="array" ref="R1215">Main_Log_Ref(Main_Log[[#This Row],[Carrier]])</f>
        <v/>
      </c>
    </row>
    <row r="1216" spans="1:18" ht="29.85" customHeight="1" x14ac:dyDescent="0.45">
      <c r="A1216" s="30">
        <v>26</v>
      </c>
      <c r="B1216" s="30"/>
      <c r="C1216" s="30"/>
      <c r="D1216" s="30"/>
      <c r="E1216" s="30"/>
      <c r="F1216" s="30"/>
      <c r="G1216" s="30"/>
      <c r="H1216" s="30"/>
      <c r="I1216" s="30"/>
      <c r="J1216" s="30"/>
      <c r="K1216" s="30"/>
      <c r="L1216" s="30"/>
      <c r="M1216" s="30"/>
      <c r="N1216" s="30" t="str" cm="1">
        <f t="array" ref="N1216">Main_Log_Status(Main_Log[[#This Row],[Carrier]],Main_Log[[#This Row],[Net Weight]])</f>
        <v/>
      </c>
      <c r="O1216" s="30"/>
      <c r="P121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16" s="30"/>
      <c r="R1216" s="30" t="str" cm="1">
        <f t="array" ref="R1216">Main_Log_Ref(Main_Log[[#This Row],[Carrier]])</f>
        <v/>
      </c>
    </row>
    <row r="1217" spans="1:18" ht="29.85" customHeight="1" x14ac:dyDescent="0.45">
      <c r="A1217" s="30">
        <v>27</v>
      </c>
      <c r="B1217" s="30"/>
      <c r="C1217" s="30"/>
      <c r="D1217" s="30"/>
      <c r="E1217" s="30"/>
      <c r="F1217" s="30"/>
      <c r="G1217" s="30"/>
      <c r="H1217" s="30"/>
      <c r="I1217" s="30"/>
      <c r="J1217" s="30"/>
      <c r="K1217" s="30"/>
      <c r="L1217" s="30"/>
      <c r="M1217" s="30"/>
      <c r="N1217" s="30" t="str" cm="1">
        <f t="array" ref="N1217">Main_Log_Status(Main_Log[[#This Row],[Carrier]],Main_Log[[#This Row],[Net Weight]])</f>
        <v/>
      </c>
      <c r="O1217" s="30"/>
      <c r="P121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17" s="30"/>
      <c r="R1217" s="30" t="str" cm="1">
        <f t="array" ref="R1217">Main_Log_Ref(Main_Log[[#This Row],[Carrier]])</f>
        <v/>
      </c>
    </row>
    <row r="1218" spans="1:18" ht="29.85" customHeight="1" x14ac:dyDescent="0.45">
      <c r="A1218" s="30">
        <v>28</v>
      </c>
      <c r="B1218" s="30"/>
      <c r="C1218" s="30"/>
      <c r="D1218" s="30"/>
      <c r="E1218" s="30"/>
      <c r="F1218" s="30"/>
      <c r="G1218" s="30"/>
      <c r="H1218" s="30"/>
      <c r="I1218" s="30"/>
      <c r="J1218" s="30"/>
      <c r="K1218" s="30"/>
      <c r="L1218" s="30"/>
      <c r="M1218" s="30"/>
      <c r="N1218" s="30" t="str" cm="1">
        <f t="array" ref="N1218">Main_Log_Status(Main_Log[[#This Row],[Carrier]],Main_Log[[#This Row],[Net Weight]])</f>
        <v/>
      </c>
      <c r="O1218" s="30"/>
      <c r="P121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18" s="30"/>
      <c r="R1218" s="30" t="str" cm="1">
        <f t="array" ref="R1218">Main_Log_Ref(Main_Log[[#This Row],[Carrier]])</f>
        <v/>
      </c>
    </row>
    <row r="1219" spans="1:18" ht="29.85" customHeight="1" x14ac:dyDescent="0.45">
      <c r="A1219" s="30">
        <v>29</v>
      </c>
      <c r="B1219" s="30"/>
      <c r="C1219" s="30"/>
      <c r="D1219" s="30"/>
      <c r="E1219" s="30"/>
      <c r="F1219" s="30"/>
      <c r="G1219" s="30"/>
      <c r="H1219" s="30"/>
      <c r="I1219" s="30"/>
      <c r="J1219" s="30"/>
      <c r="K1219" s="30"/>
      <c r="L1219" s="30"/>
      <c r="M1219" s="30"/>
      <c r="N1219" s="30" t="str" cm="1">
        <f t="array" ref="N1219">Main_Log_Status(Main_Log[[#This Row],[Carrier]],Main_Log[[#This Row],[Net Weight]])</f>
        <v/>
      </c>
      <c r="O1219" s="30"/>
      <c r="P121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19" s="30"/>
      <c r="R1219" s="30" t="str" cm="1">
        <f t="array" ref="R1219">Main_Log_Ref(Main_Log[[#This Row],[Carrier]])</f>
        <v/>
      </c>
    </row>
    <row r="1220" spans="1:18" ht="29.85" customHeight="1" x14ac:dyDescent="0.45">
      <c r="A1220" s="30">
        <v>30</v>
      </c>
      <c r="B1220" s="30"/>
      <c r="C1220" s="30"/>
      <c r="D1220" s="30"/>
      <c r="E1220" s="30"/>
      <c r="F1220" s="30"/>
      <c r="G1220" s="30"/>
      <c r="H1220" s="30"/>
      <c r="I1220" s="30"/>
      <c r="J1220" s="30"/>
      <c r="K1220" s="30"/>
      <c r="L1220" s="30"/>
      <c r="M1220" s="30"/>
      <c r="N1220" s="30" t="str" cm="1">
        <f t="array" ref="N1220">Main_Log_Status(Main_Log[[#This Row],[Carrier]],Main_Log[[#This Row],[Net Weight]])</f>
        <v/>
      </c>
      <c r="O1220" s="30"/>
      <c r="P122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20" s="30"/>
      <c r="R1220" s="30" t="str" cm="1">
        <f t="array" ref="R1220">Main_Log_Ref(Main_Log[[#This Row],[Carrier]])</f>
        <v/>
      </c>
    </row>
    <row r="1221" spans="1:18" ht="29.85" customHeight="1" x14ac:dyDescent="0.45">
      <c r="A1221" s="30">
        <v>31</v>
      </c>
      <c r="B1221" s="30"/>
      <c r="C1221" s="30"/>
      <c r="D1221" s="30"/>
      <c r="E1221" s="30"/>
      <c r="F1221" s="30"/>
      <c r="G1221" s="30"/>
      <c r="H1221" s="30"/>
      <c r="I1221" s="30"/>
      <c r="J1221" s="30"/>
      <c r="K1221" s="30"/>
      <c r="L1221" s="30"/>
      <c r="M1221" s="30"/>
      <c r="N1221" s="30" t="str" cm="1">
        <f t="array" ref="N1221">Main_Log_Status(Main_Log[[#This Row],[Carrier]],Main_Log[[#This Row],[Net Weight]])</f>
        <v/>
      </c>
      <c r="O1221" s="30"/>
      <c r="P122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21" s="30"/>
      <c r="R1221" s="30" t="str" cm="1">
        <f t="array" ref="R1221">Main_Log_Ref(Main_Log[[#This Row],[Carrier]])</f>
        <v/>
      </c>
    </row>
    <row r="1222" spans="1:18" ht="29.85" customHeight="1" x14ac:dyDescent="0.45">
      <c r="A1222" s="30">
        <v>32</v>
      </c>
      <c r="B1222" s="30"/>
      <c r="C1222" s="30"/>
      <c r="D1222" s="30"/>
      <c r="E1222" s="30"/>
      <c r="F1222" s="30"/>
      <c r="G1222" s="30"/>
      <c r="H1222" s="30"/>
      <c r="I1222" s="30"/>
      <c r="J1222" s="30"/>
      <c r="K1222" s="30"/>
      <c r="L1222" s="30"/>
      <c r="M1222" s="30"/>
      <c r="N1222" s="30" t="str" cm="1">
        <f t="array" ref="N1222">Main_Log_Status(Main_Log[[#This Row],[Carrier]],Main_Log[[#This Row],[Net Weight]])</f>
        <v/>
      </c>
      <c r="O1222" s="30"/>
      <c r="P122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22" s="30"/>
      <c r="R1222" s="30" t="str" cm="1">
        <f t="array" ref="R1222">Main_Log_Ref(Main_Log[[#This Row],[Carrier]])</f>
        <v/>
      </c>
    </row>
    <row r="1223" spans="1:18" ht="29.85" customHeight="1" x14ac:dyDescent="0.45">
      <c r="A1223" s="30">
        <v>33</v>
      </c>
      <c r="B1223" s="30"/>
      <c r="C1223" s="30"/>
      <c r="D1223" s="30"/>
      <c r="E1223" s="30"/>
      <c r="F1223" s="30"/>
      <c r="G1223" s="30"/>
      <c r="H1223" s="30"/>
      <c r="I1223" s="30"/>
      <c r="J1223" s="30"/>
      <c r="K1223" s="30"/>
      <c r="L1223" s="30"/>
      <c r="M1223" s="30"/>
      <c r="N1223" s="30" t="str" cm="1">
        <f t="array" ref="N1223">Main_Log_Status(Main_Log[[#This Row],[Carrier]],Main_Log[[#This Row],[Net Weight]])</f>
        <v/>
      </c>
      <c r="O1223" s="30"/>
      <c r="P122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23" s="30"/>
      <c r="R1223" s="30" t="str" cm="1">
        <f t="array" ref="R1223">Main_Log_Ref(Main_Log[[#This Row],[Carrier]])</f>
        <v/>
      </c>
    </row>
    <row r="1224" spans="1:18" ht="29.85" customHeight="1" x14ac:dyDescent="0.45">
      <c r="A1224" s="30">
        <v>34</v>
      </c>
      <c r="B1224" s="30"/>
      <c r="C1224" s="30"/>
      <c r="D1224" s="30"/>
      <c r="E1224" s="30"/>
      <c r="F1224" s="30"/>
      <c r="G1224" s="30"/>
      <c r="H1224" s="30"/>
      <c r="I1224" s="30"/>
      <c r="J1224" s="30"/>
      <c r="K1224" s="30"/>
      <c r="L1224" s="30"/>
      <c r="M1224" s="30"/>
      <c r="N1224" s="30" t="str" cm="1">
        <f t="array" ref="N1224">Main_Log_Status(Main_Log[[#This Row],[Carrier]],Main_Log[[#This Row],[Net Weight]])</f>
        <v/>
      </c>
      <c r="O1224" s="30"/>
      <c r="P122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24" s="30"/>
      <c r="R1224" s="30" t="str" cm="1">
        <f t="array" ref="R1224">Main_Log_Ref(Main_Log[[#This Row],[Carrier]])</f>
        <v/>
      </c>
    </row>
    <row r="1225" spans="1:18" ht="29.85" customHeight="1" x14ac:dyDescent="0.45">
      <c r="A1225" s="30">
        <v>35</v>
      </c>
      <c r="B1225" s="30"/>
      <c r="C1225" s="30"/>
      <c r="D1225" s="30"/>
      <c r="E1225" s="30"/>
      <c r="F1225" s="30"/>
      <c r="G1225" s="30"/>
      <c r="H1225" s="30"/>
      <c r="I1225" s="30"/>
      <c r="J1225" s="30"/>
      <c r="K1225" s="30"/>
      <c r="L1225" s="30"/>
      <c r="M1225" s="30"/>
      <c r="N1225" s="30" t="str" cm="1">
        <f t="array" ref="N1225">Main_Log_Status(Main_Log[[#This Row],[Carrier]],Main_Log[[#This Row],[Net Weight]])</f>
        <v/>
      </c>
      <c r="O1225" s="30"/>
      <c r="P122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25" s="30"/>
      <c r="R1225" s="30" t="str" cm="1">
        <f t="array" ref="R1225">Main_Log_Ref(Main_Log[[#This Row],[Carrier]])</f>
        <v/>
      </c>
    </row>
    <row r="1226" spans="1:18" ht="29.85" customHeight="1" x14ac:dyDescent="0.45">
      <c r="A1226" s="30">
        <v>36</v>
      </c>
      <c r="B1226" s="30"/>
      <c r="C1226" s="30"/>
      <c r="D1226" s="30"/>
      <c r="E1226" s="30"/>
      <c r="F1226" s="30"/>
      <c r="G1226" s="30"/>
      <c r="H1226" s="30"/>
      <c r="I1226" s="30"/>
      <c r="J1226" s="30"/>
      <c r="K1226" s="30"/>
      <c r="L1226" s="30"/>
      <c r="M1226" s="30"/>
      <c r="N1226" s="30" t="str" cm="1">
        <f t="array" ref="N1226">Main_Log_Status(Main_Log[[#This Row],[Carrier]],Main_Log[[#This Row],[Net Weight]])</f>
        <v/>
      </c>
      <c r="O1226" s="30"/>
      <c r="P122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26" s="30"/>
      <c r="R1226" s="30" t="str" cm="1">
        <f t="array" ref="R1226">Main_Log_Ref(Main_Log[[#This Row],[Carrier]])</f>
        <v/>
      </c>
    </row>
    <row r="1227" spans="1:18" ht="29.85" customHeight="1" x14ac:dyDescent="0.45">
      <c r="A1227" s="30">
        <v>37</v>
      </c>
      <c r="B1227" s="30"/>
      <c r="C1227" s="30"/>
      <c r="D1227" s="30"/>
      <c r="E1227" s="30"/>
      <c r="F1227" s="30"/>
      <c r="G1227" s="30"/>
      <c r="H1227" s="30"/>
      <c r="I1227" s="30"/>
      <c r="J1227" s="30"/>
      <c r="K1227" s="30"/>
      <c r="L1227" s="30"/>
      <c r="M1227" s="30"/>
      <c r="N1227" s="30" t="str" cm="1">
        <f t="array" ref="N1227">Main_Log_Status(Main_Log[[#This Row],[Carrier]],Main_Log[[#This Row],[Net Weight]])</f>
        <v/>
      </c>
      <c r="O1227" s="30"/>
      <c r="P122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27" s="30"/>
      <c r="R1227" s="30" t="str" cm="1">
        <f t="array" ref="R1227">Main_Log_Ref(Main_Log[[#This Row],[Carrier]])</f>
        <v/>
      </c>
    </row>
    <row r="1228" spans="1:18" ht="29.85" customHeight="1" x14ac:dyDescent="0.45">
      <c r="A1228" s="30">
        <v>38</v>
      </c>
      <c r="B1228" s="30"/>
      <c r="C1228" s="30"/>
      <c r="D1228" s="30"/>
      <c r="E1228" s="30"/>
      <c r="F1228" s="30"/>
      <c r="G1228" s="30"/>
      <c r="H1228" s="30"/>
      <c r="I1228" s="30"/>
      <c r="J1228" s="30"/>
      <c r="K1228" s="30"/>
      <c r="L1228" s="30"/>
      <c r="M1228" s="30"/>
      <c r="N1228" s="30" t="str" cm="1">
        <f t="array" ref="N1228">Main_Log_Status(Main_Log[[#This Row],[Carrier]],Main_Log[[#This Row],[Net Weight]])</f>
        <v/>
      </c>
      <c r="O1228" s="30"/>
      <c r="P122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28" s="30"/>
      <c r="R1228" s="30" t="str" cm="1">
        <f t="array" ref="R1228">Main_Log_Ref(Main_Log[[#This Row],[Carrier]])</f>
        <v/>
      </c>
    </row>
    <row r="1229" spans="1:18" ht="29.85" customHeight="1" x14ac:dyDescent="0.45">
      <c r="A1229" s="30">
        <v>39</v>
      </c>
      <c r="B1229" s="30"/>
      <c r="C1229" s="30"/>
      <c r="D1229" s="30"/>
      <c r="E1229" s="30"/>
      <c r="F1229" s="30"/>
      <c r="G1229" s="30"/>
      <c r="H1229" s="30"/>
      <c r="I1229" s="30"/>
      <c r="J1229" s="30"/>
      <c r="K1229" s="30"/>
      <c r="L1229" s="30"/>
      <c r="M1229" s="30"/>
      <c r="N1229" s="30" t="str" cm="1">
        <f t="array" ref="N1229">Main_Log_Status(Main_Log[[#This Row],[Carrier]],Main_Log[[#This Row],[Net Weight]])</f>
        <v/>
      </c>
      <c r="O1229" s="30"/>
      <c r="P122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29" s="30"/>
      <c r="R1229" s="30" t="str" cm="1">
        <f t="array" ref="R1229">Main_Log_Ref(Main_Log[[#This Row],[Carrier]])</f>
        <v/>
      </c>
    </row>
    <row r="1230" spans="1:18" ht="29.85" customHeight="1" x14ac:dyDescent="0.45">
      <c r="A1230" s="30">
        <v>40</v>
      </c>
      <c r="B1230" s="30"/>
      <c r="C1230" s="30"/>
      <c r="D1230" s="30"/>
      <c r="E1230" s="30"/>
      <c r="F1230" s="30"/>
      <c r="G1230" s="30"/>
      <c r="H1230" s="30"/>
      <c r="I1230" s="30"/>
      <c r="J1230" s="30"/>
      <c r="K1230" s="30"/>
      <c r="L1230" s="30"/>
      <c r="M1230" s="30"/>
      <c r="N1230" s="30" t="str" cm="1">
        <f t="array" ref="N1230">Main_Log_Status(Main_Log[[#This Row],[Carrier]],Main_Log[[#This Row],[Net Weight]])</f>
        <v/>
      </c>
      <c r="O1230" s="30"/>
      <c r="P123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30" s="30"/>
      <c r="R1230" s="30" t="str" cm="1">
        <f t="array" ref="R1230">Main_Log_Ref(Main_Log[[#This Row],[Carrier]])</f>
        <v/>
      </c>
    </row>
    <row r="1231" spans="1:18" ht="29.85" customHeight="1" x14ac:dyDescent="0.45">
      <c r="A1231" s="30">
        <v>41</v>
      </c>
      <c r="B1231" s="30"/>
      <c r="C1231" s="30"/>
      <c r="D1231" s="30"/>
      <c r="E1231" s="30"/>
      <c r="F1231" s="30"/>
      <c r="G1231" s="30"/>
      <c r="H1231" s="30"/>
      <c r="I1231" s="30"/>
      <c r="J1231" s="30"/>
      <c r="K1231" s="30"/>
      <c r="L1231" s="30"/>
      <c r="M1231" s="30"/>
      <c r="N1231" s="30" t="str" cm="1">
        <f t="array" ref="N1231">Main_Log_Status(Main_Log[[#This Row],[Carrier]],Main_Log[[#This Row],[Net Weight]])</f>
        <v/>
      </c>
      <c r="O1231" s="30"/>
      <c r="P123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31" s="30"/>
      <c r="R1231" s="30" t="str" cm="1">
        <f t="array" ref="R1231">Main_Log_Ref(Main_Log[[#This Row],[Carrier]])</f>
        <v/>
      </c>
    </row>
    <row r="1232" spans="1:18" ht="29.85" customHeight="1" x14ac:dyDescent="0.45">
      <c r="A1232" s="30">
        <v>42</v>
      </c>
      <c r="B1232" s="30"/>
      <c r="C1232" s="30"/>
      <c r="D1232" s="30"/>
      <c r="E1232" s="30"/>
      <c r="F1232" s="30"/>
      <c r="G1232" s="30"/>
      <c r="H1232" s="30"/>
      <c r="I1232" s="30"/>
      <c r="J1232" s="30"/>
      <c r="K1232" s="30"/>
      <c r="L1232" s="30"/>
      <c r="M1232" s="30"/>
      <c r="N1232" s="30" t="str" cm="1">
        <f t="array" ref="N1232">Main_Log_Status(Main_Log[[#This Row],[Carrier]],Main_Log[[#This Row],[Net Weight]])</f>
        <v/>
      </c>
      <c r="O1232" s="30"/>
      <c r="P123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32" s="30"/>
      <c r="R1232" s="30" t="str" cm="1">
        <f t="array" ref="R1232">Main_Log_Ref(Main_Log[[#This Row],[Carrier]])</f>
        <v/>
      </c>
    </row>
    <row r="1233" spans="1:18" ht="29.85" customHeight="1" x14ac:dyDescent="0.45">
      <c r="A1233" s="30">
        <v>43</v>
      </c>
      <c r="B1233" s="30"/>
      <c r="C1233" s="30"/>
      <c r="D1233" s="30"/>
      <c r="E1233" s="30"/>
      <c r="F1233" s="30"/>
      <c r="G1233" s="30"/>
      <c r="H1233" s="30"/>
      <c r="I1233" s="30"/>
      <c r="J1233" s="30"/>
      <c r="K1233" s="30"/>
      <c r="L1233" s="30"/>
      <c r="M1233" s="30"/>
      <c r="N1233" s="30" t="str" cm="1">
        <f t="array" ref="N1233">Main_Log_Status(Main_Log[[#This Row],[Carrier]],Main_Log[[#This Row],[Net Weight]])</f>
        <v/>
      </c>
      <c r="O1233" s="30"/>
      <c r="P123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33" s="30"/>
      <c r="R1233" s="30" t="str" cm="1">
        <f t="array" ref="R1233">Main_Log_Ref(Main_Log[[#This Row],[Carrier]])</f>
        <v/>
      </c>
    </row>
    <row r="1234" spans="1:18" ht="29.85" customHeight="1" x14ac:dyDescent="0.45">
      <c r="A1234" s="30">
        <v>44</v>
      </c>
      <c r="B1234" s="30"/>
      <c r="C1234" s="30"/>
      <c r="D1234" s="30"/>
      <c r="E1234" s="30"/>
      <c r="F1234" s="30"/>
      <c r="G1234" s="30"/>
      <c r="H1234" s="30"/>
      <c r="I1234" s="30"/>
      <c r="J1234" s="30"/>
      <c r="K1234" s="30"/>
      <c r="L1234" s="30"/>
      <c r="M1234" s="30"/>
      <c r="N1234" s="30" t="str" cm="1">
        <f t="array" ref="N1234">Main_Log_Status(Main_Log[[#This Row],[Carrier]],Main_Log[[#This Row],[Net Weight]])</f>
        <v/>
      </c>
      <c r="O1234" s="30"/>
      <c r="P123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34" s="30"/>
      <c r="R1234" s="30" t="str" cm="1">
        <f t="array" ref="R1234">Main_Log_Ref(Main_Log[[#This Row],[Carrier]])</f>
        <v/>
      </c>
    </row>
    <row r="1235" spans="1:18" ht="29.85" customHeight="1" x14ac:dyDescent="0.45">
      <c r="A1235" s="30">
        <v>45</v>
      </c>
      <c r="B1235" s="30"/>
      <c r="C1235" s="30"/>
      <c r="D1235" s="30"/>
      <c r="E1235" s="30"/>
      <c r="F1235" s="30"/>
      <c r="G1235" s="30"/>
      <c r="H1235" s="30"/>
      <c r="I1235" s="30"/>
      <c r="J1235" s="30"/>
      <c r="K1235" s="30"/>
      <c r="L1235" s="30"/>
      <c r="M1235" s="30"/>
      <c r="N1235" s="30" t="str" cm="1">
        <f t="array" ref="N1235">Main_Log_Status(Main_Log[[#This Row],[Carrier]],Main_Log[[#This Row],[Net Weight]])</f>
        <v/>
      </c>
      <c r="O1235" s="30"/>
      <c r="P123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35" s="30"/>
      <c r="R1235" s="30" t="str" cm="1">
        <f t="array" ref="R1235">Main_Log_Ref(Main_Log[[#This Row],[Carrier]])</f>
        <v/>
      </c>
    </row>
    <row r="1236" spans="1:18" ht="29.85" customHeight="1" x14ac:dyDescent="0.45">
      <c r="A1236" s="30">
        <v>46</v>
      </c>
      <c r="B1236" s="30"/>
      <c r="C1236" s="30"/>
      <c r="D1236" s="30"/>
      <c r="E1236" s="30"/>
      <c r="F1236" s="30"/>
      <c r="G1236" s="30"/>
      <c r="H1236" s="30"/>
      <c r="I1236" s="30"/>
      <c r="J1236" s="30"/>
      <c r="K1236" s="30"/>
      <c r="L1236" s="30"/>
      <c r="M1236" s="30"/>
      <c r="N1236" s="30" t="str" cm="1">
        <f t="array" ref="N1236">Main_Log_Status(Main_Log[[#This Row],[Carrier]],Main_Log[[#This Row],[Net Weight]])</f>
        <v/>
      </c>
      <c r="O1236" s="30"/>
      <c r="P123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36" s="30"/>
      <c r="R1236" s="30" t="str" cm="1">
        <f t="array" ref="R1236">Main_Log_Ref(Main_Log[[#This Row],[Carrier]])</f>
        <v/>
      </c>
    </row>
    <row r="1237" spans="1:18" ht="29.85" customHeight="1" x14ac:dyDescent="0.45">
      <c r="A1237" s="30">
        <v>47</v>
      </c>
      <c r="B1237" s="30"/>
      <c r="C1237" s="30"/>
      <c r="D1237" s="30"/>
      <c r="E1237" s="30"/>
      <c r="F1237" s="30"/>
      <c r="G1237" s="30"/>
      <c r="H1237" s="30"/>
      <c r="I1237" s="30"/>
      <c r="J1237" s="30"/>
      <c r="K1237" s="30"/>
      <c r="L1237" s="30"/>
      <c r="M1237" s="30"/>
      <c r="N1237" s="30" t="str" cm="1">
        <f t="array" ref="N1237">Main_Log_Status(Main_Log[[#This Row],[Carrier]],Main_Log[[#This Row],[Net Weight]])</f>
        <v/>
      </c>
      <c r="O1237" s="30"/>
      <c r="P123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37" s="30"/>
      <c r="R1237" s="30" t="str" cm="1">
        <f t="array" ref="R1237">Main_Log_Ref(Main_Log[[#This Row],[Carrier]])</f>
        <v/>
      </c>
    </row>
    <row r="1238" spans="1:18" ht="29.85" customHeight="1" x14ac:dyDescent="0.45">
      <c r="A1238" s="30">
        <v>48</v>
      </c>
      <c r="B1238" s="30"/>
      <c r="C1238" s="30"/>
      <c r="D1238" s="30"/>
      <c r="E1238" s="30"/>
      <c r="F1238" s="30"/>
      <c r="G1238" s="30"/>
      <c r="H1238" s="30"/>
      <c r="I1238" s="30"/>
      <c r="J1238" s="30"/>
      <c r="K1238" s="30"/>
      <c r="L1238" s="30"/>
      <c r="M1238" s="30"/>
      <c r="N1238" s="30" t="str" cm="1">
        <f t="array" ref="N1238">Main_Log_Status(Main_Log[[#This Row],[Carrier]],Main_Log[[#This Row],[Net Weight]])</f>
        <v/>
      </c>
      <c r="O1238" s="30"/>
      <c r="P123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38" s="30"/>
      <c r="R1238" s="30" t="str" cm="1">
        <f t="array" ref="R1238">Main_Log_Ref(Main_Log[[#This Row],[Carrier]])</f>
        <v/>
      </c>
    </row>
    <row r="1239" spans="1:18" ht="29.85" customHeight="1" x14ac:dyDescent="0.45">
      <c r="A1239" s="30">
        <v>49</v>
      </c>
      <c r="B1239" s="30"/>
      <c r="C1239" s="30"/>
      <c r="D1239" s="30"/>
      <c r="E1239" s="30"/>
      <c r="F1239" s="30"/>
      <c r="G1239" s="30"/>
      <c r="H1239" s="30"/>
      <c r="I1239" s="30"/>
      <c r="J1239" s="30"/>
      <c r="K1239" s="30"/>
      <c r="L1239" s="30"/>
      <c r="M1239" s="30"/>
      <c r="N1239" s="30" t="str" cm="1">
        <f t="array" ref="N1239">Main_Log_Status(Main_Log[[#This Row],[Carrier]],Main_Log[[#This Row],[Net Weight]])</f>
        <v/>
      </c>
      <c r="O1239" s="30"/>
      <c r="P123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39" s="30"/>
      <c r="R1239" s="30" t="str" cm="1">
        <f t="array" ref="R1239">Main_Log_Ref(Main_Log[[#This Row],[Carrier]])</f>
        <v/>
      </c>
    </row>
    <row r="1240" spans="1:18" ht="29.85" customHeight="1" x14ac:dyDescent="0.45">
      <c r="A1240" s="30">
        <v>50</v>
      </c>
      <c r="B1240" s="30"/>
      <c r="C1240" s="30"/>
      <c r="D1240" s="30"/>
      <c r="E1240" s="30"/>
      <c r="F1240" s="30"/>
      <c r="G1240" s="30"/>
      <c r="H1240" s="30"/>
      <c r="I1240" s="30"/>
      <c r="J1240" s="30"/>
      <c r="K1240" s="30"/>
      <c r="L1240" s="30"/>
      <c r="M1240" s="30"/>
      <c r="N1240" s="30" t="str" cm="1">
        <f t="array" ref="N1240">Main_Log_Status(Main_Log[[#This Row],[Carrier]],Main_Log[[#This Row],[Net Weight]])</f>
        <v/>
      </c>
      <c r="O1240" s="30"/>
      <c r="P124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40" s="30"/>
      <c r="R1240" s="30" t="str" cm="1">
        <f t="array" ref="R1240">Main_Log_Ref(Main_Log[[#This Row],[Carrier]])</f>
        <v/>
      </c>
    </row>
    <row r="1241" spans="1:18" ht="29.85" customHeight="1" x14ac:dyDescent="0.45">
      <c r="A1241" s="30">
        <v>51</v>
      </c>
      <c r="B1241" s="30"/>
      <c r="C1241" s="30"/>
      <c r="D1241" s="30"/>
      <c r="E1241" s="30"/>
      <c r="F1241" s="30"/>
      <c r="G1241" s="30"/>
      <c r="H1241" s="30"/>
      <c r="I1241" s="30"/>
      <c r="J1241" s="30"/>
      <c r="K1241" s="30"/>
      <c r="L1241" s="30"/>
      <c r="M1241" s="30"/>
      <c r="N1241" s="30" t="str" cm="1">
        <f t="array" ref="N1241">Main_Log_Status(Main_Log[[#This Row],[Carrier]],Main_Log[[#This Row],[Net Weight]])</f>
        <v/>
      </c>
      <c r="O1241" s="30"/>
      <c r="P124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41" s="30"/>
      <c r="R1241" s="30" t="str" cm="1">
        <f t="array" ref="R1241">Main_Log_Ref(Main_Log[[#This Row],[Carrier]])</f>
        <v/>
      </c>
    </row>
    <row r="1242" spans="1:18" ht="29.85" customHeight="1" x14ac:dyDescent="0.45">
      <c r="A1242" s="30">
        <v>52</v>
      </c>
      <c r="B1242" s="30"/>
      <c r="C1242" s="30"/>
      <c r="D1242" s="30"/>
      <c r="E1242" s="30"/>
      <c r="F1242" s="30"/>
      <c r="G1242" s="30"/>
      <c r="H1242" s="30"/>
      <c r="I1242" s="30"/>
      <c r="J1242" s="30"/>
      <c r="K1242" s="30"/>
      <c r="L1242" s="30"/>
      <c r="M1242" s="30"/>
      <c r="N1242" s="30" t="str" cm="1">
        <f t="array" ref="N1242">Main_Log_Status(Main_Log[[#This Row],[Carrier]],Main_Log[[#This Row],[Net Weight]])</f>
        <v/>
      </c>
      <c r="O1242" s="30"/>
      <c r="P124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42" s="30"/>
      <c r="R1242" s="30" t="str" cm="1">
        <f t="array" ref="R1242">Main_Log_Ref(Main_Log[[#This Row],[Carrier]])</f>
        <v/>
      </c>
    </row>
    <row r="1243" spans="1:18" ht="29.85" customHeight="1" x14ac:dyDescent="0.45">
      <c r="A1243" s="30">
        <v>53</v>
      </c>
      <c r="B1243" s="30"/>
      <c r="C1243" s="30"/>
      <c r="D1243" s="30"/>
      <c r="E1243" s="30"/>
      <c r="F1243" s="30"/>
      <c r="G1243" s="30"/>
      <c r="H1243" s="30"/>
      <c r="I1243" s="30"/>
      <c r="J1243" s="30"/>
      <c r="K1243" s="30"/>
      <c r="L1243" s="30"/>
      <c r="M1243" s="30"/>
      <c r="N1243" s="30" t="str" cm="1">
        <f t="array" ref="N1243">Main_Log_Status(Main_Log[[#This Row],[Carrier]],Main_Log[[#This Row],[Net Weight]])</f>
        <v/>
      </c>
      <c r="O1243" s="30"/>
      <c r="P124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43" s="30"/>
      <c r="R1243" s="30" t="str" cm="1">
        <f t="array" ref="R1243">Main_Log_Ref(Main_Log[[#This Row],[Carrier]])</f>
        <v/>
      </c>
    </row>
    <row r="1244" spans="1:18" ht="29.85" customHeight="1" x14ac:dyDescent="0.45">
      <c r="A1244" s="30">
        <v>54</v>
      </c>
      <c r="B1244" s="30"/>
      <c r="C1244" s="30"/>
      <c r="D1244" s="30"/>
      <c r="E1244" s="30"/>
      <c r="F1244" s="30"/>
      <c r="G1244" s="30"/>
      <c r="H1244" s="30"/>
      <c r="I1244" s="30"/>
      <c r="J1244" s="30"/>
      <c r="K1244" s="30"/>
      <c r="L1244" s="30"/>
      <c r="M1244" s="30"/>
      <c r="N1244" s="30" t="str" cm="1">
        <f t="array" ref="N1244">Main_Log_Status(Main_Log[[#This Row],[Carrier]],Main_Log[[#This Row],[Net Weight]])</f>
        <v/>
      </c>
      <c r="O1244" s="30"/>
      <c r="P124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44" s="30"/>
      <c r="R1244" s="30" t="str" cm="1">
        <f t="array" ref="R1244">Main_Log_Ref(Main_Log[[#This Row],[Carrier]])</f>
        <v/>
      </c>
    </row>
    <row r="1245" spans="1:18" ht="29.85" customHeight="1" x14ac:dyDescent="0.45">
      <c r="A1245" s="30">
        <v>55</v>
      </c>
      <c r="B1245" s="30"/>
      <c r="C1245" s="30"/>
      <c r="D1245" s="30"/>
      <c r="E1245" s="30"/>
      <c r="F1245" s="30"/>
      <c r="G1245" s="30"/>
      <c r="H1245" s="30"/>
      <c r="I1245" s="30"/>
      <c r="J1245" s="30"/>
      <c r="K1245" s="30"/>
      <c r="L1245" s="30"/>
      <c r="M1245" s="30"/>
      <c r="N1245" s="30" t="str" cm="1">
        <f t="array" ref="N1245">Main_Log_Status(Main_Log[[#This Row],[Carrier]],Main_Log[[#This Row],[Net Weight]])</f>
        <v/>
      </c>
      <c r="O1245" s="30"/>
      <c r="P124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45" s="30"/>
      <c r="R1245" s="30" t="str" cm="1">
        <f t="array" ref="R1245">Main_Log_Ref(Main_Log[[#This Row],[Carrier]])</f>
        <v/>
      </c>
    </row>
    <row r="1246" spans="1:18" ht="29.85" customHeight="1" x14ac:dyDescent="0.45">
      <c r="A1246" s="30">
        <v>56</v>
      </c>
      <c r="B1246" s="30"/>
      <c r="C1246" s="30"/>
      <c r="D1246" s="30"/>
      <c r="E1246" s="30"/>
      <c r="F1246" s="30"/>
      <c r="G1246" s="30"/>
      <c r="H1246" s="30"/>
      <c r="I1246" s="30"/>
      <c r="J1246" s="30"/>
      <c r="K1246" s="30"/>
      <c r="L1246" s="30"/>
      <c r="M1246" s="30"/>
      <c r="N1246" s="30" t="str" cm="1">
        <f t="array" ref="N1246">Main_Log_Status(Main_Log[[#This Row],[Carrier]],Main_Log[[#This Row],[Net Weight]])</f>
        <v/>
      </c>
      <c r="O1246" s="30"/>
      <c r="P124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46" s="30"/>
      <c r="R1246" s="30" t="str" cm="1">
        <f t="array" ref="R1246">Main_Log_Ref(Main_Log[[#This Row],[Carrier]])</f>
        <v/>
      </c>
    </row>
    <row r="1247" spans="1:18" ht="29.85" customHeight="1" x14ac:dyDescent="0.45">
      <c r="A1247" s="30">
        <v>57</v>
      </c>
      <c r="B1247" s="30"/>
      <c r="C1247" s="30"/>
      <c r="D1247" s="30"/>
      <c r="E1247" s="30"/>
      <c r="F1247" s="30"/>
      <c r="G1247" s="30"/>
      <c r="H1247" s="30"/>
      <c r="I1247" s="30"/>
      <c r="J1247" s="30"/>
      <c r="K1247" s="30"/>
      <c r="L1247" s="30"/>
      <c r="M1247" s="30"/>
      <c r="N1247" s="30" t="str" cm="1">
        <f t="array" ref="N1247">Main_Log_Status(Main_Log[[#This Row],[Carrier]],Main_Log[[#This Row],[Net Weight]])</f>
        <v/>
      </c>
      <c r="O1247" s="30"/>
      <c r="P124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47" s="30"/>
      <c r="R1247" s="30" t="str" cm="1">
        <f t="array" ref="R1247">Main_Log_Ref(Main_Log[[#This Row],[Carrier]])</f>
        <v/>
      </c>
    </row>
    <row r="1248" spans="1:18" ht="29.85" customHeight="1" x14ac:dyDescent="0.45">
      <c r="A1248" s="30">
        <v>58</v>
      </c>
      <c r="B1248" s="30"/>
      <c r="C1248" s="30"/>
      <c r="D1248" s="30"/>
      <c r="E1248" s="30"/>
      <c r="F1248" s="30"/>
      <c r="G1248" s="30"/>
      <c r="H1248" s="30"/>
      <c r="I1248" s="30"/>
      <c r="J1248" s="30"/>
      <c r="K1248" s="30"/>
      <c r="L1248" s="30"/>
      <c r="M1248" s="30"/>
      <c r="N1248" s="30" t="str" cm="1">
        <f t="array" ref="N1248">Main_Log_Status(Main_Log[[#This Row],[Carrier]],Main_Log[[#This Row],[Net Weight]])</f>
        <v/>
      </c>
      <c r="O1248" s="30"/>
      <c r="P124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48" s="30"/>
      <c r="R1248" s="30" t="str" cm="1">
        <f t="array" ref="R1248">Main_Log_Ref(Main_Log[[#This Row],[Carrier]])</f>
        <v/>
      </c>
    </row>
    <row r="1249" spans="1:18" ht="29.85" customHeight="1" x14ac:dyDescent="0.45">
      <c r="A1249" s="30">
        <v>59</v>
      </c>
      <c r="B1249" s="30"/>
      <c r="C1249" s="30"/>
      <c r="D1249" s="30"/>
      <c r="E1249" s="30"/>
      <c r="F1249" s="30"/>
      <c r="G1249" s="30"/>
      <c r="H1249" s="30"/>
      <c r="I1249" s="30"/>
      <c r="J1249" s="30"/>
      <c r="K1249" s="30"/>
      <c r="L1249" s="30"/>
      <c r="M1249" s="30"/>
      <c r="N1249" s="30" t="str" cm="1">
        <f t="array" ref="N1249">Main_Log_Status(Main_Log[[#This Row],[Carrier]],Main_Log[[#This Row],[Net Weight]])</f>
        <v/>
      </c>
      <c r="O1249" s="30"/>
      <c r="P124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49" s="30"/>
      <c r="R1249" s="30" t="str" cm="1">
        <f t="array" ref="R1249">Main_Log_Ref(Main_Log[[#This Row],[Carrier]])</f>
        <v/>
      </c>
    </row>
    <row r="1250" spans="1:18" ht="29.85" customHeight="1" x14ac:dyDescent="0.45">
      <c r="A1250" s="30">
        <v>60</v>
      </c>
      <c r="B1250" s="30"/>
      <c r="C1250" s="30"/>
      <c r="D1250" s="30"/>
      <c r="E1250" s="30"/>
      <c r="F1250" s="30"/>
      <c r="G1250" s="30"/>
      <c r="H1250" s="30"/>
      <c r="I1250" s="30"/>
      <c r="J1250" s="30"/>
      <c r="K1250" s="30"/>
      <c r="L1250" s="30"/>
      <c r="M1250" s="30"/>
      <c r="N1250" s="30" t="str" cm="1">
        <f t="array" ref="N1250">Main_Log_Status(Main_Log[[#This Row],[Carrier]],Main_Log[[#This Row],[Net Weight]])</f>
        <v/>
      </c>
      <c r="O1250" s="30"/>
      <c r="P125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50" s="30"/>
      <c r="R1250" s="30" t="str" cm="1">
        <f t="array" ref="R1250">Main_Log_Ref(Main_Log[[#This Row],[Carrier]])</f>
        <v/>
      </c>
    </row>
    <row r="1251" spans="1:18" ht="29.85" customHeight="1" x14ac:dyDescent="0.45">
      <c r="A1251" s="30">
        <v>61</v>
      </c>
      <c r="B1251" s="30"/>
      <c r="C1251" s="30"/>
      <c r="D1251" s="30"/>
      <c r="E1251" s="30"/>
      <c r="F1251" s="30"/>
      <c r="G1251" s="30"/>
      <c r="H1251" s="30"/>
      <c r="I1251" s="30"/>
      <c r="J1251" s="30"/>
      <c r="K1251" s="30"/>
      <c r="L1251" s="30"/>
      <c r="M1251" s="30"/>
      <c r="N1251" s="30" t="str" cm="1">
        <f t="array" ref="N1251">Main_Log_Status(Main_Log[[#This Row],[Carrier]],Main_Log[[#This Row],[Net Weight]])</f>
        <v/>
      </c>
      <c r="O1251" s="30"/>
      <c r="P125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51" s="30"/>
      <c r="R1251" s="30" t="str" cm="1">
        <f t="array" ref="R1251">Main_Log_Ref(Main_Log[[#This Row],[Carrier]])</f>
        <v/>
      </c>
    </row>
    <row r="1252" spans="1:18" ht="29.85" customHeight="1" x14ac:dyDescent="0.45">
      <c r="A1252" s="30">
        <v>62</v>
      </c>
      <c r="B1252" s="30"/>
      <c r="C1252" s="30"/>
      <c r="D1252" s="30"/>
      <c r="E1252" s="30"/>
      <c r="F1252" s="30"/>
      <c r="G1252" s="30"/>
      <c r="H1252" s="30"/>
      <c r="I1252" s="30"/>
      <c r="J1252" s="30"/>
      <c r="K1252" s="30"/>
      <c r="L1252" s="30"/>
      <c r="M1252" s="30"/>
      <c r="N1252" s="30" t="str" cm="1">
        <f t="array" ref="N1252">Main_Log_Status(Main_Log[[#This Row],[Carrier]],Main_Log[[#This Row],[Net Weight]])</f>
        <v/>
      </c>
      <c r="O1252" s="30"/>
      <c r="P125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52" s="30"/>
      <c r="R1252" s="30" t="str" cm="1">
        <f t="array" ref="R1252">Main_Log_Ref(Main_Log[[#This Row],[Carrier]])</f>
        <v/>
      </c>
    </row>
    <row r="1253" spans="1:18" ht="29.85" customHeight="1" x14ac:dyDescent="0.45">
      <c r="A1253" s="30">
        <v>63</v>
      </c>
      <c r="B1253" s="30"/>
      <c r="C1253" s="30"/>
      <c r="D1253" s="30"/>
      <c r="E1253" s="30"/>
      <c r="F1253" s="30"/>
      <c r="G1253" s="30"/>
      <c r="H1253" s="30"/>
      <c r="I1253" s="30"/>
      <c r="J1253" s="30"/>
      <c r="K1253" s="30"/>
      <c r="L1253" s="30"/>
      <c r="M1253" s="30"/>
      <c r="N1253" s="30" t="str" cm="1">
        <f t="array" ref="N1253">Main_Log_Status(Main_Log[[#This Row],[Carrier]],Main_Log[[#This Row],[Net Weight]])</f>
        <v/>
      </c>
      <c r="O1253" s="30"/>
      <c r="P125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53" s="30"/>
      <c r="R1253" s="30" t="str" cm="1">
        <f t="array" ref="R1253">Main_Log_Ref(Main_Log[[#This Row],[Carrier]])</f>
        <v/>
      </c>
    </row>
    <row r="1254" spans="1:18" ht="29.85" customHeight="1" x14ac:dyDescent="0.45">
      <c r="A1254" s="30">
        <v>64</v>
      </c>
      <c r="B1254" s="30"/>
      <c r="C1254" s="30"/>
      <c r="D1254" s="30"/>
      <c r="E1254" s="30"/>
      <c r="F1254" s="30"/>
      <c r="G1254" s="30"/>
      <c r="H1254" s="30"/>
      <c r="I1254" s="30"/>
      <c r="J1254" s="30"/>
      <c r="K1254" s="30"/>
      <c r="L1254" s="30"/>
      <c r="M1254" s="30"/>
      <c r="N1254" s="30" t="str" cm="1">
        <f t="array" ref="N1254">Main_Log_Status(Main_Log[[#This Row],[Carrier]],Main_Log[[#This Row],[Net Weight]])</f>
        <v/>
      </c>
      <c r="O1254" s="30"/>
      <c r="P125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54" s="30"/>
      <c r="R1254" s="30" t="str" cm="1">
        <f t="array" ref="R1254">Main_Log_Ref(Main_Log[[#This Row],[Carrier]])</f>
        <v/>
      </c>
    </row>
    <row r="1255" spans="1:18" ht="29.85" customHeight="1" x14ac:dyDescent="0.45">
      <c r="A1255" s="30">
        <v>65</v>
      </c>
      <c r="B1255" s="30"/>
      <c r="C1255" s="30"/>
      <c r="D1255" s="30"/>
      <c r="E1255" s="30"/>
      <c r="F1255" s="30"/>
      <c r="G1255" s="30"/>
      <c r="H1255" s="30"/>
      <c r="I1255" s="30"/>
      <c r="J1255" s="30"/>
      <c r="K1255" s="30"/>
      <c r="L1255" s="30"/>
      <c r="M1255" s="30"/>
      <c r="N1255" s="30" t="str" cm="1">
        <f t="array" ref="N1255">Main_Log_Status(Main_Log[[#This Row],[Carrier]],Main_Log[[#This Row],[Net Weight]])</f>
        <v/>
      </c>
      <c r="O1255" s="30"/>
      <c r="P125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55" s="30"/>
      <c r="R1255" s="30" t="str" cm="1">
        <f t="array" ref="R1255">Main_Log_Ref(Main_Log[[#This Row],[Carrier]])</f>
        <v/>
      </c>
    </row>
    <row r="1256" spans="1:18" ht="29.85" customHeight="1" x14ac:dyDescent="0.45">
      <c r="A1256" s="30">
        <v>66</v>
      </c>
      <c r="B1256" s="30"/>
      <c r="C1256" s="30"/>
      <c r="D1256" s="30"/>
      <c r="E1256" s="30"/>
      <c r="F1256" s="30"/>
      <c r="G1256" s="30"/>
      <c r="H1256" s="30"/>
      <c r="I1256" s="30"/>
      <c r="J1256" s="30"/>
      <c r="K1256" s="30"/>
      <c r="L1256" s="30"/>
      <c r="M1256" s="30"/>
      <c r="N1256" s="30" t="str" cm="1">
        <f t="array" ref="N1256">Main_Log_Status(Main_Log[[#This Row],[Carrier]],Main_Log[[#This Row],[Net Weight]])</f>
        <v/>
      </c>
      <c r="O1256" s="30"/>
      <c r="P125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56" s="30"/>
      <c r="R1256" s="30" t="str" cm="1">
        <f t="array" ref="R1256">Main_Log_Ref(Main_Log[[#This Row],[Carrier]])</f>
        <v/>
      </c>
    </row>
    <row r="1257" spans="1:18" ht="29.85" customHeight="1" x14ac:dyDescent="0.45">
      <c r="A1257" s="30">
        <v>67</v>
      </c>
      <c r="B1257" s="30"/>
      <c r="C1257" s="30"/>
      <c r="D1257" s="30"/>
      <c r="E1257" s="30"/>
      <c r="F1257" s="30"/>
      <c r="G1257" s="30"/>
      <c r="H1257" s="30"/>
      <c r="I1257" s="30"/>
      <c r="J1257" s="30"/>
      <c r="K1257" s="30"/>
      <c r="L1257" s="30"/>
      <c r="M1257" s="30"/>
      <c r="N1257" s="30" t="str" cm="1">
        <f t="array" ref="N1257">Main_Log_Status(Main_Log[[#This Row],[Carrier]],Main_Log[[#This Row],[Net Weight]])</f>
        <v/>
      </c>
      <c r="O1257" s="30"/>
      <c r="P125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57" s="30"/>
      <c r="R1257" s="30" t="str" cm="1">
        <f t="array" ref="R1257">Main_Log_Ref(Main_Log[[#This Row],[Carrier]])</f>
        <v/>
      </c>
    </row>
    <row r="1258" spans="1:18" ht="29.85" customHeight="1" x14ac:dyDescent="0.45">
      <c r="A1258" s="30">
        <v>68</v>
      </c>
      <c r="B1258" s="30"/>
      <c r="C1258" s="30"/>
      <c r="D1258" s="30"/>
      <c r="E1258" s="30"/>
      <c r="F1258" s="30"/>
      <c r="G1258" s="30"/>
      <c r="H1258" s="30"/>
      <c r="I1258" s="30"/>
      <c r="J1258" s="30"/>
      <c r="K1258" s="30"/>
      <c r="L1258" s="30"/>
      <c r="M1258" s="30"/>
      <c r="N1258" s="30" t="str" cm="1">
        <f t="array" ref="N1258">Main_Log_Status(Main_Log[[#This Row],[Carrier]],Main_Log[[#This Row],[Net Weight]])</f>
        <v/>
      </c>
      <c r="O1258" s="30"/>
      <c r="P125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58" s="30"/>
      <c r="R1258" s="30" t="str" cm="1">
        <f t="array" ref="R1258">Main_Log_Ref(Main_Log[[#This Row],[Carrier]])</f>
        <v/>
      </c>
    </row>
    <row r="1259" spans="1:18" ht="29.85" customHeight="1" x14ac:dyDescent="0.45">
      <c r="A1259" s="30">
        <v>69</v>
      </c>
      <c r="B1259" s="30"/>
      <c r="C1259" s="30"/>
      <c r="D1259" s="30"/>
      <c r="E1259" s="30"/>
      <c r="F1259" s="30"/>
      <c r="G1259" s="30"/>
      <c r="H1259" s="30"/>
      <c r="I1259" s="30"/>
      <c r="J1259" s="30"/>
      <c r="K1259" s="30"/>
      <c r="L1259" s="30"/>
      <c r="M1259" s="30"/>
      <c r="N1259" s="30" t="str" cm="1">
        <f t="array" ref="N1259">Main_Log_Status(Main_Log[[#This Row],[Carrier]],Main_Log[[#This Row],[Net Weight]])</f>
        <v/>
      </c>
      <c r="O1259" s="30"/>
      <c r="P125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59" s="30"/>
      <c r="R1259" s="30" t="str" cm="1">
        <f t="array" ref="R1259">Main_Log_Ref(Main_Log[[#This Row],[Carrier]])</f>
        <v/>
      </c>
    </row>
    <row r="1260" spans="1:18" ht="29.85" customHeight="1" x14ac:dyDescent="0.45">
      <c r="A1260" s="30">
        <v>70</v>
      </c>
      <c r="B1260" s="30"/>
      <c r="C1260" s="30"/>
      <c r="D1260" s="30"/>
      <c r="E1260" s="30"/>
      <c r="F1260" s="30"/>
      <c r="G1260" s="30"/>
      <c r="H1260" s="30"/>
      <c r="I1260" s="30"/>
      <c r="J1260" s="30"/>
      <c r="K1260" s="30"/>
      <c r="L1260" s="30"/>
      <c r="M1260" s="30"/>
      <c r="N1260" s="30" t="str" cm="1">
        <f t="array" ref="N1260">Main_Log_Status(Main_Log[[#This Row],[Carrier]],Main_Log[[#This Row],[Net Weight]])</f>
        <v/>
      </c>
      <c r="O1260" s="30"/>
      <c r="P126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60" s="30"/>
      <c r="R1260" s="30" t="str" cm="1">
        <f t="array" ref="R1260">Main_Log_Ref(Main_Log[[#This Row],[Carrier]])</f>
        <v/>
      </c>
    </row>
    <row r="1261" spans="1:18" ht="29.85" customHeight="1" x14ac:dyDescent="0.45">
      <c r="A1261" s="30">
        <v>71</v>
      </c>
      <c r="B1261" s="30"/>
      <c r="C1261" s="30"/>
      <c r="D1261" s="30"/>
      <c r="E1261" s="30"/>
      <c r="F1261" s="30"/>
      <c r="G1261" s="30"/>
      <c r="H1261" s="30"/>
      <c r="I1261" s="30"/>
      <c r="J1261" s="30"/>
      <c r="K1261" s="30"/>
      <c r="L1261" s="30"/>
      <c r="M1261" s="30"/>
      <c r="N1261" s="30" t="str" cm="1">
        <f t="array" ref="N1261">Main_Log_Status(Main_Log[[#This Row],[Carrier]],Main_Log[[#This Row],[Net Weight]])</f>
        <v/>
      </c>
      <c r="O1261" s="30"/>
      <c r="P126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61" s="30"/>
      <c r="R1261" s="30" t="str" cm="1">
        <f t="array" ref="R1261">Main_Log_Ref(Main_Log[[#This Row],[Carrier]])</f>
        <v/>
      </c>
    </row>
    <row r="1262" spans="1:18" ht="29.85" customHeight="1" x14ac:dyDescent="0.45">
      <c r="A1262" s="30">
        <v>72</v>
      </c>
      <c r="B1262" s="30"/>
      <c r="C1262" s="30"/>
      <c r="D1262" s="30"/>
      <c r="E1262" s="30"/>
      <c r="F1262" s="30"/>
      <c r="G1262" s="30"/>
      <c r="H1262" s="30"/>
      <c r="I1262" s="30"/>
      <c r="J1262" s="30"/>
      <c r="K1262" s="30"/>
      <c r="L1262" s="30"/>
      <c r="M1262" s="30"/>
      <c r="N1262" s="30" t="str" cm="1">
        <f t="array" ref="N1262">Main_Log_Status(Main_Log[[#This Row],[Carrier]],Main_Log[[#This Row],[Net Weight]])</f>
        <v/>
      </c>
      <c r="O1262" s="30"/>
      <c r="P126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62" s="30"/>
      <c r="R1262" s="30" t="str" cm="1">
        <f t="array" ref="R1262">Main_Log_Ref(Main_Log[[#This Row],[Carrier]])</f>
        <v/>
      </c>
    </row>
    <row r="1263" spans="1:18" ht="29.85" customHeight="1" x14ac:dyDescent="0.45">
      <c r="A1263" s="30">
        <v>73</v>
      </c>
      <c r="B1263" s="30"/>
      <c r="C1263" s="30"/>
      <c r="D1263" s="30"/>
      <c r="E1263" s="30"/>
      <c r="F1263" s="30"/>
      <c r="G1263" s="30"/>
      <c r="H1263" s="30"/>
      <c r="I1263" s="30"/>
      <c r="J1263" s="30"/>
      <c r="K1263" s="30"/>
      <c r="L1263" s="30"/>
      <c r="M1263" s="30"/>
      <c r="N1263" s="30" t="str" cm="1">
        <f t="array" ref="N1263">Main_Log_Status(Main_Log[[#This Row],[Carrier]],Main_Log[[#This Row],[Net Weight]])</f>
        <v/>
      </c>
      <c r="O1263" s="30"/>
      <c r="P126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63" s="30"/>
      <c r="R1263" s="30" t="str" cm="1">
        <f t="array" ref="R1263">Main_Log_Ref(Main_Log[[#This Row],[Carrier]])</f>
        <v/>
      </c>
    </row>
    <row r="1264" spans="1:18" ht="29.85" customHeight="1" x14ac:dyDescent="0.45">
      <c r="A1264" s="30">
        <v>74</v>
      </c>
      <c r="B1264" s="30"/>
      <c r="C1264" s="30"/>
      <c r="D1264" s="30"/>
      <c r="E1264" s="30"/>
      <c r="F1264" s="30"/>
      <c r="G1264" s="30"/>
      <c r="H1264" s="30"/>
      <c r="I1264" s="30"/>
      <c r="J1264" s="30"/>
      <c r="K1264" s="30"/>
      <c r="L1264" s="30"/>
      <c r="M1264" s="30"/>
      <c r="N1264" s="30" t="str" cm="1">
        <f t="array" ref="N1264">Main_Log_Status(Main_Log[[#This Row],[Carrier]],Main_Log[[#This Row],[Net Weight]])</f>
        <v/>
      </c>
      <c r="O1264" s="30"/>
      <c r="P126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64" s="30"/>
      <c r="R1264" s="30" t="str" cm="1">
        <f t="array" ref="R1264">Main_Log_Ref(Main_Log[[#This Row],[Carrier]])</f>
        <v/>
      </c>
    </row>
    <row r="1265" spans="1:18" ht="29.85" customHeight="1" x14ac:dyDescent="0.45">
      <c r="A1265" s="30">
        <v>75</v>
      </c>
      <c r="B1265" s="30"/>
      <c r="C1265" s="30"/>
      <c r="D1265" s="30"/>
      <c r="E1265" s="30"/>
      <c r="F1265" s="30"/>
      <c r="G1265" s="30"/>
      <c r="H1265" s="30"/>
      <c r="I1265" s="30"/>
      <c r="J1265" s="30"/>
      <c r="K1265" s="30"/>
      <c r="L1265" s="30"/>
      <c r="M1265" s="30"/>
      <c r="N1265" s="30" t="str" cm="1">
        <f t="array" ref="N1265">Main_Log_Status(Main_Log[[#This Row],[Carrier]],Main_Log[[#This Row],[Net Weight]])</f>
        <v/>
      </c>
      <c r="O1265" s="30"/>
      <c r="P126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65" s="30"/>
      <c r="R1265" s="30" t="str" cm="1">
        <f t="array" ref="R1265">Main_Log_Ref(Main_Log[[#This Row],[Carrier]])</f>
        <v/>
      </c>
    </row>
    <row r="1266" spans="1:18" ht="29.85" customHeight="1" x14ac:dyDescent="0.45">
      <c r="A1266" s="30">
        <v>76</v>
      </c>
      <c r="B1266" s="30"/>
      <c r="C1266" s="30"/>
      <c r="D1266" s="30"/>
      <c r="E1266" s="30"/>
      <c r="F1266" s="30"/>
      <c r="G1266" s="30"/>
      <c r="H1266" s="30"/>
      <c r="I1266" s="30"/>
      <c r="J1266" s="30"/>
      <c r="K1266" s="30"/>
      <c r="L1266" s="30"/>
      <c r="M1266" s="30"/>
      <c r="N1266" s="30" t="str" cm="1">
        <f t="array" ref="N1266">Main_Log_Status(Main_Log[[#This Row],[Carrier]],Main_Log[[#This Row],[Net Weight]])</f>
        <v/>
      </c>
      <c r="O1266" s="30"/>
      <c r="P126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66" s="30"/>
      <c r="R1266" s="30" t="str" cm="1">
        <f t="array" ref="R1266">Main_Log_Ref(Main_Log[[#This Row],[Carrier]])</f>
        <v/>
      </c>
    </row>
    <row r="1267" spans="1:18" ht="29.85" customHeight="1" x14ac:dyDescent="0.45">
      <c r="A1267" s="30">
        <v>77</v>
      </c>
      <c r="B1267" s="30"/>
      <c r="C1267" s="30"/>
      <c r="D1267" s="30"/>
      <c r="E1267" s="30"/>
      <c r="F1267" s="30"/>
      <c r="G1267" s="30"/>
      <c r="H1267" s="30"/>
      <c r="I1267" s="30"/>
      <c r="J1267" s="30"/>
      <c r="K1267" s="30"/>
      <c r="L1267" s="30"/>
      <c r="M1267" s="30"/>
      <c r="N1267" s="30" t="str" cm="1">
        <f t="array" ref="N1267">Main_Log_Status(Main_Log[[#This Row],[Carrier]],Main_Log[[#This Row],[Net Weight]])</f>
        <v/>
      </c>
      <c r="O1267" s="30"/>
      <c r="P126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67" s="30"/>
      <c r="R1267" s="30" t="str" cm="1">
        <f t="array" ref="R1267">Main_Log_Ref(Main_Log[[#This Row],[Carrier]])</f>
        <v/>
      </c>
    </row>
    <row r="1268" spans="1:18" ht="29.85" customHeight="1" x14ac:dyDescent="0.45">
      <c r="A1268" s="30">
        <v>78</v>
      </c>
      <c r="B1268" s="30"/>
      <c r="C1268" s="30"/>
      <c r="D1268" s="30"/>
      <c r="E1268" s="30"/>
      <c r="F1268" s="30"/>
      <c r="G1268" s="30"/>
      <c r="H1268" s="30"/>
      <c r="I1268" s="30"/>
      <c r="J1268" s="30"/>
      <c r="K1268" s="30"/>
      <c r="L1268" s="30"/>
      <c r="M1268" s="30"/>
      <c r="N1268" s="30" t="str" cm="1">
        <f t="array" ref="N1268">Main_Log_Status(Main_Log[[#This Row],[Carrier]],Main_Log[[#This Row],[Net Weight]])</f>
        <v/>
      </c>
      <c r="O1268" s="30"/>
      <c r="P126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68" s="30"/>
      <c r="R1268" s="30" t="str" cm="1">
        <f t="array" ref="R1268">Main_Log_Ref(Main_Log[[#This Row],[Carrier]])</f>
        <v/>
      </c>
    </row>
    <row r="1269" spans="1:18" ht="29.85" customHeight="1" x14ac:dyDescent="0.45">
      <c r="A1269" s="30">
        <v>79</v>
      </c>
      <c r="B1269" s="30"/>
      <c r="C1269" s="30"/>
      <c r="D1269" s="30"/>
      <c r="E1269" s="30"/>
      <c r="F1269" s="30"/>
      <c r="G1269" s="30"/>
      <c r="H1269" s="30"/>
      <c r="I1269" s="30"/>
      <c r="J1269" s="30"/>
      <c r="K1269" s="30"/>
      <c r="L1269" s="30"/>
      <c r="M1269" s="30"/>
      <c r="N1269" s="30" t="str" cm="1">
        <f t="array" ref="N1269">Main_Log_Status(Main_Log[[#This Row],[Carrier]],Main_Log[[#This Row],[Net Weight]])</f>
        <v/>
      </c>
      <c r="O1269" s="30"/>
      <c r="P126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69" s="30"/>
      <c r="R1269" s="30" t="str" cm="1">
        <f t="array" ref="R1269">Main_Log_Ref(Main_Log[[#This Row],[Carrier]])</f>
        <v/>
      </c>
    </row>
    <row r="1270" spans="1:18" ht="29.85" customHeight="1" x14ac:dyDescent="0.45">
      <c r="A1270" s="30">
        <v>80</v>
      </c>
      <c r="B1270" s="30"/>
      <c r="C1270" s="30"/>
      <c r="D1270" s="30"/>
      <c r="E1270" s="30"/>
      <c r="F1270" s="30"/>
      <c r="G1270" s="30"/>
      <c r="H1270" s="30"/>
      <c r="I1270" s="30"/>
      <c r="J1270" s="30"/>
      <c r="K1270" s="30"/>
      <c r="L1270" s="30"/>
      <c r="M1270" s="30"/>
      <c r="N1270" s="30" t="str" cm="1">
        <f t="array" ref="N1270">Main_Log_Status(Main_Log[[#This Row],[Carrier]],Main_Log[[#This Row],[Net Weight]])</f>
        <v/>
      </c>
      <c r="O1270" s="30"/>
      <c r="P127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70" s="30"/>
      <c r="R1270" s="30" t="str" cm="1">
        <f t="array" ref="R1270">Main_Log_Ref(Main_Log[[#This Row],[Carrier]])</f>
        <v/>
      </c>
    </row>
    <row r="1271" spans="1:18" ht="29.85" customHeight="1" x14ac:dyDescent="0.45">
      <c r="A1271" s="30">
        <v>81</v>
      </c>
      <c r="B1271" s="30"/>
      <c r="C1271" s="30"/>
      <c r="D1271" s="30"/>
      <c r="E1271" s="30"/>
      <c r="F1271" s="30"/>
      <c r="G1271" s="30"/>
      <c r="H1271" s="30"/>
      <c r="I1271" s="30"/>
      <c r="J1271" s="30"/>
      <c r="K1271" s="30"/>
      <c r="L1271" s="30"/>
      <c r="M1271" s="30"/>
      <c r="N1271" s="30" t="str" cm="1">
        <f t="array" ref="N1271">Main_Log_Status(Main_Log[[#This Row],[Carrier]],Main_Log[[#This Row],[Net Weight]])</f>
        <v/>
      </c>
      <c r="O1271" s="30"/>
      <c r="P127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71" s="30"/>
      <c r="R1271" s="30" t="str" cm="1">
        <f t="array" ref="R1271">Main_Log_Ref(Main_Log[[#This Row],[Carrier]])</f>
        <v/>
      </c>
    </row>
    <row r="1272" spans="1:18" ht="29.85" customHeight="1" x14ac:dyDescent="0.45">
      <c r="A1272" s="30">
        <v>82</v>
      </c>
      <c r="B1272" s="30"/>
      <c r="C1272" s="30"/>
      <c r="D1272" s="30"/>
      <c r="E1272" s="30"/>
      <c r="F1272" s="30"/>
      <c r="G1272" s="30"/>
      <c r="H1272" s="30"/>
      <c r="I1272" s="30"/>
      <c r="J1272" s="30"/>
      <c r="K1272" s="30"/>
      <c r="L1272" s="30"/>
      <c r="M1272" s="30"/>
      <c r="N1272" s="30" t="str" cm="1">
        <f t="array" ref="N1272">Main_Log_Status(Main_Log[[#This Row],[Carrier]],Main_Log[[#This Row],[Net Weight]])</f>
        <v/>
      </c>
      <c r="O1272" s="30"/>
      <c r="P127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72" s="30"/>
      <c r="R1272" s="30" t="str" cm="1">
        <f t="array" ref="R1272">Main_Log_Ref(Main_Log[[#This Row],[Carrier]])</f>
        <v/>
      </c>
    </row>
    <row r="1273" spans="1:18" ht="29.85" customHeight="1" x14ac:dyDescent="0.45">
      <c r="A1273" s="30">
        <v>83</v>
      </c>
      <c r="B1273" s="30"/>
      <c r="C1273" s="30"/>
      <c r="D1273" s="30"/>
      <c r="E1273" s="30"/>
      <c r="F1273" s="30"/>
      <c r="G1273" s="30"/>
      <c r="H1273" s="30"/>
      <c r="I1273" s="30"/>
      <c r="J1273" s="30"/>
      <c r="K1273" s="30"/>
      <c r="L1273" s="30"/>
      <c r="M1273" s="30"/>
      <c r="N1273" s="30" t="str" cm="1">
        <f t="array" ref="N1273">Main_Log_Status(Main_Log[[#This Row],[Carrier]],Main_Log[[#This Row],[Net Weight]])</f>
        <v/>
      </c>
      <c r="O1273" s="30"/>
      <c r="P127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73" s="30"/>
      <c r="R1273" s="30" t="str" cm="1">
        <f t="array" ref="R1273">Main_Log_Ref(Main_Log[[#This Row],[Carrier]])</f>
        <v/>
      </c>
    </row>
    <row r="1274" spans="1:18" ht="29.85" customHeight="1" x14ac:dyDescent="0.45">
      <c r="A1274" s="30">
        <v>84</v>
      </c>
      <c r="B1274" s="30"/>
      <c r="C1274" s="30"/>
      <c r="D1274" s="30"/>
      <c r="E1274" s="30"/>
      <c r="F1274" s="30"/>
      <c r="G1274" s="30"/>
      <c r="H1274" s="30"/>
      <c r="I1274" s="30"/>
      <c r="J1274" s="30"/>
      <c r="K1274" s="30"/>
      <c r="L1274" s="30"/>
      <c r="M1274" s="30"/>
      <c r="N1274" s="30" t="str" cm="1">
        <f t="array" ref="N1274">Main_Log_Status(Main_Log[[#This Row],[Carrier]],Main_Log[[#This Row],[Net Weight]])</f>
        <v/>
      </c>
      <c r="O1274" s="30"/>
      <c r="P127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74" s="30"/>
      <c r="R1274" s="30" t="str" cm="1">
        <f t="array" ref="R1274">Main_Log_Ref(Main_Log[[#This Row],[Carrier]])</f>
        <v/>
      </c>
    </row>
    <row r="1275" spans="1:18" ht="29.85" customHeight="1" x14ac:dyDescent="0.45">
      <c r="A1275" s="30">
        <v>85</v>
      </c>
      <c r="B1275" s="30"/>
      <c r="C1275" s="30"/>
      <c r="D1275" s="30"/>
      <c r="E1275" s="30"/>
      <c r="F1275" s="30"/>
      <c r="G1275" s="30"/>
      <c r="H1275" s="30"/>
      <c r="I1275" s="30"/>
      <c r="J1275" s="30"/>
      <c r="K1275" s="30"/>
      <c r="L1275" s="30"/>
      <c r="M1275" s="30"/>
      <c r="N1275" s="30" t="str" cm="1">
        <f t="array" ref="N1275">Main_Log_Status(Main_Log[[#This Row],[Carrier]],Main_Log[[#This Row],[Net Weight]])</f>
        <v/>
      </c>
      <c r="O1275" s="30"/>
      <c r="P127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75" s="30"/>
      <c r="R1275" s="30" t="str" cm="1">
        <f t="array" ref="R1275">Main_Log_Ref(Main_Log[[#This Row],[Carrier]])</f>
        <v/>
      </c>
    </row>
    <row r="1276" spans="1:18" ht="29.85" customHeight="1" x14ac:dyDescent="0.45">
      <c r="A1276" s="30">
        <v>86</v>
      </c>
      <c r="B1276" s="30"/>
      <c r="C1276" s="30"/>
      <c r="D1276" s="30"/>
      <c r="E1276" s="30"/>
      <c r="F1276" s="30"/>
      <c r="G1276" s="30"/>
      <c r="H1276" s="30"/>
      <c r="I1276" s="30"/>
      <c r="J1276" s="30"/>
      <c r="K1276" s="30"/>
      <c r="L1276" s="30"/>
      <c r="M1276" s="30"/>
      <c r="N1276" s="30" t="str" cm="1">
        <f t="array" ref="N1276">Main_Log_Status(Main_Log[[#This Row],[Carrier]],Main_Log[[#This Row],[Net Weight]])</f>
        <v/>
      </c>
      <c r="O1276" s="30"/>
      <c r="P127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76" s="30"/>
      <c r="R1276" s="30" t="str" cm="1">
        <f t="array" ref="R1276">Main_Log_Ref(Main_Log[[#This Row],[Carrier]])</f>
        <v/>
      </c>
    </row>
    <row r="1277" spans="1:18" ht="29.85" customHeight="1" x14ac:dyDescent="0.45">
      <c r="A1277" s="30">
        <v>87</v>
      </c>
      <c r="B1277" s="30"/>
      <c r="C1277" s="30"/>
      <c r="D1277" s="30"/>
      <c r="E1277" s="30"/>
      <c r="F1277" s="30"/>
      <c r="G1277" s="30"/>
      <c r="H1277" s="30"/>
      <c r="I1277" s="30"/>
      <c r="J1277" s="30"/>
      <c r="K1277" s="30"/>
      <c r="L1277" s="30"/>
      <c r="M1277" s="30"/>
      <c r="N1277" s="30" t="str" cm="1">
        <f t="array" ref="N1277">Main_Log_Status(Main_Log[[#This Row],[Carrier]],Main_Log[[#This Row],[Net Weight]])</f>
        <v/>
      </c>
      <c r="O1277" s="30"/>
      <c r="P127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77" s="30"/>
      <c r="R1277" s="30" t="str" cm="1">
        <f t="array" ref="R1277">Main_Log_Ref(Main_Log[[#This Row],[Carrier]])</f>
        <v/>
      </c>
    </row>
    <row r="1278" spans="1:18" ht="29.85" customHeight="1" x14ac:dyDescent="0.45">
      <c r="A1278" s="30">
        <v>88</v>
      </c>
      <c r="B1278" s="30"/>
      <c r="C1278" s="30"/>
      <c r="D1278" s="30"/>
      <c r="E1278" s="30"/>
      <c r="F1278" s="30"/>
      <c r="G1278" s="30"/>
      <c r="H1278" s="30"/>
      <c r="I1278" s="30"/>
      <c r="J1278" s="30"/>
      <c r="K1278" s="30"/>
      <c r="L1278" s="30"/>
      <c r="M1278" s="30"/>
      <c r="N1278" s="30" t="str" cm="1">
        <f t="array" ref="N1278">Main_Log_Status(Main_Log[[#This Row],[Carrier]],Main_Log[[#This Row],[Net Weight]])</f>
        <v/>
      </c>
      <c r="O1278" s="30"/>
      <c r="P127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78" s="30"/>
      <c r="R1278" s="30" t="str" cm="1">
        <f t="array" ref="R1278">Main_Log_Ref(Main_Log[[#This Row],[Carrier]])</f>
        <v/>
      </c>
    </row>
    <row r="1279" spans="1:18" ht="29.85" customHeight="1" x14ac:dyDescent="0.45">
      <c r="A1279" s="30">
        <v>89</v>
      </c>
      <c r="B1279" s="30"/>
      <c r="C1279" s="30"/>
      <c r="D1279" s="30"/>
      <c r="E1279" s="30"/>
      <c r="F1279" s="30"/>
      <c r="G1279" s="30"/>
      <c r="H1279" s="30"/>
      <c r="I1279" s="30"/>
      <c r="J1279" s="30"/>
      <c r="K1279" s="30"/>
      <c r="L1279" s="30"/>
      <c r="M1279" s="30"/>
      <c r="N1279" s="30" t="str" cm="1">
        <f t="array" ref="N1279">Main_Log_Status(Main_Log[[#This Row],[Carrier]],Main_Log[[#This Row],[Net Weight]])</f>
        <v/>
      </c>
      <c r="O1279" s="30"/>
      <c r="P127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79" s="30"/>
      <c r="R1279" s="30" t="str" cm="1">
        <f t="array" ref="R1279">Main_Log_Ref(Main_Log[[#This Row],[Carrier]])</f>
        <v/>
      </c>
    </row>
    <row r="1280" spans="1:18" ht="29.85" customHeight="1" x14ac:dyDescent="0.45">
      <c r="A1280" s="30">
        <v>90</v>
      </c>
      <c r="B1280" s="30"/>
      <c r="C1280" s="30"/>
      <c r="D1280" s="30"/>
      <c r="E1280" s="30"/>
      <c r="F1280" s="30"/>
      <c r="G1280" s="30"/>
      <c r="H1280" s="30"/>
      <c r="I1280" s="30"/>
      <c r="J1280" s="30"/>
      <c r="K1280" s="30"/>
      <c r="L1280" s="30"/>
      <c r="M1280" s="30"/>
      <c r="N1280" s="30" t="str" cm="1">
        <f t="array" ref="N1280">Main_Log_Status(Main_Log[[#This Row],[Carrier]],Main_Log[[#This Row],[Net Weight]])</f>
        <v/>
      </c>
      <c r="O1280" s="30"/>
      <c r="P128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80" s="30"/>
      <c r="R1280" s="30" t="str" cm="1">
        <f t="array" ref="R1280">Main_Log_Ref(Main_Log[[#This Row],[Carrier]])</f>
        <v/>
      </c>
    </row>
    <row r="1281" spans="1:18" ht="29.85" customHeight="1" x14ac:dyDescent="0.45">
      <c r="A1281" s="30">
        <v>91</v>
      </c>
      <c r="B1281" s="30"/>
      <c r="C1281" s="30"/>
      <c r="D1281" s="30"/>
      <c r="E1281" s="30"/>
      <c r="F1281" s="30"/>
      <c r="G1281" s="30"/>
      <c r="H1281" s="30"/>
      <c r="I1281" s="30"/>
      <c r="J1281" s="30"/>
      <c r="K1281" s="30"/>
      <c r="L1281" s="30"/>
      <c r="M1281" s="30"/>
      <c r="N1281" s="30" t="str" cm="1">
        <f t="array" ref="N1281">Main_Log_Status(Main_Log[[#This Row],[Carrier]],Main_Log[[#This Row],[Net Weight]])</f>
        <v/>
      </c>
      <c r="O1281" s="30"/>
      <c r="P128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81" s="30"/>
      <c r="R1281" s="30" t="str" cm="1">
        <f t="array" ref="R1281">Main_Log_Ref(Main_Log[[#This Row],[Carrier]])</f>
        <v/>
      </c>
    </row>
    <row r="1282" spans="1:18" ht="29.85" customHeight="1" x14ac:dyDescent="0.45">
      <c r="A1282" s="30">
        <v>92</v>
      </c>
      <c r="B1282" s="30"/>
      <c r="C1282" s="30"/>
      <c r="D1282" s="30"/>
      <c r="E1282" s="30"/>
      <c r="F1282" s="30"/>
      <c r="G1282" s="30"/>
      <c r="H1282" s="30"/>
      <c r="I1282" s="30"/>
      <c r="J1282" s="30"/>
      <c r="K1282" s="30"/>
      <c r="L1282" s="30"/>
      <c r="M1282" s="30"/>
      <c r="N1282" s="30" t="str" cm="1">
        <f t="array" ref="N1282">Main_Log_Status(Main_Log[[#This Row],[Carrier]],Main_Log[[#This Row],[Net Weight]])</f>
        <v/>
      </c>
      <c r="O1282" s="30"/>
      <c r="P128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82" s="30"/>
      <c r="R1282" s="30" t="str" cm="1">
        <f t="array" ref="R1282">Main_Log_Ref(Main_Log[[#This Row],[Carrier]])</f>
        <v/>
      </c>
    </row>
    <row r="1283" spans="1:18" ht="29.85" customHeight="1" x14ac:dyDescent="0.45">
      <c r="A1283" s="30">
        <v>93</v>
      </c>
      <c r="B1283" s="30"/>
      <c r="C1283" s="30"/>
      <c r="D1283" s="30"/>
      <c r="E1283" s="30"/>
      <c r="F1283" s="30"/>
      <c r="G1283" s="30"/>
      <c r="H1283" s="30"/>
      <c r="I1283" s="30"/>
      <c r="J1283" s="30"/>
      <c r="K1283" s="30"/>
      <c r="L1283" s="30"/>
      <c r="M1283" s="30"/>
      <c r="N1283" s="30" t="str" cm="1">
        <f t="array" ref="N1283">Main_Log_Status(Main_Log[[#This Row],[Carrier]],Main_Log[[#This Row],[Net Weight]])</f>
        <v/>
      </c>
      <c r="O1283" s="30"/>
      <c r="P128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83" s="30"/>
      <c r="R1283" s="30" t="str" cm="1">
        <f t="array" ref="R1283">Main_Log_Ref(Main_Log[[#This Row],[Carrier]])</f>
        <v/>
      </c>
    </row>
    <row r="1284" spans="1:18" ht="29.85" customHeight="1" x14ac:dyDescent="0.45">
      <c r="A1284" s="30">
        <v>94</v>
      </c>
      <c r="B1284" s="30"/>
      <c r="C1284" s="30"/>
      <c r="D1284" s="30"/>
      <c r="E1284" s="30"/>
      <c r="F1284" s="30"/>
      <c r="G1284" s="30"/>
      <c r="H1284" s="30"/>
      <c r="I1284" s="30"/>
      <c r="J1284" s="30"/>
      <c r="K1284" s="30"/>
      <c r="L1284" s="30"/>
      <c r="M1284" s="30"/>
      <c r="N1284" s="30" t="str" cm="1">
        <f t="array" ref="N1284">Main_Log_Status(Main_Log[[#This Row],[Carrier]],Main_Log[[#This Row],[Net Weight]])</f>
        <v/>
      </c>
      <c r="O1284" s="30"/>
      <c r="P128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84" s="30"/>
      <c r="R1284" s="30" t="str" cm="1">
        <f t="array" ref="R1284">Main_Log_Ref(Main_Log[[#This Row],[Carrier]])</f>
        <v/>
      </c>
    </row>
    <row r="1285" spans="1:18" ht="29.85" customHeight="1" x14ac:dyDescent="0.45">
      <c r="A1285" s="30">
        <v>95</v>
      </c>
      <c r="B1285" s="30"/>
      <c r="C1285" s="30"/>
      <c r="D1285" s="30"/>
      <c r="E1285" s="30"/>
      <c r="F1285" s="30"/>
      <c r="G1285" s="30"/>
      <c r="H1285" s="30"/>
      <c r="I1285" s="30"/>
      <c r="J1285" s="30"/>
      <c r="K1285" s="30"/>
      <c r="L1285" s="30"/>
      <c r="M1285" s="30"/>
      <c r="N1285" s="30" t="str" cm="1">
        <f t="array" ref="N1285">Main_Log_Status(Main_Log[[#This Row],[Carrier]],Main_Log[[#This Row],[Net Weight]])</f>
        <v/>
      </c>
      <c r="O1285" s="30"/>
      <c r="P128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85" s="30"/>
      <c r="R1285" s="30" t="str" cm="1">
        <f t="array" ref="R1285">Main_Log_Ref(Main_Log[[#This Row],[Carrier]])</f>
        <v/>
      </c>
    </row>
    <row r="1286" spans="1:18" ht="29.85" customHeight="1" x14ac:dyDescent="0.45">
      <c r="A1286" s="30">
        <v>96</v>
      </c>
      <c r="B1286" s="30"/>
      <c r="C1286" s="30"/>
      <c r="D1286" s="30"/>
      <c r="E1286" s="30"/>
      <c r="F1286" s="30"/>
      <c r="G1286" s="30"/>
      <c r="H1286" s="30"/>
      <c r="I1286" s="30"/>
      <c r="J1286" s="30"/>
      <c r="K1286" s="30"/>
      <c r="L1286" s="30"/>
      <c r="M1286" s="30"/>
      <c r="N1286" s="30" t="str" cm="1">
        <f t="array" ref="N1286">Main_Log_Status(Main_Log[[#This Row],[Carrier]],Main_Log[[#This Row],[Net Weight]])</f>
        <v/>
      </c>
      <c r="O1286" s="30"/>
      <c r="P128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86" s="30"/>
      <c r="R1286" s="30" t="str" cm="1">
        <f t="array" ref="R1286">Main_Log_Ref(Main_Log[[#This Row],[Carrier]])</f>
        <v/>
      </c>
    </row>
    <row r="1287" spans="1:18" ht="29.85" customHeight="1" x14ac:dyDescent="0.45">
      <c r="A1287" s="30">
        <v>97</v>
      </c>
      <c r="B1287" s="30"/>
      <c r="C1287" s="30"/>
      <c r="D1287" s="30"/>
      <c r="E1287" s="30"/>
      <c r="F1287" s="30"/>
      <c r="G1287" s="30"/>
      <c r="H1287" s="30"/>
      <c r="I1287" s="30"/>
      <c r="J1287" s="30"/>
      <c r="K1287" s="30"/>
      <c r="L1287" s="30"/>
      <c r="M1287" s="30"/>
      <c r="N1287" s="30" t="str" cm="1">
        <f t="array" ref="N1287">Main_Log_Status(Main_Log[[#This Row],[Carrier]],Main_Log[[#This Row],[Net Weight]])</f>
        <v/>
      </c>
      <c r="O1287" s="30"/>
      <c r="P128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87" s="30"/>
      <c r="R1287" s="30" t="str" cm="1">
        <f t="array" ref="R1287">Main_Log_Ref(Main_Log[[#This Row],[Carrier]])</f>
        <v/>
      </c>
    </row>
    <row r="1288" spans="1:18" ht="29.85" customHeight="1" x14ac:dyDescent="0.45">
      <c r="A1288" s="30">
        <v>98</v>
      </c>
      <c r="B1288" s="30"/>
      <c r="C1288" s="30"/>
      <c r="D1288" s="30"/>
      <c r="E1288" s="30"/>
      <c r="F1288" s="30"/>
      <c r="G1288" s="30"/>
      <c r="H1288" s="30"/>
      <c r="I1288" s="30"/>
      <c r="J1288" s="30"/>
      <c r="K1288" s="30"/>
      <c r="L1288" s="30"/>
      <c r="M1288" s="30"/>
      <c r="N1288" s="30" t="str" cm="1">
        <f t="array" ref="N1288">Main_Log_Status(Main_Log[[#This Row],[Carrier]],Main_Log[[#This Row],[Net Weight]])</f>
        <v/>
      </c>
      <c r="O1288" s="30"/>
      <c r="P128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88" s="30"/>
      <c r="R1288" s="30" t="str" cm="1">
        <f t="array" ref="R1288">Main_Log_Ref(Main_Log[[#This Row],[Carrier]])</f>
        <v/>
      </c>
    </row>
    <row r="1289" spans="1:18" ht="29.85" customHeight="1" x14ac:dyDescent="0.45">
      <c r="A1289" s="30">
        <v>99</v>
      </c>
      <c r="B1289" s="30"/>
      <c r="C1289" s="30"/>
      <c r="D1289" s="30"/>
      <c r="E1289" s="30"/>
      <c r="F1289" s="30"/>
      <c r="G1289" s="30"/>
      <c r="H1289" s="30"/>
      <c r="I1289" s="30"/>
      <c r="J1289" s="30"/>
      <c r="K1289" s="30"/>
      <c r="L1289" s="30"/>
      <c r="M1289" s="30"/>
      <c r="N1289" s="30" t="str" cm="1">
        <f t="array" ref="N1289">Main_Log_Status(Main_Log[[#This Row],[Carrier]],Main_Log[[#This Row],[Net Weight]])</f>
        <v/>
      </c>
      <c r="O1289" s="30"/>
      <c r="P128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89" s="30"/>
      <c r="R1289" s="30" t="str" cm="1">
        <f t="array" ref="R1289">Main_Log_Ref(Main_Log[[#This Row],[Carrier]])</f>
        <v/>
      </c>
    </row>
    <row r="1290" spans="1:18" ht="29.85" customHeight="1" x14ac:dyDescent="0.45">
      <c r="A1290" s="30">
        <v>1</v>
      </c>
      <c r="B1290" s="30"/>
      <c r="C1290" s="30"/>
      <c r="D1290" s="30"/>
      <c r="E1290" s="30"/>
      <c r="F1290" s="30"/>
      <c r="G1290" s="30"/>
      <c r="H1290" s="30"/>
      <c r="I1290" s="30"/>
      <c r="J1290" s="30"/>
      <c r="K1290" s="30"/>
      <c r="L1290" s="30"/>
      <c r="M1290" s="30"/>
      <c r="N1290" s="30" t="str" cm="1">
        <f t="array" ref="N1290">Main_Log_Status(Main_Log[[#This Row],[Carrier]],Main_Log[[#This Row],[Net Weight]])</f>
        <v/>
      </c>
      <c r="O1290" s="30"/>
      <c r="P129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90" s="30"/>
      <c r="R1290" s="30" t="str" cm="1">
        <f t="array" ref="R1290">Main_Log_Ref(Main_Log[[#This Row],[Carrier]])</f>
        <v/>
      </c>
    </row>
    <row r="1291" spans="1:18" ht="29.85" customHeight="1" x14ac:dyDescent="0.45">
      <c r="A1291" s="30">
        <v>2</v>
      </c>
      <c r="B1291" s="30"/>
      <c r="C1291" s="30"/>
      <c r="D1291" s="30"/>
      <c r="E1291" s="30"/>
      <c r="F1291" s="30"/>
      <c r="G1291" s="30"/>
      <c r="H1291" s="30"/>
      <c r="I1291" s="30"/>
      <c r="J1291" s="30"/>
      <c r="K1291" s="30"/>
      <c r="L1291" s="30"/>
      <c r="M1291" s="30"/>
      <c r="N1291" s="30" t="str" cm="1">
        <f t="array" ref="N1291">Main_Log_Status(Main_Log[[#This Row],[Carrier]],Main_Log[[#This Row],[Net Weight]])</f>
        <v/>
      </c>
      <c r="O1291" s="30"/>
      <c r="P129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91" s="30"/>
      <c r="R1291" s="30" t="str" cm="1">
        <f t="array" ref="R1291">Main_Log_Ref(Main_Log[[#This Row],[Carrier]])</f>
        <v/>
      </c>
    </row>
    <row r="1292" spans="1:18" ht="29.85" customHeight="1" x14ac:dyDescent="0.45">
      <c r="A1292" s="30">
        <v>3</v>
      </c>
      <c r="B1292" s="30"/>
      <c r="C1292" s="30"/>
      <c r="D1292" s="30"/>
      <c r="E1292" s="30"/>
      <c r="F1292" s="30"/>
      <c r="G1292" s="30"/>
      <c r="H1292" s="30"/>
      <c r="I1292" s="30"/>
      <c r="J1292" s="30"/>
      <c r="K1292" s="30"/>
      <c r="L1292" s="30"/>
      <c r="M1292" s="30"/>
      <c r="N1292" s="30" t="str" cm="1">
        <f t="array" ref="N1292">Main_Log_Status(Main_Log[[#This Row],[Carrier]],Main_Log[[#This Row],[Net Weight]])</f>
        <v/>
      </c>
      <c r="O1292" s="30"/>
      <c r="P129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92" s="30"/>
      <c r="R1292" s="30" t="str" cm="1">
        <f t="array" ref="R1292">Main_Log_Ref(Main_Log[[#This Row],[Carrier]])</f>
        <v/>
      </c>
    </row>
    <row r="1293" spans="1:18" ht="29.85" customHeight="1" x14ac:dyDescent="0.45">
      <c r="A1293" s="30">
        <v>4</v>
      </c>
      <c r="B1293" s="30"/>
      <c r="C1293" s="30"/>
      <c r="D1293" s="30"/>
      <c r="E1293" s="30"/>
      <c r="F1293" s="30"/>
      <c r="G1293" s="30"/>
      <c r="H1293" s="30"/>
      <c r="I1293" s="30"/>
      <c r="J1293" s="30"/>
      <c r="K1293" s="30"/>
      <c r="L1293" s="30"/>
      <c r="M1293" s="30"/>
      <c r="N1293" s="30" t="str" cm="1">
        <f t="array" ref="N1293">Main_Log_Status(Main_Log[[#This Row],[Carrier]],Main_Log[[#This Row],[Net Weight]])</f>
        <v/>
      </c>
      <c r="O1293" s="30"/>
      <c r="P129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93" s="30"/>
      <c r="R1293" s="30" t="str" cm="1">
        <f t="array" ref="R1293">Main_Log_Ref(Main_Log[[#This Row],[Carrier]])</f>
        <v/>
      </c>
    </row>
    <row r="1294" spans="1:18" ht="29.85" customHeight="1" x14ac:dyDescent="0.45">
      <c r="A1294" s="30">
        <v>5</v>
      </c>
      <c r="B1294" s="30"/>
      <c r="C1294" s="30"/>
      <c r="D1294" s="30"/>
      <c r="E1294" s="30"/>
      <c r="F1294" s="30"/>
      <c r="G1294" s="30"/>
      <c r="H1294" s="30"/>
      <c r="I1294" s="30"/>
      <c r="J1294" s="30"/>
      <c r="K1294" s="30"/>
      <c r="L1294" s="30"/>
      <c r="M1294" s="30"/>
      <c r="N1294" s="30" t="str" cm="1">
        <f t="array" ref="N1294">Main_Log_Status(Main_Log[[#This Row],[Carrier]],Main_Log[[#This Row],[Net Weight]])</f>
        <v/>
      </c>
      <c r="O1294" s="30"/>
      <c r="P129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94" s="30"/>
      <c r="R1294" s="30" t="str" cm="1">
        <f t="array" ref="R1294">Main_Log_Ref(Main_Log[[#This Row],[Carrier]])</f>
        <v/>
      </c>
    </row>
    <row r="1295" spans="1:18" ht="29.85" customHeight="1" x14ac:dyDescent="0.45">
      <c r="A1295" s="30">
        <v>6</v>
      </c>
      <c r="B1295" s="30"/>
      <c r="C1295" s="30"/>
      <c r="D1295" s="30"/>
      <c r="E1295" s="30"/>
      <c r="F1295" s="30"/>
      <c r="G1295" s="30"/>
      <c r="H1295" s="30"/>
      <c r="I1295" s="30"/>
      <c r="J1295" s="30"/>
      <c r="K1295" s="30"/>
      <c r="L1295" s="30"/>
      <c r="M1295" s="30"/>
      <c r="N1295" s="30" t="str" cm="1">
        <f t="array" ref="N1295">Main_Log_Status(Main_Log[[#This Row],[Carrier]],Main_Log[[#This Row],[Net Weight]])</f>
        <v/>
      </c>
      <c r="O1295" s="30"/>
      <c r="P129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95" s="30"/>
      <c r="R1295" s="30" t="str" cm="1">
        <f t="array" ref="R1295">Main_Log_Ref(Main_Log[[#This Row],[Carrier]])</f>
        <v/>
      </c>
    </row>
    <row r="1296" spans="1:18" ht="29.85" customHeight="1" x14ac:dyDescent="0.45">
      <c r="A1296" s="30">
        <v>7</v>
      </c>
      <c r="B1296" s="30"/>
      <c r="C1296" s="30"/>
      <c r="D1296" s="30"/>
      <c r="E1296" s="30"/>
      <c r="F1296" s="30"/>
      <c r="G1296" s="30"/>
      <c r="H1296" s="30"/>
      <c r="I1296" s="30"/>
      <c r="J1296" s="30"/>
      <c r="K1296" s="30"/>
      <c r="L1296" s="30"/>
      <c r="M1296" s="30"/>
      <c r="N1296" s="30" t="str" cm="1">
        <f t="array" ref="N1296">Main_Log_Status(Main_Log[[#This Row],[Carrier]],Main_Log[[#This Row],[Net Weight]])</f>
        <v/>
      </c>
      <c r="O1296" s="30"/>
      <c r="P129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96" s="30"/>
      <c r="R1296" s="30" t="str" cm="1">
        <f t="array" ref="R1296">Main_Log_Ref(Main_Log[[#This Row],[Carrier]])</f>
        <v/>
      </c>
    </row>
    <row r="1297" spans="1:18" ht="29.85" customHeight="1" x14ac:dyDescent="0.45">
      <c r="A1297" s="30">
        <v>8</v>
      </c>
      <c r="B1297" s="30"/>
      <c r="C1297" s="30"/>
      <c r="D1297" s="30"/>
      <c r="E1297" s="30"/>
      <c r="F1297" s="30"/>
      <c r="G1297" s="30"/>
      <c r="H1297" s="30"/>
      <c r="I1297" s="30"/>
      <c r="J1297" s="30"/>
      <c r="K1297" s="30"/>
      <c r="L1297" s="30"/>
      <c r="M1297" s="30"/>
      <c r="N1297" s="30" t="str" cm="1">
        <f t="array" ref="N1297">Main_Log_Status(Main_Log[[#This Row],[Carrier]],Main_Log[[#This Row],[Net Weight]])</f>
        <v/>
      </c>
      <c r="O1297" s="30"/>
      <c r="P129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97" s="30"/>
      <c r="R1297" s="30" t="str" cm="1">
        <f t="array" ref="R1297">Main_Log_Ref(Main_Log[[#This Row],[Carrier]])</f>
        <v/>
      </c>
    </row>
    <row r="1298" spans="1:18" ht="29.85" customHeight="1" x14ac:dyDescent="0.45">
      <c r="A1298" s="30">
        <v>9</v>
      </c>
      <c r="B1298" s="30"/>
      <c r="C1298" s="30"/>
      <c r="D1298" s="30"/>
      <c r="E1298" s="30"/>
      <c r="F1298" s="30"/>
      <c r="G1298" s="30"/>
      <c r="H1298" s="30"/>
      <c r="I1298" s="30"/>
      <c r="J1298" s="30"/>
      <c r="K1298" s="30"/>
      <c r="L1298" s="30"/>
      <c r="M1298" s="30"/>
      <c r="N1298" s="30" t="str" cm="1">
        <f t="array" ref="N1298">Main_Log_Status(Main_Log[[#This Row],[Carrier]],Main_Log[[#This Row],[Net Weight]])</f>
        <v/>
      </c>
      <c r="O1298" s="30"/>
      <c r="P129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98" s="30"/>
      <c r="R1298" s="30" t="str" cm="1">
        <f t="array" ref="R1298">Main_Log_Ref(Main_Log[[#This Row],[Carrier]])</f>
        <v/>
      </c>
    </row>
    <row r="1299" spans="1:18" ht="29.85" customHeight="1" x14ac:dyDescent="0.45">
      <c r="A1299" s="30">
        <v>10</v>
      </c>
      <c r="B1299" s="30"/>
      <c r="C1299" s="30"/>
      <c r="D1299" s="30"/>
      <c r="E1299" s="30"/>
      <c r="F1299" s="30"/>
      <c r="G1299" s="30"/>
      <c r="H1299" s="30"/>
      <c r="I1299" s="30"/>
      <c r="J1299" s="30"/>
      <c r="K1299" s="30"/>
      <c r="L1299" s="30"/>
      <c r="M1299" s="30"/>
      <c r="N1299" s="30" t="str" cm="1">
        <f t="array" ref="N1299">Main_Log_Status(Main_Log[[#This Row],[Carrier]],Main_Log[[#This Row],[Net Weight]])</f>
        <v/>
      </c>
      <c r="O1299" s="30"/>
      <c r="P129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299" s="30"/>
      <c r="R1299" s="30" t="str" cm="1">
        <f t="array" ref="R1299">Main_Log_Ref(Main_Log[[#This Row],[Carrier]])</f>
        <v/>
      </c>
    </row>
    <row r="1300" spans="1:18" ht="29.85" customHeight="1" x14ac:dyDescent="0.45">
      <c r="A1300" s="30">
        <v>11</v>
      </c>
      <c r="B1300" s="30"/>
      <c r="C1300" s="30"/>
      <c r="D1300" s="30"/>
      <c r="E1300" s="30"/>
      <c r="F1300" s="30"/>
      <c r="G1300" s="30"/>
      <c r="H1300" s="30"/>
      <c r="I1300" s="30"/>
      <c r="J1300" s="30"/>
      <c r="K1300" s="30"/>
      <c r="L1300" s="30"/>
      <c r="M1300" s="30"/>
      <c r="N1300" s="30" t="str" cm="1">
        <f t="array" ref="N1300">Main_Log_Status(Main_Log[[#This Row],[Carrier]],Main_Log[[#This Row],[Net Weight]])</f>
        <v/>
      </c>
      <c r="O1300" s="30"/>
      <c r="P130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00" s="30"/>
      <c r="R1300" s="30" t="str" cm="1">
        <f t="array" ref="R1300">Main_Log_Ref(Main_Log[[#This Row],[Carrier]])</f>
        <v/>
      </c>
    </row>
    <row r="1301" spans="1:18" ht="29.85" customHeight="1" x14ac:dyDescent="0.45">
      <c r="A1301" s="30">
        <v>12</v>
      </c>
      <c r="B1301" s="30"/>
      <c r="C1301" s="30"/>
      <c r="D1301" s="30"/>
      <c r="E1301" s="30"/>
      <c r="F1301" s="30"/>
      <c r="G1301" s="30"/>
      <c r="H1301" s="30"/>
      <c r="I1301" s="30"/>
      <c r="J1301" s="30"/>
      <c r="K1301" s="30"/>
      <c r="L1301" s="30"/>
      <c r="M1301" s="30"/>
      <c r="N1301" s="30" t="str" cm="1">
        <f t="array" ref="N1301">Main_Log_Status(Main_Log[[#This Row],[Carrier]],Main_Log[[#This Row],[Net Weight]])</f>
        <v/>
      </c>
      <c r="O1301" s="30"/>
      <c r="P130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01" s="30"/>
      <c r="R1301" s="30" t="str" cm="1">
        <f t="array" ref="R1301">Main_Log_Ref(Main_Log[[#This Row],[Carrier]])</f>
        <v/>
      </c>
    </row>
    <row r="1302" spans="1:18" ht="29.85" customHeight="1" x14ac:dyDescent="0.45">
      <c r="A1302" s="30">
        <v>13</v>
      </c>
      <c r="B1302" s="30"/>
      <c r="C1302" s="30"/>
      <c r="D1302" s="30"/>
      <c r="E1302" s="30"/>
      <c r="F1302" s="30"/>
      <c r="G1302" s="30"/>
      <c r="H1302" s="30"/>
      <c r="I1302" s="30"/>
      <c r="J1302" s="30"/>
      <c r="K1302" s="30"/>
      <c r="L1302" s="30"/>
      <c r="M1302" s="30"/>
      <c r="N1302" s="30" t="str" cm="1">
        <f t="array" ref="N1302">Main_Log_Status(Main_Log[[#This Row],[Carrier]],Main_Log[[#This Row],[Net Weight]])</f>
        <v/>
      </c>
      <c r="O1302" s="30"/>
      <c r="P130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02" s="30"/>
      <c r="R1302" s="30" t="str" cm="1">
        <f t="array" ref="R1302">Main_Log_Ref(Main_Log[[#This Row],[Carrier]])</f>
        <v/>
      </c>
    </row>
    <row r="1303" spans="1:18" ht="29.85" customHeight="1" x14ac:dyDescent="0.45">
      <c r="A1303" s="30">
        <v>14</v>
      </c>
      <c r="B1303" s="30"/>
      <c r="C1303" s="30"/>
      <c r="D1303" s="30"/>
      <c r="E1303" s="30"/>
      <c r="F1303" s="30"/>
      <c r="G1303" s="30"/>
      <c r="H1303" s="30"/>
      <c r="I1303" s="30"/>
      <c r="J1303" s="30"/>
      <c r="K1303" s="30"/>
      <c r="L1303" s="30"/>
      <c r="M1303" s="30"/>
      <c r="N1303" s="30" t="str" cm="1">
        <f t="array" ref="N1303">Main_Log_Status(Main_Log[[#This Row],[Carrier]],Main_Log[[#This Row],[Net Weight]])</f>
        <v/>
      </c>
      <c r="O1303" s="30"/>
      <c r="P130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03" s="30"/>
      <c r="R1303" s="30" t="str" cm="1">
        <f t="array" ref="R1303">Main_Log_Ref(Main_Log[[#This Row],[Carrier]])</f>
        <v/>
      </c>
    </row>
    <row r="1304" spans="1:18" ht="29.85" customHeight="1" x14ac:dyDescent="0.45">
      <c r="A1304" s="30">
        <v>15</v>
      </c>
      <c r="B1304" s="30"/>
      <c r="C1304" s="30"/>
      <c r="D1304" s="30"/>
      <c r="E1304" s="30"/>
      <c r="F1304" s="30"/>
      <c r="G1304" s="30"/>
      <c r="H1304" s="30"/>
      <c r="I1304" s="30"/>
      <c r="J1304" s="30"/>
      <c r="K1304" s="30"/>
      <c r="L1304" s="30"/>
      <c r="M1304" s="30"/>
      <c r="N1304" s="30" t="str" cm="1">
        <f t="array" ref="N1304">Main_Log_Status(Main_Log[[#This Row],[Carrier]],Main_Log[[#This Row],[Net Weight]])</f>
        <v/>
      </c>
      <c r="O1304" s="30"/>
      <c r="P130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04" s="30"/>
      <c r="R1304" s="30" t="str" cm="1">
        <f t="array" ref="R1304">Main_Log_Ref(Main_Log[[#This Row],[Carrier]])</f>
        <v/>
      </c>
    </row>
    <row r="1305" spans="1:18" ht="29.85" customHeight="1" x14ac:dyDescent="0.45">
      <c r="A1305" s="30">
        <v>16</v>
      </c>
      <c r="B1305" s="30"/>
      <c r="C1305" s="30"/>
      <c r="D1305" s="30"/>
      <c r="E1305" s="30"/>
      <c r="F1305" s="30"/>
      <c r="G1305" s="30"/>
      <c r="H1305" s="30"/>
      <c r="I1305" s="30"/>
      <c r="J1305" s="30"/>
      <c r="K1305" s="30"/>
      <c r="L1305" s="30"/>
      <c r="M1305" s="30"/>
      <c r="N1305" s="30" t="str" cm="1">
        <f t="array" ref="N1305">Main_Log_Status(Main_Log[[#This Row],[Carrier]],Main_Log[[#This Row],[Net Weight]])</f>
        <v/>
      </c>
      <c r="O1305" s="30"/>
      <c r="P130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05" s="30"/>
      <c r="R1305" s="30" t="str" cm="1">
        <f t="array" ref="R1305">Main_Log_Ref(Main_Log[[#This Row],[Carrier]])</f>
        <v/>
      </c>
    </row>
    <row r="1306" spans="1:18" ht="29.85" customHeight="1" x14ac:dyDescent="0.45">
      <c r="A1306" s="30">
        <v>17</v>
      </c>
      <c r="B1306" s="30"/>
      <c r="C1306" s="30"/>
      <c r="D1306" s="30"/>
      <c r="E1306" s="30"/>
      <c r="F1306" s="30"/>
      <c r="G1306" s="30"/>
      <c r="H1306" s="30"/>
      <c r="I1306" s="30"/>
      <c r="J1306" s="30"/>
      <c r="K1306" s="30"/>
      <c r="L1306" s="30"/>
      <c r="M1306" s="30"/>
      <c r="N1306" s="30" t="str" cm="1">
        <f t="array" ref="N1306">Main_Log_Status(Main_Log[[#This Row],[Carrier]],Main_Log[[#This Row],[Net Weight]])</f>
        <v/>
      </c>
      <c r="O1306" s="30"/>
      <c r="P130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06" s="30"/>
      <c r="R1306" s="30" t="str" cm="1">
        <f t="array" ref="R1306">Main_Log_Ref(Main_Log[[#This Row],[Carrier]])</f>
        <v/>
      </c>
    </row>
    <row r="1307" spans="1:18" ht="29.85" customHeight="1" x14ac:dyDescent="0.45">
      <c r="A1307" s="30">
        <v>18</v>
      </c>
      <c r="B1307" s="30"/>
      <c r="C1307" s="30"/>
      <c r="D1307" s="30"/>
      <c r="E1307" s="30"/>
      <c r="F1307" s="30"/>
      <c r="G1307" s="30"/>
      <c r="H1307" s="30"/>
      <c r="I1307" s="30"/>
      <c r="J1307" s="30"/>
      <c r="K1307" s="30"/>
      <c r="L1307" s="30"/>
      <c r="M1307" s="30"/>
      <c r="N1307" s="30" t="str" cm="1">
        <f t="array" ref="N1307">Main_Log_Status(Main_Log[[#This Row],[Carrier]],Main_Log[[#This Row],[Net Weight]])</f>
        <v/>
      </c>
      <c r="O1307" s="30"/>
      <c r="P130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07" s="30"/>
      <c r="R1307" s="30" t="str" cm="1">
        <f t="array" ref="R1307">Main_Log_Ref(Main_Log[[#This Row],[Carrier]])</f>
        <v/>
      </c>
    </row>
    <row r="1308" spans="1:18" ht="29.85" customHeight="1" x14ac:dyDescent="0.45">
      <c r="A1308" s="30">
        <v>19</v>
      </c>
      <c r="B1308" s="30"/>
      <c r="C1308" s="30"/>
      <c r="D1308" s="30"/>
      <c r="E1308" s="30"/>
      <c r="F1308" s="30"/>
      <c r="G1308" s="30"/>
      <c r="H1308" s="30"/>
      <c r="I1308" s="30"/>
      <c r="J1308" s="30"/>
      <c r="K1308" s="30"/>
      <c r="L1308" s="30"/>
      <c r="M1308" s="30"/>
      <c r="N1308" s="30" t="str" cm="1">
        <f t="array" ref="N1308">Main_Log_Status(Main_Log[[#This Row],[Carrier]],Main_Log[[#This Row],[Net Weight]])</f>
        <v/>
      </c>
      <c r="O1308" s="30"/>
      <c r="P130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08" s="30"/>
      <c r="R1308" s="30" t="str" cm="1">
        <f t="array" ref="R1308">Main_Log_Ref(Main_Log[[#This Row],[Carrier]])</f>
        <v/>
      </c>
    </row>
    <row r="1309" spans="1:18" ht="29.85" customHeight="1" x14ac:dyDescent="0.45">
      <c r="A1309" s="30">
        <v>20</v>
      </c>
      <c r="B1309" s="30"/>
      <c r="C1309" s="30"/>
      <c r="D1309" s="30"/>
      <c r="E1309" s="30"/>
      <c r="F1309" s="30"/>
      <c r="G1309" s="30"/>
      <c r="H1309" s="30"/>
      <c r="I1309" s="30"/>
      <c r="J1309" s="30"/>
      <c r="K1309" s="30"/>
      <c r="L1309" s="30"/>
      <c r="M1309" s="30"/>
      <c r="N1309" s="30" t="str" cm="1">
        <f t="array" ref="N1309">Main_Log_Status(Main_Log[[#This Row],[Carrier]],Main_Log[[#This Row],[Net Weight]])</f>
        <v/>
      </c>
      <c r="O1309" s="30"/>
      <c r="P130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09" s="30"/>
      <c r="R1309" s="30" t="str" cm="1">
        <f t="array" ref="R1309">Main_Log_Ref(Main_Log[[#This Row],[Carrier]])</f>
        <v/>
      </c>
    </row>
    <row r="1310" spans="1:18" ht="29.85" customHeight="1" x14ac:dyDescent="0.45">
      <c r="A1310" s="30">
        <v>21</v>
      </c>
      <c r="B1310" s="30"/>
      <c r="C1310" s="30"/>
      <c r="D1310" s="30"/>
      <c r="E1310" s="30"/>
      <c r="F1310" s="30"/>
      <c r="G1310" s="30"/>
      <c r="H1310" s="30"/>
      <c r="I1310" s="30"/>
      <c r="J1310" s="30"/>
      <c r="K1310" s="30"/>
      <c r="L1310" s="30"/>
      <c r="M1310" s="30"/>
      <c r="N1310" s="30" t="str" cm="1">
        <f t="array" ref="N1310">Main_Log_Status(Main_Log[[#This Row],[Carrier]],Main_Log[[#This Row],[Net Weight]])</f>
        <v/>
      </c>
      <c r="O1310" s="30"/>
      <c r="P131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10" s="30"/>
      <c r="R1310" s="30" t="str" cm="1">
        <f t="array" ref="R1310">Main_Log_Ref(Main_Log[[#This Row],[Carrier]])</f>
        <v/>
      </c>
    </row>
    <row r="1311" spans="1:18" ht="29.85" customHeight="1" x14ac:dyDescent="0.45">
      <c r="A1311" s="30">
        <v>22</v>
      </c>
      <c r="B1311" s="30"/>
      <c r="C1311" s="30"/>
      <c r="D1311" s="30"/>
      <c r="E1311" s="30"/>
      <c r="F1311" s="30"/>
      <c r="G1311" s="30"/>
      <c r="H1311" s="30"/>
      <c r="I1311" s="30"/>
      <c r="J1311" s="30"/>
      <c r="K1311" s="30"/>
      <c r="L1311" s="30"/>
      <c r="M1311" s="30"/>
      <c r="N1311" s="30" t="str" cm="1">
        <f t="array" ref="N1311">Main_Log_Status(Main_Log[[#This Row],[Carrier]],Main_Log[[#This Row],[Net Weight]])</f>
        <v/>
      </c>
      <c r="O1311" s="30"/>
      <c r="P131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11" s="30"/>
      <c r="R1311" s="30" t="str" cm="1">
        <f t="array" ref="R1311">Main_Log_Ref(Main_Log[[#This Row],[Carrier]])</f>
        <v/>
      </c>
    </row>
    <row r="1312" spans="1:18" ht="29.85" customHeight="1" x14ac:dyDescent="0.45">
      <c r="A1312" s="30">
        <v>23</v>
      </c>
      <c r="B1312" s="30"/>
      <c r="C1312" s="30"/>
      <c r="D1312" s="30"/>
      <c r="E1312" s="30"/>
      <c r="F1312" s="30"/>
      <c r="G1312" s="30"/>
      <c r="H1312" s="30"/>
      <c r="I1312" s="30"/>
      <c r="J1312" s="30"/>
      <c r="K1312" s="30"/>
      <c r="L1312" s="30"/>
      <c r="M1312" s="30"/>
      <c r="N1312" s="30" t="str" cm="1">
        <f t="array" ref="N1312">Main_Log_Status(Main_Log[[#This Row],[Carrier]],Main_Log[[#This Row],[Net Weight]])</f>
        <v/>
      </c>
      <c r="O1312" s="30"/>
      <c r="P131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12" s="30"/>
      <c r="R1312" s="30" t="str" cm="1">
        <f t="array" ref="R1312">Main_Log_Ref(Main_Log[[#This Row],[Carrier]])</f>
        <v/>
      </c>
    </row>
    <row r="1313" spans="1:18" ht="29.85" customHeight="1" x14ac:dyDescent="0.45">
      <c r="A1313" s="30">
        <v>24</v>
      </c>
      <c r="B1313" s="30"/>
      <c r="C1313" s="30"/>
      <c r="D1313" s="30"/>
      <c r="E1313" s="30"/>
      <c r="F1313" s="30"/>
      <c r="G1313" s="30"/>
      <c r="H1313" s="30"/>
      <c r="I1313" s="30"/>
      <c r="J1313" s="30"/>
      <c r="K1313" s="30"/>
      <c r="L1313" s="30"/>
      <c r="M1313" s="30"/>
      <c r="N1313" s="30" t="str" cm="1">
        <f t="array" ref="N1313">Main_Log_Status(Main_Log[[#This Row],[Carrier]],Main_Log[[#This Row],[Net Weight]])</f>
        <v/>
      </c>
      <c r="O1313" s="30"/>
      <c r="P131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13" s="30"/>
      <c r="R1313" s="30" t="str" cm="1">
        <f t="array" ref="R1313">Main_Log_Ref(Main_Log[[#This Row],[Carrier]])</f>
        <v/>
      </c>
    </row>
    <row r="1314" spans="1:18" ht="29.85" customHeight="1" x14ac:dyDescent="0.45">
      <c r="A1314" s="30">
        <v>25</v>
      </c>
      <c r="B1314" s="30"/>
      <c r="C1314" s="30"/>
      <c r="D1314" s="30"/>
      <c r="E1314" s="30"/>
      <c r="F1314" s="30"/>
      <c r="G1314" s="30"/>
      <c r="H1314" s="30"/>
      <c r="I1314" s="30"/>
      <c r="J1314" s="30"/>
      <c r="K1314" s="30"/>
      <c r="L1314" s="30"/>
      <c r="M1314" s="30"/>
      <c r="N1314" s="30" t="str" cm="1">
        <f t="array" ref="N1314">Main_Log_Status(Main_Log[[#This Row],[Carrier]],Main_Log[[#This Row],[Net Weight]])</f>
        <v/>
      </c>
      <c r="O1314" s="30"/>
      <c r="P131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14" s="30"/>
      <c r="R1314" s="30" t="str" cm="1">
        <f t="array" ref="R1314">Main_Log_Ref(Main_Log[[#This Row],[Carrier]])</f>
        <v/>
      </c>
    </row>
    <row r="1315" spans="1:18" ht="29.85" customHeight="1" x14ac:dyDescent="0.45">
      <c r="A1315" s="30">
        <v>26</v>
      </c>
      <c r="B1315" s="30"/>
      <c r="C1315" s="30"/>
      <c r="D1315" s="30"/>
      <c r="E1315" s="30"/>
      <c r="F1315" s="30"/>
      <c r="G1315" s="30"/>
      <c r="H1315" s="30"/>
      <c r="I1315" s="30"/>
      <c r="J1315" s="30"/>
      <c r="K1315" s="30"/>
      <c r="L1315" s="30"/>
      <c r="M1315" s="30"/>
      <c r="N1315" s="30" t="str" cm="1">
        <f t="array" ref="N1315">Main_Log_Status(Main_Log[[#This Row],[Carrier]],Main_Log[[#This Row],[Net Weight]])</f>
        <v/>
      </c>
      <c r="O1315" s="30"/>
      <c r="P131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15" s="30"/>
      <c r="R1315" s="30" t="str" cm="1">
        <f t="array" ref="R1315">Main_Log_Ref(Main_Log[[#This Row],[Carrier]])</f>
        <v/>
      </c>
    </row>
    <row r="1316" spans="1:18" ht="29.85" customHeight="1" x14ac:dyDescent="0.45">
      <c r="A1316" s="30">
        <v>27</v>
      </c>
      <c r="B1316" s="30"/>
      <c r="C1316" s="30"/>
      <c r="D1316" s="30"/>
      <c r="E1316" s="30"/>
      <c r="F1316" s="30"/>
      <c r="G1316" s="30"/>
      <c r="H1316" s="30"/>
      <c r="I1316" s="30"/>
      <c r="J1316" s="30"/>
      <c r="K1316" s="30"/>
      <c r="L1316" s="30"/>
      <c r="M1316" s="30"/>
      <c r="N1316" s="30" t="str" cm="1">
        <f t="array" ref="N1316">Main_Log_Status(Main_Log[[#This Row],[Carrier]],Main_Log[[#This Row],[Net Weight]])</f>
        <v/>
      </c>
      <c r="O1316" s="30"/>
      <c r="P131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16" s="30"/>
      <c r="R1316" s="30" t="str" cm="1">
        <f t="array" ref="R1316">Main_Log_Ref(Main_Log[[#This Row],[Carrier]])</f>
        <v/>
      </c>
    </row>
    <row r="1317" spans="1:18" ht="29.85" customHeight="1" x14ac:dyDescent="0.45">
      <c r="A1317" s="30">
        <v>28</v>
      </c>
      <c r="B1317" s="30"/>
      <c r="C1317" s="30"/>
      <c r="D1317" s="30"/>
      <c r="E1317" s="30"/>
      <c r="F1317" s="30"/>
      <c r="G1317" s="30"/>
      <c r="H1317" s="30"/>
      <c r="I1317" s="30"/>
      <c r="J1317" s="30"/>
      <c r="K1317" s="30"/>
      <c r="L1317" s="30"/>
      <c r="M1317" s="30"/>
      <c r="N1317" s="30" t="str" cm="1">
        <f t="array" ref="N1317">Main_Log_Status(Main_Log[[#This Row],[Carrier]],Main_Log[[#This Row],[Net Weight]])</f>
        <v/>
      </c>
      <c r="O1317" s="30"/>
      <c r="P131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17" s="30"/>
      <c r="R1317" s="30" t="str" cm="1">
        <f t="array" ref="R1317">Main_Log_Ref(Main_Log[[#This Row],[Carrier]])</f>
        <v/>
      </c>
    </row>
    <row r="1318" spans="1:18" ht="29.85" customHeight="1" x14ac:dyDescent="0.45">
      <c r="A1318" s="30">
        <v>29</v>
      </c>
      <c r="B1318" s="30"/>
      <c r="C1318" s="30"/>
      <c r="D1318" s="30"/>
      <c r="E1318" s="30"/>
      <c r="F1318" s="30"/>
      <c r="G1318" s="30"/>
      <c r="H1318" s="30"/>
      <c r="I1318" s="30"/>
      <c r="J1318" s="30"/>
      <c r="K1318" s="30"/>
      <c r="L1318" s="30"/>
      <c r="M1318" s="30"/>
      <c r="N1318" s="30" t="str" cm="1">
        <f t="array" ref="N1318">Main_Log_Status(Main_Log[[#This Row],[Carrier]],Main_Log[[#This Row],[Net Weight]])</f>
        <v/>
      </c>
      <c r="O1318" s="30"/>
      <c r="P131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18" s="30"/>
      <c r="R1318" s="30" t="str" cm="1">
        <f t="array" ref="R1318">Main_Log_Ref(Main_Log[[#This Row],[Carrier]])</f>
        <v/>
      </c>
    </row>
    <row r="1319" spans="1:18" ht="29.85" customHeight="1" x14ac:dyDescent="0.45">
      <c r="A1319" s="30">
        <v>30</v>
      </c>
      <c r="B1319" s="30"/>
      <c r="C1319" s="30"/>
      <c r="D1319" s="30"/>
      <c r="E1319" s="30"/>
      <c r="F1319" s="30"/>
      <c r="G1319" s="30"/>
      <c r="H1319" s="30"/>
      <c r="I1319" s="30"/>
      <c r="J1319" s="30"/>
      <c r="K1319" s="30"/>
      <c r="L1319" s="30"/>
      <c r="M1319" s="30"/>
      <c r="N1319" s="30" t="str" cm="1">
        <f t="array" ref="N1319">Main_Log_Status(Main_Log[[#This Row],[Carrier]],Main_Log[[#This Row],[Net Weight]])</f>
        <v/>
      </c>
      <c r="O1319" s="30"/>
      <c r="P131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19" s="30"/>
      <c r="R1319" s="30" t="str" cm="1">
        <f t="array" ref="R1319">Main_Log_Ref(Main_Log[[#This Row],[Carrier]])</f>
        <v/>
      </c>
    </row>
    <row r="1320" spans="1:18" ht="29.85" customHeight="1" x14ac:dyDescent="0.45">
      <c r="A1320" s="30">
        <v>31</v>
      </c>
      <c r="B1320" s="30"/>
      <c r="C1320" s="30"/>
      <c r="D1320" s="30"/>
      <c r="E1320" s="30"/>
      <c r="F1320" s="30"/>
      <c r="G1320" s="30"/>
      <c r="H1320" s="30"/>
      <c r="I1320" s="30"/>
      <c r="J1320" s="30"/>
      <c r="K1320" s="30"/>
      <c r="L1320" s="30"/>
      <c r="M1320" s="30"/>
      <c r="N1320" s="30" t="str" cm="1">
        <f t="array" ref="N1320">Main_Log_Status(Main_Log[[#This Row],[Carrier]],Main_Log[[#This Row],[Net Weight]])</f>
        <v/>
      </c>
      <c r="O1320" s="30"/>
      <c r="P132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20" s="30"/>
      <c r="R1320" s="30" t="str" cm="1">
        <f t="array" ref="R1320">Main_Log_Ref(Main_Log[[#This Row],[Carrier]])</f>
        <v/>
      </c>
    </row>
    <row r="1321" spans="1:18" ht="29.85" customHeight="1" x14ac:dyDescent="0.45">
      <c r="A1321" s="30">
        <v>32</v>
      </c>
      <c r="B1321" s="30"/>
      <c r="C1321" s="30"/>
      <c r="D1321" s="30"/>
      <c r="E1321" s="30"/>
      <c r="F1321" s="30"/>
      <c r="G1321" s="30"/>
      <c r="H1321" s="30"/>
      <c r="I1321" s="30"/>
      <c r="J1321" s="30"/>
      <c r="K1321" s="30"/>
      <c r="L1321" s="30"/>
      <c r="M1321" s="30"/>
      <c r="N1321" s="30" t="str" cm="1">
        <f t="array" ref="N1321">Main_Log_Status(Main_Log[[#This Row],[Carrier]],Main_Log[[#This Row],[Net Weight]])</f>
        <v/>
      </c>
      <c r="O1321" s="30"/>
      <c r="P132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21" s="30"/>
      <c r="R1321" s="30" t="str" cm="1">
        <f t="array" ref="R1321">Main_Log_Ref(Main_Log[[#This Row],[Carrier]])</f>
        <v/>
      </c>
    </row>
    <row r="1322" spans="1:18" ht="29.85" customHeight="1" x14ac:dyDescent="0.45">
      <c r="A1322" s="30">
        <v>33</v>
      </c>
      <c r="B1322" s="30"/>
      <c r="C1322" s="30"/>
      <c r="D1322" s="30"/>
      <c r="E1322" s="30"/>
      <c r="F1322" s="30"/>
      <c r="G1322" s="30"/>
      <c r="H1322" s="30"/>
      <c r="I1322" s="30"/>
      <c r="J1322" s="30"/>
      <c r="K1322" s="30"/>
      <c r="L1322" s="30"/>
      <c r="M1322" s="30"/>
      <c r="N1322" s="30" t="str" cm="1">
        <f t="array" ref="N1322">Main_Log_Status(Main_Log[[#This Row],[Carrier]],Main_Log[[#This Row],[Net Weight]])</f>
        <v/>
      </c>
      <c r="O1322" s="30"/>
      <c r="P132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22" s="30"/>
      <c r="R1322" s="30" t="str" cm="1">
        <f t="array" ref="R1322">Main_Log_Ref(Main_Log[[#This Row],[Carrier]])</f>
        <v/>
      </c>
    </row>
    <row r="1323" spans="1:18" ht="29.85" customHeight="1" x14ac:dyDescent="0.45">
      <c r="A1323" s="30">
        <v>34</v>
      </c>
      <c r="B1323" s="30"/>
      <c r="C1323" s="30"/>
      <c r="D1323" s="30"/>
      <c r="E1323" s="30"/>
      <c r="F1323" s="30"/>
      <c r="G1323" s="30"/>
      <c r="H1323" s="30"/>
      <c r="I1323" s="30"/>
      <c r="J1323" s="30"/>
      <c r="K1323" s="30"/>
      <c r="L1323" s="30"/>
      <c r="M1323" s="30"/>
      <c r="N1323" s="30" t="str" cm="1">
        <f t="array" ref="N1323">Main_Log_Status(Main_Log[[#This Row],[Carrier]],Main_Log[[#This Row],[Net Weight]])</f>
        <v/>
      </c>
      <c r="O1323" s="30"/>
      <c r="P132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23" s="30"/>
      <c r="R1323" s="30" t="str" cm="1">
        <f t="array" ref="R1323">Main_Log_Ref(Main_Log[[#This Row],[Carrier]])</f>
        <v/>
      </c>
    </row>
    <row r="1324" spans="1:18" ht="29.85" customHeight="1" x14ac:dyDescent="0.45">
      <c r="A1324" s="30">
        <v>35</v>
      </c>
      <c r="B1324" s="30"/>
      <c r="C1324" s="30"/>
      <c r="D1324" s="30"/>
      <c r="E1324" s="30"/>
      <c r="F1324" s="30"/>
      <c r="G1324" s="30"/>
      <c r="H1324" s="30"/>
      <c r="I1324" s="30"/>
      <c r="J1324" s="30"/>
      <c r="K1324" s="30"/>
      <c r="L1324" s="30"/>
      <c r="M1324" s="30"/>
      <c r="N1324" s="30" t="str" cm="1">
        <f t="array" ref="N1324">Main_Log_Status(Main_Log[[#This Row],[Carrier]],Main_Log[[#This Row],[Net Weight]])</f>
        <v/>
      </c>
      <c r="O1324" s="30"/>
      <c r="P132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24" s="30"/>
      <c r="R1324" s="30" t="str" cm="1">
        <f t="array" ref="R1324">Main_Log_Ref(Main_Log[[#This Row],[Carrier]])</f>
        <v/>
      </c>
    </row>
    <row r="1325" spans="1:18" ht="29.85" customHeight="1" x14ac:dyDescent="0.45">
      <c r="A1325" s="30">
        <v>36</v>
      </c>
      <c r="B1325" s="30"/>
      <c r="C1325" s="30"/>
      <c r="D1325" s="30"/>
      <c r="E1325" s="30"/>
      <c r="F1325" s="30"/>
      <c r="G1325" s="30"/>
      <c r="H1325" s="30"/>
      <c r="I1325" s="30"/>
      <c r="J1325" s="30"/>
      <c r="K1325" s="30"/>
      <c r="L1325" s="30"/>
      <c r="M1325" s="30"/>
      <c r="N1325" s="30" t="str" cm="1">
        <f t="array" ref="N1325">Main_Log_Status(Main_Log[[#This Row],[Carrier]],Main_Log[[#This Row],[Net Weight]])</f>
        <v/>
      </c>
      <c r="O1325" s="30"/>
      <c r="P132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25" s="30"/>
      <c r="R1325" s="30" t="str" cm="1">
        <f t="array" ref="R1325">Main_Log_Ref(Main_Log[[#This Row],[Carrier]])</f>
        <v/>
      </c>
    </row>
    <row r="1326" spans="1:18" ht="29.85" customHeight="1" x14ac:dyDescent="0.45">
      <c r="A1326" s="30">
        <v>37</v>
      </c>
      <c r="B1326" s="30"/>
      <c r="C1326" s="30"/>
      <c r="D1326" s="30"/>
      <c r="E1326" s="30"/>
      <c r="F1326" s="30"/>
      <c r="G1326" s="30"/>
      <c r="H1326" s="30"/>
      <c r="I1326" s="30"/>
      <c r="J1326" s="30"/>
      <c r="K1326" s="30"/>
      <c r="L1326" s="30"/>
      <c r="M1326" s="30"/>
      <c r="N1326" s="30" t="str" cm="1">
        <f t="array" ref="N1326">Main_Log_Status(Main_Log[[#This Row],[Carrier]],Main_Log[[#This Row],[Net Weight]])</f>
        <v/>
      </c>
      <c r="O1326" s="30"/>
      <c r="P132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26" s="30"/>
      <c r="R1326" s="30" t="str" cm="1">
        <f t="array" ref="R1326">Main_Log_Ref(Main_Log[[#This Row],[Carrier]])</f>
        <v/>
      </c>
    </row>
    <row r="1327" spans="1:18" ht="29.85" customHeight="1" x14ac:dyDescent="0.45">
      <c r="A1327" s="30">
        <v>38</v>
      </c>
      <c r="B1327" s="30"/>
      <c r="C1327" s="30"/>
      <c r="D1327" s="30"/>
      <c r="E1327" s="30"/>
      <c r="F1327" s="30"/>
      <c r="G1327" s="30"/>
      <c r="H1327" s="30"/>
      <c r="I1327" s="30"/>
      <c r="J1327" s="30"/>
      <c r="K1327" s="30"/>
      <c r="L1327" s="30"/>
      <c r="M1327" s="30"/>
      <c r="N1327" s="30" t="str" cm="1">
        <f t="array" ref="N1327">Main_Log_Status(Main_Log[[#This Row],[Carrier]],Main_Log[[#This Row],[Net Weight]])</f>
        <v/>
      </c>
      <c r="O1327" s="30"/>
      <c r="P132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27" s="30"/>
      <c r="R1327" s="30" t="str" cm="1">
        <f t="array" ref="R1327">Main_Log_Ref(Main_Log[[#This Row],[Carrier]])</f>
        <v/>
      </c>
    </row>
    <row r="1328" spans="1:18" ht="29.85" customHeight="1" x14ac:dyDescent="0.45">
      <c r="A1328" s="30">
        <v>39</v>
      </c>
      <c r="B1328" s="30"/>
      <c r="C1328" s="30"/>
      <c r="D1328" s="30"/>
      <c r="E1328" s="30"/>
      <c r="F1328" s="30"/>
      <c r="G1328" s="30"/>
      <c r="H1328" s="30"/>
      <c r="I1328" s="30"/>
      <c r="J1328" s="30"/>
      <c r="K1328" s="30"/>
      <c r="L1328" s="30"/>
      <c r="M1328" s="30"/>
      <c r="N1328" s="30" t="str" cm="1">
        <f t="array" ref="N1328">Main_Log_Status(Main_Log[[#This Row],[Carrier]],Main_Log[[#This Row],[Net Weight]])</f>
        <v/>
      </c>
      <c r="O1328" s="30"/>
      <c r="P132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28" s="30"/>
      <c r="R1328" s="30" t="str" cm="1">
        <f t="array" ref="R1328">Main_Log_Ref(Main_Log[[#This Row],[Carrier]])</f>
        <v/>
      </c>
    </row>
    <row r="1329" spans="1:18" ht="29.85" customHeight="1" x14ac:dyDescent="0.45">
      <c r="A1329" s="30">
        <v>40</v>
      </c>
      <c r="B1329" s="30"/>
      <c r="C1329" s="30"/>
      <c r="D1329" s="30"/>
      <c r="E1329" s="30"/>
      <c r="F1329" s="30"/>
      <c r="G1329" s="30"/>
      <c r="H1329" s="30"/>
      <c r="I1329" s="30"/>
      <c r="J1329" s="30"/>
      <c r="K1329" s="30"/>
      <c r="L1329" s="30"/>
      <c r="M1329" s="30"/>
      <c r="N1329" s="30" t="str" cm="1">
        <f t="array" ref="N1329">Main_Log_Status(Main_Log[[#This Row],[Carrier]],Main_Log[[#This Row],[Net Weight]])</f>
        <v/>
      </c>
      <c r="O1329" s="30"/>
      <c r="P132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29" s="30"/>
      <c r="R1329" s="30" t="str" cm="1">
        <f t="array" ref="R1329">Main_Log_Ref(Main_Log[[#This Row],[Carrier]])</f>
        <v/>
      </c>
    </row>
    <row r="1330" spans="1:18" ht="29.85" customHeight="1" x14ac:dyDescent="0.45">
      <c r="A1330" s="30">
        <v>41</v>
      </c>
      <c r="B1330" s="30"/>
      <c r="C1330" s="30"/>
      <c r="D1330" s="30"/>
      <c r="E1330" s="30"/>
      <c r="F1330" s="30"/>
      <c r="G1330" s="30"/>
      <c r="H1330" s="30"/>
      <c r="I1330" s="30"/>
      <c r="J1330" s="30"/>
      <c r="K1330" s="30"/>
      <c r="L1330" s="30"/>
      <c r="M1330" s="30"/>
      <c r="N1330" s="30" t="str" cm="1">
        <f t="array" ref="N1330">Main_Log_Status(Main_Log[[#This Row],[Carrier]],Main_Log[[#This Row],[Net Weight]])</f>
        <v/>
      </c>
      <c r="O1330" s="30"/>
      <c r="P133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30" s="30"/>
      <c r="R1330" s="30" t="str" cm="1">
        <f t="array" ref="R1330">Main_Log_Ref(Main_Log[[#This Row],[Carrier]])</f>
        <v/>
      </c>
    </row>
    <row r="1331" spans="1:18" ht="29.85" customHeight="1" x14ac:dyDescent="0.45">
      <c r="A1331" s="30">
        <v>42</v>
      </c>
      <c r="B1331" s="30"/>
      <c r="C1331" s="30"/>
      <c r="D1331" s="30"/>
      <c r="E1331" s="30"/>
      <c r="F1331" s="30"/>
      <c r="G1331" s="30"/>
      <c r="H1331" s="30"/>
      <c r="I1331" s="30"/>
      <c r="J1331" s="30"/>
      <c r="K1331" s="30"/>
      <c r="L1331" s="30"/>
      <c r="M1331" s="30"/>
      <c r="N1331" s="30" t="str" cm="1">
        <f t="array" ref="N1331">Main_Log_Status(Main_Log[[#This Row],[Carrier]],Main_Log[[#This Row],[Net Weight]])</f>
        <v/>
      </c>
      <c r="O1331" s="30"/>
      <c r="P133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31" s="30"/>
      <c r="R1331" s="30" t="str" cm="1">
        <f t="array" ref="R1331">Main_Log_Ref(Main_Log[[#This Row],[Carrier]])</f>
        <v/>
      </c>
    </row>
    <row r="1332" spans="1:18" ht="29.85" customHeight="1" x14ac:dyDescent="0.45">
      <c r="A1332" s="30">
        <v>43</v>
      </c>
      <c r="B1332" s="30"/>
      <c r="C1332" s="30"/>
      <c r="D1332" s="30"/>
      <c r="E1332" s="30"/>
      <c r="F1332" s="30"/>
      <c r="G1332" s="30"/>
      <c r="H1332" s="30"/>
      <c r="I1332" s="30"/>
      <c r="J1332" s="30"/>
      <c r="K1332" s="30"/>
      <c r="L1332" s="30"/>
      <c r="M1332" s="30"/>
      <c r="N1332" s="30" t="str" cm="1">
        <f t="array" ref="N1332">Main_Log_Status(Main_Log[[#This Row],[Carrier]],Main_Log[[#This Row],[Net Weight]])</f>
        <v/>
      </c>
      <c r="O1332" s="30"/>
      <c r="P133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32" s="30"/>
      <c r="R1332" s="30" t="str" cm="1">
        <f t="array" ref="R1332">Main_Log_Ref(Main_Log[[#This Row],[Carrier]])</f>
        <v/>
      </c>
    </row>
    <row r="1333" spans="1:18" ht="29.85" customHeight="1" x14ac:dyDescent="0.45">
      <c r="A1333" s="30">
        <v>44</v>
      </c>
      <c r="B1333" s="30"/>
      <c r="C1333" s="30"/>
      <c r="D1333" s="30"/>
      <c r="E1333" s="30"/>
      <c r="F1333" s="30"/>
      <c r="G1333" s="30"/>
      <c r="H1333" s="30"/>
      <c r="I1333" s="30"/>
      <c r="J1333" s="30"/>
      <c r="K1333" s="30"/>
      <c r="L1333" s="30"/>
      <c r="M1333" s="30"/>
      <c r="N1333" s="30" t="str" cm="1">
        <f t="array" ref="N1333">Main_Log_Status(Main_Log[[#This Row],[Carrier]],Main_Log[[#This Row],[Net Weight]])</f>
        <v/>
      </c>
      <c r="O1333" s="30"/>
      <c r="P133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33" s="30"/>
      <c r="R1333" s="30" t="str" cm="1">
        <f t="array" ref="R1333">Main_Log_Ref(Main_Log[[#This Row],[Carrier]])</f>
        <v/>
      </c>
    </row>
    <row r="1334" spans="1:18" ht="29.85" customHeight="1" x14ac:dyDescent="0.45">
      <c r="A1334" s="30">
        <v>45</v>
      </c>
      <c r="B1334" s="30"/>
      <c r="C1334" s="30"/>
      <c r="D1334" s="30"/>
      <c r="E1334" s="30"/>
      <c r="F1334" s="30"/>
      <c r="G1334" s="30"/>
      <c r="H1334" s="30"/>
      <c r="I1334" s="30"/>
      <c r="J1334" s="30"/>
      <c r="K1334" s="30"/>
      <c r="L1334" s="30"/>
      <c r="M1334" s="30"/>
      <c r="N1334" s="30" t="str" cm="1">
        <f t="array" ref="N1334">Main_Log_Status(Main_Log[[#This Row],[Carrier]],Main_Log[[#This Row],[Net Weight]])</f>
        <v/>
      </c>
      <c r="O1334" s="30"/>
      <c r="P133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34" s="30"/>
      <c r="R1334" s="30" t="str" cm="1">
        <f t="array" ref="R1334">Main_Log_Ref(Main_Log[[#This Row],[Carrier]])</f>
        <v/>
      </c>
    </row>
    <row r="1335" spans="1:18" ht="29.85" customHeight="1" x14ac:dyDescent="0.45">
      <c r="A1335" s="30">
        <v>46</v>
      </c>
      <c r="B1335" s="30"/>
      <c r="C1335" s="30"/>
      <c r="D1335" s="30"/>
      <c r="E1335" s="30"/>
      <c r="F1335" s="30"/>
      <c r="G1335" s="30"/>
      <c r="H1335" s="30"/>
      <c r="I1335" s="30"/>
      <c r="J1335" s="30"/>
      <c r="K1335" s="30"/>
      <c r="L1335" s="30"/>
      <c r="M1335" s="30"/>
      <c r="N1335" s="30" t="str" cm="1">
        <f t="array" ref="N1335">Main_Log_Status(Main_Log[[#This Row],[Carrier]],Main_Log[[#This Row],[Net Weight]])</f>
        <v/>
      </c>
      <c r="O1335" s="30"/>
      <c r="P133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35" s="30"/>
      <c r="R1335" s="30" t="str" cm="1">
        <f t="array" ref="R1335">Main_Log_Ref(Main_Log[[#This Row],[Carrier]])</f>
        <v/>
      </c>
    </row>
    <row r="1336" spans="1:18" ht="29.85" customHeight="1" x14ac:dyDescent="0.45">
      <c r="A1336" s="30">
        <v>47</v>
      </c>
      <c r="B1336" s="30"/>
      <c r="C1336" s="30"/>
      <c r="D1336" s="30"/>
      <c r="E1336" s="30"/>
      <c r="F1336" s="30"/>
      <c r="G1336" s="30"/>
      <c r="H1336" s="30"/>
      <c r="I1336" s="30"/>
      <c r="J1336" s="30"/>
      <c r="K1336" s="30"/>
      <c r="L1336" s="30"/>
      <c r="M1336" s="30"/>
      <c r="N1336" s="30" t="str" cm="1">
        <f t="array" ref="N1336">Main_Log_Status(Main_Log[[#This Row],[Carrier]],Main_Log[[#This Row],[Net Weight]])</f>
        <v/>
      </c>
      <c r="O1336" s="30"/>
      <c r="P133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36" s="30"/>
      <c r="R1336" s="30" t="str" cm="1">
        <f t="array" ref="R1336">Main_Log_Ref(Main_Log[[#This Row],[Carrier]])</f>
        <v/>
      </c>
    </row>
    <row r="1337" spans="1:18" ht="29.85" customHeight="1" x14ac:dyDescent="0.45">
      <c r="A1337" s="30">
        <v>48</v>
      </c>
      <c r="B1337" s="30"/>
      <c r="C1337" s="30"/>
      <c r="D1337" s="30"/>
      <c r="E1337" s="30"/>
      <c r="F1337" s="30"/>
      <c r="G1337" s="30"/>
      <c r="H1337" s="30"/>
      <c r="I1337" s="30"/>
      <c r="J1337" s="30"/>
      <c r="K1337" s="30"/>
      <c r="L1337" s="30"/>
      <c r="M1337" s="30"/>
      <c r="N1337" s="30" t="str" cm="1">
        <f t="array" ref="N1337">Main_Log_Status(Main_Log[[#This Row],[Carrier]],Main_Log[[#This Row],[Net Weight]])</f>
        <v/>
      </c>
      <c r="O1337" s="30"/>
      <c r="P133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37" s="30"/>
      <c r="R1337" s="30" t="str" cm="1">
        <f t="array" ref="R1337">Main_Log_Ref(Main_Log[[#This Row],[Carrier]])</f>
        <v/>
      </c>
    </row>
    <row r="1338" spans="1:18" ht="29.85" customHeight="1" x14ac:dyDescent="0.45">
      <c r="A1338" s="30">
        <v>49</v>
      </c>
      <c r="B1338" s="30"/>
      <c r="C1338" s="30"/>
      <c r="D1338" s="30"/>
      <c r="E1338" s="30"/>
      <c r="F1338" s="30"/>
      <c r="G1338" s="30"/>
      <c r="H1338" s="30"/>
      <c r="I1338" s="30"/>
      <c r="J1338" s="30"/>
      <c r="K1338" s="30"/>
      <c r="L1338" s="30"/>
      <c r="M1338" s="30"/>
      <c r="N1338" s="30" t="str" cm="1">
        <f t="array" ref="N1338">Main_Log_Status(Main_Log[[#This Row],[Carrier]],Main_Log[[#This Row],[Net Weight]])</f>
        <v/>
      </c>
      <c r="O1338" s="30"/>
      <c r="P133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38" s="30"/>
      <c r="R1338" s="30" t="str" cm="1">
        <f t="array" ref="R1338">Main_Log_Ref(Main_Log[[#This Row],[Carrier]])</f>
        <v/>
      </c>
    </row>
    <row r="1339" spans="1:18" ht="29.85" customHeight="1" x14ac:dyDescent="0.45">
      <c r="A1339" s="30">
        <v>50</v>
      </c>
      <c r="B1339" s="30"/>
      <c r="C1339" s="30"/>
      <c r="D1339" s="30"/>
      <c r="E1339" s="30"/>
      <c r="F1339" s="30"/>
      <c r="G1339" s="30"/>
      <c r="H1339" s="30"/>
      <c r="I1339" s="30"/>
      <c r="J1339" s="30"/>
      <c r="K1339" s="30"/>
      <c r="L1339" s="30"/>
      <c r="M1339" s="30"/>
      <c r="N1339" s="30" t="str" cm="1">
        <f t="array" ref="N1339">Main_Log_Status(Main_Log[[#This Row],[Carrier]],Main_Log[[#This Row],[Net Weight]])</f>
        <v/>
      </c>
      <c r="O1339" s="30"/>
      <c r="P133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39" s="30"/>
      <c r="R1339" s="30" t="str" cm="1">
        <f t="array" ref="R1339">Main_Log_Ref(Main_Log[[#This Row],[Carrier]])</f>
        <v/>
      </c>
    </row>
    <row r="1340" spans="1:18" ht="29.85" customHeight="1" x14ac:dyDescent="0.45">
      <c r="A1340" s="30">
        <v>51</v>
      </c>
      <c r="B1340" s="30"/>
      <c r="C1340" s="30"/>
      <c r="D1340" s="30"/>
      <c r="E1340" s="30"/>
      <c r="F1340" s="30"/>
      <c r="G1340" s="30"/>
      <c r="H1340" s="30"/>
      <c r="I1340" s="30"/>
      <c r="J1340" s="30"/>
      <c r="K1340" s="30"/>
      <c r="L1340" s="30"/>
      <c r="M1340" s="30"/>
      <c r="N1340" s="30" t="str" cm="1">
        <f t="array" ref="N1340">Main_Log_Status(Main_Log[[#This Row],[Carrier]],Main_Log[[#This Row],[Net Weight]])</f>
        <v/>
      </c>
      <c r="O1340" s="30"/>
      <c r="P134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40" s="30"/>
      <c r="R1340" s="30" t="str" cm="1">
        <f t="array" ref="R1340">Main_Log_Ref(Main_Log[[#This Row],[Carrier]])</f>
        <v/>
      </c>
    </row>
    <row r="1341" spans="1:18" ht="29.85" customHeight="1" x14ac:dyDescent="0.45">
      <c r="A1341" s="30">
        <v>52</v>
      </c>
      <c r="B1341" s="30"/>
      <c r="C1341" s="30"/>
      <c r="D1341" s="30"/>
      <c r="E1341" s="30"/>
      <c r="F1341" s="30"/>
      <c r="G1341" s="30"/>
      <c r="H1341" s="30"/>
      <c r="I1341" s="30"/>
      <c r="J1341" s="30"/>
      <c r="K1341" s="30"/>
      <c r="L1341" s="30"/>
      <c r="M1341" s="30"/>
      <c r="N1341" s="30" t="str" cm="1">
        <f t="array" ref="N1341">Main_Log_Status(Main_Log[[#This Row],[Carrier]],Main_Log[[#This Row],[Net Weight]])</f>
        <v/>
      </c>
      <c r="O1341" s="30"/>
      <c r="P134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41" s="30"/>
      <c r="R1341" s="30" t="str" cm="1">
        <f t="array" ref="R1341">Main_Log_Ref(Main_Log[[#This Row],[Carrier]])</f>
        <v/>
      </c>
    </row>
    <row r="1342" spans="1:18" ht="29.85" customHeight="1" x14ac:dyDescent="0.45">
      <c r="A1342" s="30">
        <v>53</v>
      </c>
      <c r="B1342" s="30"/>
      <c r="C1342" s="30"/>
      <c r="D1342" s="30"/>
      <c r="E1342" s="30"/>
      <c r="F1342" s="30"/>
      <c r="G1342" s="30"/>
      <c r="H1342" s="30"/>
      <c r="I1342" s="30"/>
      <c r="J1342" s="30"/>
      <c r="K1342" s="30"/>
      <c r="L1342" s="30"/>
      <c r="M1342" s="30"/>
      <c r="N1342" s="30" t="str" cm="1">
        <f t="array" ref="N1342">Main_Log_Status(Main_Log[[#This Row],[Carrier]],Main_Log[[#This Row],[Net Weight]])</f>
        <v/>
      </c>
      <c r="O1342" s="30"/>
      <c r="P134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42" s="30"/>
      <c r="R1342" s="30" t="str" cm="1">
        <f t="array" ref="R1342">Main_Log_Ref(Main_Log[[#This Row],[Carrier]])</f>
        <v/>
      </c>
    </row>
    <row r="1343" spans="1:18" ht="29.85" customHeight="1" x14ac:dyDescent="0.45">
      <c r="A1343" s="30">
        <v>54</v>
      </c>
      <c r="B1343" s="30"/>
      <c r="C1343" s="30"/>
      <c r="D1343" s="30"/>
      <c r="E1343" s="30"/>
      <c r="F1343" s="30"/>
      <c r="G1343" s="30"/>
      <c r="H1343" s="30"/>
      <c r="I1343" s="30"/>
      <c r="J1343" s="30"/>
      <c r="K1343" s="30"/>
      <c r="L1343" s="30"/>
      <c r="M1343" s="30"/>
      <c r="N1343" s="30" t="str" cm="1">
        <f t="array" ref="N1343">Main_Log_Status(Main_Log[[#This Row],[Carrier]],Main_Log[[#This Row],[Net Weight]])</f>
        <v/>
      </c>
      <c r="O1343" s="30"/>
      <c r="P134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43" s="30"/>
      <c r="R1343" s="30" t="str" cm="1">
        <f t="array" ref="R1343">Main_Log_Ref(Main_Log[[#This Row],[Carrier]])</f>
        <v/>
      </c>
    </row>
    <row r="1344" spans="1:18" ht="29.85" customHeight="1" x14ac:dyDescent="0.45">
      <c r="A1344" s="30">
        <v>55</v>
      </c>
      <c r="B1344" s="30"/>
      <c r="C1344" s="30"/>
      <c r="D1344" s="30"/>
      <c r="E1344" s="30"/>
      <c r="F1344" s="30"/>
      <c r="G1344" s="30"/>
      <c r="H1344" s="30"/>
      <c r="I1344" s="30"/>
      <c r="J1344" s="30"/>
      <c r="K1344" s="30"/>
      <c r="L1344" s="30"/>
      <c r="M1344" s="30"/>
      <c r="N1344" s="30" t="str" cm="1">
        <f t="array" ref="N1344">Main_Log_Status(Main_Log[[#This Row],[Carrier]],Main_Log[[#This Row],[Net Weight]])</f>
        <v/>
      </c>
      <c r="O1344" s="30"/>
      <c r="P134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44" s="30"/>
      <c r="R1344" s="30" t="str" cm="1">
        <f t="array" ref="R1344">Main_Log_Ref(Main_Log[[#This Row],[Carrier]])</f>
        <v/>
      </c>
    </row>
    <row r="1345" spans="1:18" ht="29.85" customHeight="1" x14ac:dyDescent="0.45">
      <c r="A1345" s="30">
        <v>56</v>
      </c>
      <c r="B1345" s="30"/>
      <c r="C1345" s="30"/>
      <c r="D1345" s="30"/>
      <c r="E1345" s="30"/>
      <c r="F1345" s="30"/>
      <c r="G1345" s="30"/>
      <c r="H1345" s="30"/>
      <c r="I1345" s="30"/>
      <c r="J1345" s="30"/>
      <c r="K1345" s="30"/>
      <c r="L1345" s="30"/>
      <c r="M1345" s="30"/>
      <c r="N1345" s="30" t="str" cm="1">
        <f t="array" ref="N1345">Main_Log_Status(Main_Log[[#This Row],[Carrier]],Main_Log[[#This Row],[Net Weight]])</f>
        <v/>
      </c>
      <c r="O1345" s="30"/>
      <c r="P134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45" s="30"/>
      <c r="R1345" s="30" t="str" cm="1">
        <f t="array" ref="R1345">Main_Log_Ref(Main_Log[[#This Row],[Carrier]])</f>
        <v/>
      </c>
    </row>
    <row r="1346" spans="1:18" ht="29.85" customHeight="1" x14ac:dyDescent="0.45">
      <c r="A1346" s="30">
        <v>57</v>
      </c>
      <c r="B1346" s="30"/>
      <c r="C1346" s="30"/>
      <c r="D1346" s="30"/>
      <c r="E1346" s="30"/>
      <c r="F1346" s="30"/>
      <c r="G1346" s="30"/>
      <c r="H1346" s="30"/>
      <c r="I1346" s="30"/>
      <c r="J1346" s="30"/>
      <c r="K1346" s="30"/>
      <c r="L1346" s="30"/>
      <c r="M1346" s="30"/>
      <c r="N1346" s="30" t="str" cm="1">
        <f t="array" ref="N1346">Main_Log_Status(Main_Log[[#This Row],[Carrier]],Main_Log[[#This Row],[Net Weight]])</f>
        <v/>
      </c>
      <c r="O1346" s="30"/>
      <c r="P134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46" s="30"/>
      <c r="R1346" s="30" t="str" cm="1">
        <f t="array" ref="R1346">Main_Log_Ref(Main_Log[[#This Row],[Carrier]])</f>
        <v/>
      </c>
    </row>
    <row r="1347" spans="1:18" ht="29.85" customHeight="1" x14ac:dyDescent="0.45">
      <c r="A1347" s="30">
        <v>58</v>
      </c>
      <c r="B1347" s="30"/>
      <c r="C1347" s="30"/>
      <c r="D1347" s="30"/>
      <c r="E1347" s="30"/>
      <c r="F1347" s="30"/>
      <c r="G1347" s="30"/>
      <c r="H1347" s="30"/>
      <c r="I1347" s="30"/>
      <c r="J1347" s="30"/>
      <c r="K1347" s="30"/>
      <c r="L1347" s="30"/>
      <c r="M1347" s="30"/>
      <c r="N1347" s="30" t="str" cm="1">
        <f t="array" ref="N1347">Main_Log_Status(Main_Log[[#This Row],[Carrier]],Main_Log[[#This Row],[Net Weight]])</f>
        <v/>
      </c>
      <c r="O1347" s="30"/>
      <c r="P134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47" s="30"/>
      <c r="R1347" s="30" t="str" cm="1">
        <f t="array" ref="R1347">Main_Log_Ref(Main_Log[[#This Row],[Carrier]])</f>
        <v/>
      </c>
    </row>
    <row r="1348" spans="1:18" ht="29.85" customHeight="1" x14ac:dyDescent="0.45">
      <c r="A1348" s="30">
        <v>59</v>
      </c>
      <c r="B1348" s="30"/>
      <c r="C1348" s="30"/>
      <c r="D1348" s="30"/>
      <c r="E1348" s="30"/>
      <c r="F1348" s="30"/>
      <c r="G1348" s="30"/>
      <c r="H1348" s="30"/>
      <c r="I1348" s="30"/>
      <c r="J1348" s="30"/>
      <c r="K1348" s="30"/>
      <c r="L1348" s="30"/>
      <c r="M1348" s="30"/>
      <c r="N1348" s="30" t="str" cm="1">
        <f t="array" ref="N1348">Main_Log_Status(Main_Log[[#This Row],[Carrier]],Main_Log[[#This Row],[Net Weight]])</f>
        <v/>
      </c>
      <c r="O1348" s="30"/>
      <c r="P134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48" s="30"/>
      <c r="R1348" s="30" t="str" cm="1">
        <f t="array" ref="R1348">Main_Log_Ref(Main_Log[[#This Row],[Carrier]])</f>
        <v/>
      </c>
    </row>
    <row r="1349" spans="1:18" ht="29.85" customHeight="1" x14ac:dyDescent="0.45">
      <c r="A1349" s="30">
        <v>60</v>
      </c>
      <c r="B1349" s="30"/>
      <c r="C1349" s="30"/>
      <c r="D1349" s="30"/>
      <c r="E1349" s="30"/>
      <c r="F1349" s="30"/>
      <c r="G1349" s="30"/>
      <c r="H1349" s="30"/>
      <c r="I1349" s="30"/>
      <c r="J1349" s="30"/>
      <c r="K1349" s="30"/>
      <c r="L1349" s="30"/>
      <c r="M1349" s="30"/>
      <c r="N1349" s="30" t="str" cm="1">
        <f t="array" ref="N1349">Main_Log_Status(Main_Log[[#This Row],[Carrier]],Main_Log[[#This Row],[Net Weight]])</f>
        <v/>
      </c>
      <c r="O1349" s="30"/>
      <c r="P134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49" s="30"/>
      <c r="R1349" s="30" t="str" cm="1">
        <f t="array" ref="R1349">Main_Log_Ref(Main_Log[[#This Row],[Carrier]])</f>
        <v/>
      </c>
    </row>
    <row r="1350" spans="1:18" ht="29.85" customHeight="1" x14ac:dyDescent="0.45">
      <c r="A1350" s="30">
        <v>61</v>
      </c>
      <c r="B1350" s="30"/>
      <c r="C1350" s="30"/>
      <c r="D1350" s="30"/>
      <c r="E1350" s="30"/>
      <c r="F1350" s="30"/>
      <c r="G1350" s="30"/>
      <c r="H1350" s="30"/>
      <c r="I1350" s="30"/>
      <c r="J1350" s="30"/>
      <c r="K1350" s="30"/>
      <c r="L1350" s="30"/>
      <c r="M1350" s="30"/>
      <c r="N1350" s="30" t="str" cm="1">
        <f t="array" ref="N1350">Main_Log_Status(Main_Log[[#This Row],[Carrier]],Main_Log[[#This Row],[Net Weight]])</f>
        <v/>
      </c>
      <c r="O1350" s="30"/>
      <c r="P135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50" s="30"/>
      <c r="R1350" s="30" t="str" cm="1">
        <f t="array" ref="R1350">Main_Log_Ref(Main_Log[[#This Row],[Carrier]])</f>
        <v/>
      </c>
    </row>
    <row r="1351" spans="1:18" ht="29.85" customHeight="1" x14ac:dyDescent="0.45">
      <c r="A1351" s="30">
        <v>62</v>
      </c>
      <c r="B1351" s="30"/>
      <c r="C1351" s="30"/>
      <c r="D1351" s="30"/>
      <c r="E1351" s="30"/>
      <c r="F1351" s="30"/>
      <c r="G1351" s="30"/>
      <c r="H1351" s="30"/>
      <c r="I1351" s="30"/>
      <c r="J1351" s="30"/>
      <c r="K1351" s="30"/>
      <c r="L1351" s="30"/>
      <c r="M1351" s="30"/>
      <c r="N1351" s="30" t="str" cm="1">
        <f t="array" ref="N1351">Main_Log_Status(Main_Log[[#This Row],[Carrier]],Main_Log[[#This Row],[Net Weight]])</f>
        <v/>
      </c>
      <c r="O1351" s="30"/>
      <c r="P135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51" s="30"/>
      <c r="R1351" s="30" t="str" cm="1">
        <f t="array" ref="R1351">Main_Log_Ref(Main_Log[[#This Row],[Carrier]])</f>
        <v/>
      </c>
    </row>
    <row r="1352" spans="1:18" ht="29.85" customHeight="1" x14ac:dyDescent="0.45">
      <c r="A1352" s="30">
        <v>63</v>
      </c>
      <c r="B1352" s="30"/>
      <c r="C1352" s="30"/>
      <c r="D1352" s="30"/>
      <c r="E1352" s="30"/>
      <c r="F1352" s="30"/>
      <c r="G1352" s="30"/>
      <c r="H1352" s="30"/>
      <c r="I1352" s="30"/>
      <c r="J1352" s="30"/>
      <c r="K1352" s="30"/>
      <c r="L1352" s="30"/>
      <c r="M1352" s="30"/>
      <c r="N1352" s="30" t="str" cm="1">
        <f t="array" ref="N1352">Main_Log_Status(Main_Log[[#This Row],[Carrier]],Main_Log[[#This Row],[Net Weight]])</f>
        <v/>
      </c>
      <c r="O1352" s="30"/>
      <c r="P135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52" s="30"/>
      <c r="R1352" s="30" t="str" cm="1">
        <f t="array" ref="R1352">Main_Log_Ref(Main_Log[[#This Row],[Carrier]])</f>
        <v/>
      </c>
    </row>
    <row r="1353" spans="1:18" ht="29.85" customHeight="1" x14ac:dyDescent="0.45">
      <c r="A1353" s="30">
        <v>64</v>
      </c>
      <c r="B1353" s="30"/>
      <c r="C1353" s="30"/>
      <c r="D1353" s="30"/>
      <c r="E1353" s="30"/>
      <c r="F1353" s="30"/>
      <c r="G1353" s="30"/>
      <c r="H1353" s="30"/>
      <c r="I1353" s="30"/>
      <c r="J1353" s="30"/>
      <c r="K1353" s="30"/>
      <c r="L1353" s="30"/>
      <c r="M1353" s="30"/>
      <c r="N1353" s="30" t="str" cm="1">
        <f t="array" ref="N1353">Main_Log_Status(Main_Log[[#This Row],[Carrier]],Main_Log[[#This Row],[Net Weight]])</f>
        <v/>
      </c>
      <c r="O1353" s="30"/>
      <c r="P135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53" s="30"/>
      <c r="R1353" s="30" t="str" cm="1">
        <f t="array" ref="R1353">Main_Log_Ref(Main_Log[[#This Row],[Carrier]])</f>
        <v/>
      </c>
    </row>
    <row r="1354" spans="1:18" ht="29.85" customHeight="1" x14ac:dyDescent="0.45">
      <c r="A1354" s="30">
        <v>65</v>
      </c>
      <c r="B1354" s="30"/>
      <c r="C1354" s="30"/>
      <c r="D1354" s="30"/>
      <c r="E1354" s="30"/>
      <c r="F1354" s="30"/>
      <c r="G1354" s="30"/>
      <c r="H1354" s="30"/>
      <c r="I1354" s="30"/>
      <c r="J1354" s="30"/>
      <c r="K1354" s="30"/>
      <c r="L1354" s="30"/>
      <c r="M1354" s="30"/>
      <c r="N1354" s="30" t="str" cm="1">
        <f t="array" ref="N1354">Main_Log_Status(Main_Log[[#This Row],[Carrier]],Main_Log[[#This Row],[Net Weight]])</f>
        <v/>
      </c>
      <c r="O1354" s="30"/>
      <c r="P135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54" s="30"/>
      <c r="R1354" s="30" t="str" cm="1">
        <f t="array" ref="R1354">Main_Log_Ref(Main_Log[[#This Row],[Carrier]])</f>
        <v/>
      </c>
    </row>
    <row r="1355" spans="1:18" ht="29.85" customHeight="1" x14ac:dyDescent="0.45">
      <c r="A1355" s="30">
        <v>66</v>
      </c>
      <c r="B1355" s="30"/>
      <c r="C1355" s="30"/>
      <c r="D1355" s="30"/>
      <c r="E1355" s="30"/>
      <c r="F1355" s="30"/>
      <c r="G1355" s="30"/>
      <c r="H1355" s="30"/>
      <c r="I1355" s="30"/>
      <c r="J1355" s="30"/>
      <c r="K1355" s="30"/>
      <c r="L1355" s="30"/>
      <c r="M1355" s="30"/>
      <c r="N1355" s="30" t="str" cm="1">
        <f t="array" ref="N1355">Main_Log_Status(Main_Log[[#This Row],[Carrier]],Main_Log[[#This Row],[Net Weight]])</f>
        <v/>
      </c>
      <c r="O1355" s="30"/>
      <c r="P135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55" s="30"/>
      <c r="R1355" s="30" t="str" cm="1">
        <f t="array" ref="R1355">Main_Log_Ref(Main_Log[[#This Row],[Carrier]])</f>
        <v/>
      </c>
    </row>
    <row r="1356" spans="1:18" ht="29.85" customHeight="1" x14ac:dyDescent="0.45">
      <c r="A1356" s="30">
        <v>67</v>
      </c>
      <c r="B1356" s="30"/>
      <c r="C1356" s="30"/>
      <c r="D1356" s="30"/>
      <c r="E1356" s="30"/>
      <c r="F1356" s="30"/>
      <c r="G1356" s="30"/>
      <c r="H1356" s="30"/>
      <c r="I1356" s="30"/>
      <c r="J1356" s="30"/>
      <c r="K1356" s="30"/>
      <c r="L1356" s="30"/>
      <c r="M1356" s="30"/>
      <c r="N1356" s="30" t="str" cm="1">
        <f t="array" ref="N1356">Main_Log_Status(Main_Log[[#This Row],[Carrier]],Main_Log[[#This Row],[Net Weight]])</f>
        <v/>
      </c>
      <c r="O1356" s="30"/>
      <c r="P135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56" s="30"/>
      <c r="R1356" s="30" t="str" cm="1">
        <f t="array" ref="R1356">Main_Log_Ref(Main_Log[[#This Row],[Carrier]])</f>
        <v/>
      </c>
    </row>
    <row r="1357" spans="1:18" ht="29.85" customHeight="1" x14ac:dyDescent="0.45">
      <c r="A1357" s="30">
        <v>68</v>
      </c>
      <c r="B1357" s="30"/>
      <c r="C1357" s="30"/>
      <c r="D1357" s="30"/>
      <c r="E1357" s="30"/>
      <c r="F1357" s="30"/>
      <c r="G1357" s="30"/>
      <c r="H1357" s="30"/>
      <c r="I1357" s="30"/>
      <c r="J1357" s="30"/>
      <c r="K1357" s="30"/>
      <c r="L1357" s="30"/>
      <c r="M1357" s="30"/>
      <c r="N1357" s="30" t="str" cm="1">
        <f t="array" ref="N1357">Main_Log_Status(Main_Log[[#This Row],[Carrier]],Main_Log[[#This Row],[Net Weight]])</f>
        <v/>
      </c>
      <c r="O1357" s="30"/>
      <c r="P135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57" s="30"/>
      <c r="R1357" s="30" t="str" cm="1">
        <f t="array" ref="R1357">Main_Log_Ref(Main_Log[[#This Row],[Carrier]])</f>
        <v/>
      </c>
    </row>
    <row r="1358" spans="1:18" ht="29.85" customHeight="1" x14ac:dyDescent="0.45">
      <c r="A1358" s="30">
        <v>69</v>
      </c>
      <c r="B1358" s="30"/>
      <c r="C1358" s="30"/>
      <c r="D1358" s="30"/>
      <c r="E1358" s="30"/>
      <c r="F1358" s="30"/>
      <c r="G1358" s="30"/>
      <c r="H1358" s="30"/>
      <c r="I1358" s="30"/>
      <c r="J1358" s="30"/>
      <c r="K1358" s="30"/>
      <c r="L1358" s="30"/>
      <c r="M1358" s="30"/>
      <c r="N1358" s="30" t="str" cm="1">
        <f t="array" ref="N1358">Main_Log_Status(Main_Log[[#This Row],[Carrier]],Main_Log[[#This Row],[Net Weight]])</f>
        <v/>
      </c>
      <c r="O1358" s="30"/>
      <c r="P135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58" s="30"/>
      <c r="R1358" s="30" t="str" cm="1">
        <f t="array" ref="R1358">Main_Log_Ref(Main_Log[[#This Row],[Carrier]])</f>
        <v/>
      </c>
    </row>
    <row r="1359" spans="1:18" ht="29.85" customHeight="1" x14ac:dyDescent="0.45">
      <c r="A1359" s="30">
        <v>70</v>
      </c>
      <c r="B1359" s="30"/>
      <c r="C1359" s="30"/>
      <c r="D1359" s="30"/>
      <c r="E1359" s="30"/>
      <c r="F1359" s="30"/>
      <c r="G1359" s="30"/>
      <c r="H1359" s="30"/>
      <c r="I1359" s="30"/>
      <c r="J1359" s="30"/>
      <c r="K1359" s="30"/>
      <c r="L1359" s="30"/>
      <c r="M1359" s="30"/>
      <c r="N1359" s="30" t="str" cm="1">
        <f t="array" ref="N1359">Main_Log_Status(Main_Log[[#This Row],[Carrier]],Main_Log[[#This Row],[Net Weight]])</f>
        <v/>
      </c>
      <c r="O1359" s="30"/>
      <c r="P135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59" s="30"/>
      <c r="R1359" s="30" t="str" cm="1">
        <f t="array" ref="R1359">Main_Log_Ref(Main_Log[[#This Row],[Carrier]])</f>
        <v/>
      </c>
    </row>
    <row r="1360" spans="1:18" ht="29.85" customHeight="1" x14ac:dyDescent="0.45">
      <c r="A1360" s="30">
        <v>71</v>
      </c>
      <c r="B1360" s="30"/>
      <c r="C1360" s="30"/>
      <c r="D1360" s="30"/>
      <c r="E1360" s="30"/>
      <c r="F1360" s="30"/>
      <c r="G1360" s="30"/>
      <c r="H1360" s="30"/>
      <c r="I1360" s="30"/>
      <c r="J1360" s="30"/>
      <c r="K1360" s="30"/>
      <c r="L1360" s="30"/>
      <c r="M1360" s="30"/>
      <c r="N1360" s="30" t="str" cm="1">
        <f t="array" ref="N1360">Main_Log_Status(Main_Log[[#This Row],[Carrier]],Main_Log[[#This Row],[Net Weight]])</f>
        <v/>
      </c>
      <c r="O1360" s="30"/>
      <c r="P136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60" s="30"/>
      <c r="R1360" s="30" t="str" cm="1">
        <f t="array" ref="R1360">Main_Log_Ref(Main_Log[[#This Row],[Carrier]])</f>
        <v/>
      </c>
    </row>
    <row r="1361" spans="1:18" ht="29.85" customHeight="1" x14ac:dyDescent="0.45">
      <c r="A1361" s="30">
        <v>72</v>
      </c>
      <c r="B1361" s="30"/>
      <c r="C1361" s="30"/>
      <c r="D1361" s="30"/>
      <c r="E1361" s="30"/>
      <c r="F1361" s="30"/>
      <c r="G1361" s="30"/>
      <c r="H1361" s="30"/>
      <c r="I1361" s="30"/>
      <c r="J1361" s="30"/>
      <c r="K1361" s="30"/>
      <c r="L1361" s="30"/>
      <c r="M1361" s="30"/>
      <c r="N1361" s="30" t="str" cm="1">
        <f t="array" ref="N1361">Main_Log_Status(Main_Log[[#This Row],[Carrier]],Main_Log[[#This Row],[Net Weight]])</f>
        <v/>
      </c>
      <c r="O1361" s="30"/>
      <c r="P136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61" s="30"/>
      <c r="R1361" s="30" t="str" cm="1">
        <f t="array" ref="R1361">Main_Log_Ref(Main_Log[[#This Row],[Carrier]])</f>
        <v/>
      </c>
    </row>
    <row r="1362" spans="1:18" ht="29.85" customHeight="1" x14ac:dyDescent="0.45">
      <c r="A1362" s="30">
        <v>73</v>
      </c>
      <c r="B1362" s="30"/>
      <c r="C1362" s="30"/>
      <c r="D1362" s="30"/>
      <c r="E1362" s="30"/>
      <c r="F1362" s="30"/>
      <c r="G1362" s="30"/>
      <c r="H1362" s="30"/>
      <c r="I1362" s="30"/>
      <c r="J1362" s="30"/>
      <c r="K1362" s="30"/>
      <c r="L1362" s="30"/>
      <c r="M1362" s="30"/>
      <c r="N1362" s="30" t="str" cm="1">
        <f t="array" ref="N1362">Main_Log_Status(Main_Log[[#This Row],[Carrier]],Main_Log[[#This Row],[Net Weight]])</f>
        <v/>
      </c>
      <c r="O1362" s="30"/>
      <c r="P136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62" s="30"/>
      <c r="R1362" s="30" t="str" cm="1">
        <f t="array" ref="R1362">Main_Log_Ref(Main_Log[[#This Row],[Carrier]])</f>
        <v/>
      </c>
    </row>
    <row r="1363" spans="1:18" ht="29.85" customHeight="1" x14ac:dyDescent="0.45">
      <c r="A1363" s="30">
        <v>74</v>
      </c>
      <c r="B1363" s="30"/>
      <c r="C1363" s="30"/>
      <c r="D1363" s="30"/>
      <c r="E1363" s="30"/>
      <c r="F1363" s="30"/>
      <c r="G1363" s="30"/>
      <c r="H1363" s="30"/>
      <c r="I1363" s="30"/>
      <c r="J1363" s="30"/>
      <c r="K1363" s="30"/>
      <c r="L1363" s="30"/>
      <c r="M1363" s="30"/>
      <c r="N1363" s="30" t="str" cm="1">
        <f t="array" ref="N1363">Main_Log_Status(Main_Log[[#This Row],[Carrier]],Main_Log[[#This Row],[Net Weight]])</f>
        <v/>
      </c>
      <c r="O1363" s="30"/>
      <c r="P136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63" s="30"/>
      <c r="R1363" s="30" t="str" cm="1">
        <f t="array" ref="R1363">Main_Log_Ref(Main_Log[[#This Row],[Carrier]])</f>
        <v/>
      </c>
    </row>
    <row r="1364" spans="1:18" ht="29.85" customHeight="1" x14ac:dyDescent="0.45">
      <c r="A1364" s="30">
        <v>75</v>
      </c>
      <c r="B1364" s="30"/>
      <c r="C1364" s="30"/>
      <c r="D1364" s="30"/>
      <c r="E1364" s="30"/>
      <c r="F1364" s="30"/>
      <c r="G1364" s="30"/>
      <c r="H1364" s="30"/>
      <c r="I1364" s="30"/>
      <c r="J1364" s="30"/>
      <c r="K1364" s="30"/>
      <c r="L1364" s="30"/>
      <c r="M1364" s="30"/>
      <c r="N1364" s="30" t="str" cm="1">
        <f t="array" ref="N1364">Main_Log_Status(Main_Log[[#This Row],[Carrier]],Main_Log[[#This Row],[Net Weight]])</f>
        <v/>
      </c>
      <c r="O1364" s="30"/>
      <c r="P136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64" s="30"/>
      <c r="R1364" s="30" t="str" cm="1">
        <f t="array" ref="R1364">Main_Log_Ref(Main_Log[[#This Row],[Carrier]])</f>
        <v/>
      </c>
    </row>
    <row r="1365" spans="1:18" ht="29.85" customHeight="1" x14ac:dyDescent="0.45">
      <c r="A1365" s="30">
        <v>76</v>
      </c>
      <c r="B1365" s="30"/>
      <c r="C1365" s="30"/>
      <c r="D1365" s="30"/>
      <c r="E1365" s="30"/>
      <c r="F1365" s="30"/>
      <c r="G1365" s="30"/>
      <c r="H1365" s="30"/>
      <c r="I1365" s="30"/>
      <c r="J1365" s="30"/>
      <c r="K1365" s="30"/>
      <c r="L1365" s="30"/>
      <c r="M1365" s="30"/>
      <c r="N1365" s="30" t="str" cm="1">
        <f t="array" ref="N1365">Main_Log_Status(Main_Log[[#This Row],[Carrier]],Main_Log[[#This Row],[Net Weight]])</f>
        <v/>
      </c>
      <c r="O1365" s="30"/>
      <c r="P136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65" s="30"/>
      <c r="R1365" s="30" t="str" cm="1">
        <f t="array" ref="R1365">Main_Log_Ref(Main_Log[[#This Row],[Carrier]])</f>
        <v/>
      </c>
    </row>
    <row r="1366" spans="1:18" ht="29.85" customHeight="1" x14ac:dyDescent="0.45">
      <c r="A1366" s="30">
        <v>77</v>
      </c>
      <c r="B1366" s="30"/>
      <c r="C1366" s="30"/>
      <c r="D1366" s="30"/>
      <c r="E1366" s="30"/>
      <c r="F1366" s="30"/>
      <c r="G1366" s="30"/>
      <c r="H1366" s="30"/>
      <c r="I1366" s="30"/>
      <c r="J1366" s="30"/>
      <c r="K1366" s="30"/>
      <c r="L1366" s="30"/>
      <c r="M1366" s="30"/>
      <c r="N1366" s="30" t="str" cm="1">
        <f t="array" ref="N1366">Main_Log_Status(Main_Log[[#This Row],[Carrier]],Main_Log[[#This Row],[Net Weight]])</f>
        <v/>
      </c>
      <c r="O1366" s="30"/>
      <c r="P136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66" s="30"/>
      <c r="R1366" s="30" t="str" cm="1">
        <f t="array" ref="R1366">Main_Log_Ref(Main_Log[[#This Row],[Carrier]])</f>
        <v/>
      </c>
    </row>
    <row r="1367" spans="1:18" ht="29.85" customHeight="1" x14ac:dyDescent="0.45">
      <c r="A1367" s="30">
        <v>78</v>
      </c>
      <c r="B1367" s="30"/>
      <c r="C1367" s="30"/>
      <c r="D1367" s="30"/>
      <c r="E1367" s="30"/>
      <c r="F1367" s="30"/>
      <c r="G1367" s="30"/>
      <c r="H1367" s="30"/>
      <c r="I1367" s="30"/>
      <c r="J1367" s="30"/>
      <c r="K1367" s="30"/>
      <c r="L1367" s="30"/>
      <c r="M1367" s="30"/>
      <c r="N1367" s="30" t="str" cm="1">
        <f t="array" ref="N1367">Main_Log_Status(Main_Log[[#This Row],[Carrier]],Main_Log[[#This Row],[Net Weight]])</f>
        <v/>
      </c>
      <c r="O1367" s="30"/>
      <c r="P136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67" s="30"/>
      <c r="R1367" s="30" t="str" cm="1">
        <f t="array" ref="R1367">Main_Log_Ref(Main_Log[[#This Row],[Carrier]])</f>
        <v/>
      </c>
    </row>
    <row r="1368" spans="1:18" ht="29.85" customHeight="1" x14ac:dyDescent="0.45">
      <c r="A1368" s="30">
        <v>79</v>
      </c>
      <c r="B1368" s="30"/>
      <c r="C1368" s="30"/>
      <c r="D1368" s="30"/>
      <c r="E1368" s="30"/>
      <c r="F1368" s="30"/>
      <c r="G1368" s="30"/>
      <c r="H1368" s="30"/>
      <c r="I1368" s="30"/>
      <c r="J1368" s="30"/>
      <c r="K1368" s="30"/>
      <c r="L1368" s="30"/>
      <c r="M1368" s="30"/>
      <c r="N1368" s="30" t="str" cm="1">
        <f t="array" ref="N1368">Main_Log_Status(Main_Log[[#This Row],[Carrier]],Main_Log[[#This Row],[Net Weight]])</f>
        <v/>
      </c>
      <c r="O1368" s="30"/>
      <c r="P136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68" s="30"/>
      <c r="R1368" s="30" t="str" cm="1">
        <f t="array" ref="R1368">Main_Log_Ref(Main_Log[[#This Row],[Carrier]])</f>
        <v/>
      </c>
    </row>
    <row r="1369" spans="1:18" ht="29.85" customHeight="1" x14ac:dyDescent="0.45">
      <c r="A1369" s="30">
        <v>80</v>
      </c>
      <c r="B1369" s="30"/>
      <c r="C1369" s="30"/>
      <c r="D1369" s="30"/>
      <c r="E1369" s="30"/>
      <c r="F1369" s="30"/>
      <c r="G1369" s="30"/>
      <c r="H1369" s="30"/>
      <c r="I1369" s="30"/>
      <c r="J1369" s="30"/>
      <c r="K1369" s="30"/>
      <c r="L1369" s="30"/>
      <c r="M1369" s="30"/>
      <c r="N1369" s="30" t="str" cm="1">
        <f t="array" ref="N1369">Main_Log_Status(Main_Log[[#This Row],[Carrier]],Main_Log[[#This Row],[Net Weight]])</f>
        <v/>
      </c>
      <c r="O1369" s="30"/>
      <c r="P136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69" s="30"/>
      <c r="R1369" s="30" t="str" cm="1">
        <f t="array" ref="R1369">Main_Log_Ref(Main_Log[[#This Row],[Carrier]])</f>
        <v/>
      </c>
    </row>
    <row r="1370" spans="1:18" ht="29.85" customHeight="1" x14ac:dyDescent="0.45">
      <c r="A1370" s="30">
        <v>81</v>
      </c>
      <c r="B1370" s="30"/>
      <c r="C1370" s="30"/>
      <c r="D1370" s="30"/>
      <c r="E1370" s="30"/>
      <c r="F1370" s="30"/>
      <c r="G1370" s="30"/>
      <c r="H1370" s="30"/>
      <c r="I1370" s="30"/>
      <c r="J1370" s="30"/>
      <c r="K1370" s="30"/>
      <c r="L1370" s="30"/>
      <c r="M1370" s="30"/>
      <c r="N1370" s="30" t="str" cm="1">
        <f t="array" ref="N1370">Main_Log_Status(Main_Log[[#This Row],[Carrier]],Main_Log[[#This Row],[Net Weight]])</f>
        <v/>
      </c>
      <c r="O1370" s="30"/>
      <c r="P137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70" s="30"/>
      <c r="R1370" s="30" t="str" cm="1">
        <f t="array" ref="R1370">Main_Log_Ref(Main_Log[[#This Row],[Carrier]])</f>
        <v/>
      </c>
    </row>
    <row r="1371" spans="1:18" ht="29.85" customHeight="1" x14ac:dyDescent="0.45">
      <c r="A1371" s="30">
        <v>82</v>
      </c>
      <c r="B1371" s="30"/>
      <c r="C1371" s="30"/>
      <c r="D1371" s="30"/>
      <c r="E1371" s="30"/>
      <c r="F1371" s="30"/>
      <c r="G1371" s="30"/>
      <c r="H1371" s="30"/>
      <c r="I1371" s="30"/>
      <c r="J1371" s="30"/>
      <c r="K1371" s="30"/>
      <c r="L1371" s="30"/>
      <c r="M1371" s="30"/>
      <c r="N1371" s="30" t="str" cm="1">
        <f t="array" ref="N1371">Main_Log_Status(Main_Log[[#This Row],[Carrier]],Main_Log[[#This Row],[Net Weight]])</f>
        <v/>
      </c>
      <c r="O1371" s="30"/>
      <c r="P137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71" s="30"/>
      <c r="R1371" s="30" t="str" cm="1">
        <f t="array" ref="R1371">Main_Log_Ref(Main_Log[[#This Row],[Carrier]])</f>
        <v/>
      </c>
    </row>
    <row r="1372" spans="1:18" ht="29.85" customHeight="1" x14ac:dyDescent="0.45">
      <c r="A1372" s="30">
        <v>83</v>
      </c>
      <c r="B1372" s="30"/>
      <c r="C1372" s="30"/>
      <c r="D1372" s="30"/>
      <c r="E1372" s="30"/>
      <c r="F1372" s="30"/>
      <c r="G1372" s="30"/>
      <c r="H1372" s="30"/>
      <c r="I1372" s="30"/>
      <c r="J1372" s="30"/>
      <c r="K1372" s="30"/>
      <c r="L1372" s="30"/>
      <c r="M1372" s="30"/>
      <c r="N1372" s="30" t="str" cm="1">
        <f t="array" ref="N1372">Main_Log_Status(Main_Log[[#This Row],[Carrier]],Main_Log[[#This Row],[Net Weight]])</f>
        <v/>
      </c>
      <c r="O1372" s="30"/>
      <c r="P137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72" s="30"/>
      <c r="R1372" s="30" t="str" cm="1">
        <f t="array" ref="R1372">Main_Log_Ref(Main_Log[[#This Row],[Carrier]])</f>
        <v/>
      </c>
    </row>
    <row r="1373" spans="1:18" ht="29.85" customHeight="1" x14ac:dyDescent="0.45">
      <c r="A1373" s="30">
        <v>84</v>
      </c>
      <c r="B1373" s="30"/>
      <c r="C1373" s="30"/>
      <c r="D1373" s="30"/>
      <c r="E1373" s="30"/>
      <c r="F1373" s="30"/>
      <c r="G1373" s="30"/>
      <c r="H1373" s="30"/>
      <c r="I1373" s="30"/>
      <c r="J1373" s="30"/>
      <c r="K1373" s="30"/>
      <c r="L1373" s="30"/>
      <c r="M1373" s="30"/>
      <c r="N1373" s="30" t="str" cm="1">
        <f t="array" ref="N1373">Main_Log_Status(Main_Log[[#This Row],[Carrier]],Main_Log[[#This Row],[Net Weight]])</f>
        <v/>
      </c>
      <c r="O1373" s="30"/>
      <c r="P137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73" s="30"/>
      <c r="R1373" s="30" t="str" cm="1">
        <f t="array" ref="R1373">Main_Log_Ref(Main_Log[[#This Row],[Carrier]])</f>
        <v/>
      </c>
    </row>
    <row r="1374" spans="1:18" ht="29.85" customHeight="1" x14ac:dyDescent="0.45">
      <c r="A1374" s="30">
        <v>85</v>
      </c>
      <c r="B1374" s="30"/>
      <c r="C1374" s="30"/>
      <c r="D1374" s="30"/>
      <c r="E1374" s="30"/>
      <c r="F1374" s="30"/>
      <c r="G1374" s="30"/>
      <c r="H1374" s="30"/>
      <c r="I1374" s="30"/>
      <c r="J1374" s="30"/>
      <c r="K1374" s="30"/>
      <c r="L1374" s="30"/>
      <c r="M1374" s="30"/>
      <c r="N1374" s="30" t="str" cm="1">
        <f t="array" ref="N1374">Main_Log_Status(Main_Log[[#This Row],[Carrier]],Main_Log[[#This Row],[Net Weight]])</f>
        <v/>
      </c>
      <c r="O1374" s="30"/>
      <c r="P137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74" s="30"/>
      <c r="R1374" s="30" t="str" cm="1">
        <f t="array" ref="R1374">Main_Log_Ref(Main_Log[[#This Row],[Carrier]])</f>
        <v/>
      </c>
    </row>
    <row r="1375" spans="1:18" ht="29.85" customHeight="1" x14ac:dyDescent="0.45">
      <c r="A1375" s="30">
        <v>86</v>
      </c>
      <c r="B1375" s="30"/>
      <c r="C1375" s="30"/>
      <c r="D1375" s="30"/>
      <c r="E1375" s="30"/>
      <c r="F1375" s="30"/>
      <c r="G1375" s="30"/>
      <c r="H1375" s="30"/>
      <c r="I1375" s="30"/>
      <c r="J1375" s="30"/>
      <c r="K1375" s="30"/>
      <c r="L1375" s="30"/>
      <c r="M1375" s="30"/>
      <c r="N1375" s="30" t="str" cm="1">
        <f t="array" ref="N1375">Main_Log_Status(Main_Log[[#This Row],[Carrier]],Main_Log[[#This Row],[Net Weight]])</f>
        <v/>
      </c>
      <c r="O1375" s="30"/>
      <c r="P137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75" s="30"/>
      <c r="R1375" s="30" t="str" cm="1">
        <f t="array" ref="R1375">Main_Log_Ref(Main_Log[[#This Row],[Carrier]])</f>
        <v/>
      </c>
    </row>
    <row r="1376" spans="1:18" ht="29.85" customHeight="1" x14ac:dyDescent="0.45">
      <c r="A1376" s="30">
        <v>87</v>
      </c>
      <c r="B1376" s="30"/>
      <c r="C1376" s="30"/>
      <c r="D1376" s="30"/>
      <c r="E1376" s="30"/>
      <c r="F1376" s="30"/>
      <c r="G1376" s="30"/>
      <c r="H1376" s="30"/>
      <c r="I1376" s="30"/>
      <c r="J1376" s="30"/>
      <c r="K1376" s="30"/>
      <c r="L1376" s="30"/>
      <c r="M1376" s="30"/>
      <c r="N1376" s="30" t="str" cm="1">
        <f t="array" ref="N1376">Main_Log_Status(Main_Log[[#This Row],[Carrier]],Main_Log[[#This Row],[Net Weight]])</f>
        <v/>
      </c>
      <c r="O1376" s="30"/>
      <c r="P137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76" s="30"/>
      <c r="R1376" s="30" t="str" cm="1">
        <f t="array" ref="R1376">Main_Log_Ref(Main_Log[[#This Row],[Carrier]])</f>
        <v/>
      </c>
    </row>
    <row r="1377" spans="1:18" ht="29.85" customHeight="1" x14ac:dyDescent="0.45">
      <c r="A1377" s="30">
        <v>88</v>
      </c>
      <c r="B1377" s="30"/>
      <c r="C1377" s="30"/>
      <c r="D1377" s="30"/>
      <c r="E1377" s="30"/>
      <c r="F1377" s="30"/>
      <c r="G1377" s="30"/>
      <c r="H1377" s="30"/>
      <c r="I1377" s="30"/>
      <c r="J1377" s="30"/>
      <c r="K1377" s="30"/>
      <c r="L1377" s="30"/>
      <c r="M1377" s="30"/>
      <c r="N1377" s="30" t="str" cm="1">
        <f t="array" ref="N1377">Main_Log_Status(Main_Log[[#This Row],[Carrier]],Main_Log[[#This Row],[Net Weight]])</f>
        <v/>
      </c>
      <c r="O1377" s="30"/>
      <c r="P137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77" s="30"/>
      <c r="R1377" s="30" t="str" cm="1">
        <f t="array" ref="R1377">Main_Log_Ref(Main_Log[[#This Row],[Carrier]])</f>
        <v/>
      </c>
    </row>
    <row r="1378" spans="1:18" ht="29.85" customHeight="1" x14ac:dyDescent="0.45">
      <c r="A1378" s="30">
        <v>89</v>
      </c>
      <c r="B1378" s="30"/>
      <c r="C1378" s="30"/>
      <c r="D1378" s="30"/>
      <c r="E1378" s="30"/>
      <c r="F1378" s="30"/>
      <c r="G1378" s="30"/>
      <c r="H1378" s="30"/>
      <c r="I1378" s="30"/>
      <c r="J1378" s="30"/>
      <c r="K1378" s="30"/>
      <c r="L1378" s="30"/>
      <c r="M1378" s="30"/>
      <c r="N1378" s="30" t="str" cm="1">
        <f t="array" ref="N1378">Main_Log_Status(Main_Log[[#This Row],[Carrier]],Main_Log[[#This Row],[Net Weight]])</f>
        <v/>
      </c>
      <c r="O1378" s="30"/>
      <c r="P137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78" s="30"/>
      <c r="R1378" s="30" t="str" cm="1">
        <f t="array" ref="R1378">Main_Log_Ref(Main_Log[[#This Row],[Carrier]])</f>
        <v/>
      </c>
    </row>
    <row r="1379" spans="1:18" ht="29.85" customHeight="1" x14ac:dyDescent="0.45">
      <c r="A1379" s="30">
        <v>90</v>
      </c>
      <c r="B1379" s="30"/>
      <c r="C1379" s="30"/>
      <c r="D1379" s="30"/>
      <c r="E1379" s="30"/>
      <c r="F1379" s="30"/>
      <c r="G1379" s="30"/>
      <c r="H1379" s="30"/>
      <c r="I1379" s="30"/>
      <c r="J1379" s="30"/>
      <c r="K1379" s="30"/>
      <c r="L1379" s="30"/>
      <c r="M1379" s="30"/>
      <c r="N1379" s="30" t="str" cm="1">
        <f t="array" ref="N1379">Main_Log_Status(Main_Log[[#This Row],[Carrier]],Main_Log[[#This Row],[Net Weight]])</f>
        <v/>
      </c>
      <c r="O1379" s="30"/>
      <c r="P137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79" s="30"/>
      <c r="R1379" s="30" t="str" cm="1">
        <f t="array" ref="R1379">Main_Log_Ref(Main_Log[[#This Row],[Carrier]])</f>
        <v/>
      </c>
    </row>
    <row r="1380" spans="1:18" ht="29.85" customHeight="1" x14ac:dyDescent="0.45">
      <c r="A1380" s="30">
        <v>91</v>
      </c>
      <c r="B1380" s="30"/>
      <c r="C1380" s="30"/>
      <c r="D1380" s="30"/>
      <c r="E1380" s="30"/>
      <c r="F1380" s="30"/>
      <c r="G1380" s="30"/>
      <c r="H1380" s="30"/>
      <c r="I1380" s="30"/>
      <c r="J1380" s="30"/>
      <c r="K1380" s="30"/>
      <c r="L1380" s="30"/>
      <c r="M1380" s="30"/>
      <c r="N1380" s="30" t="str" cm="1">
        <f t="array" ref="N1380">Main_Log_Status(Main_Log[[#This Row],[Carrier]],Main_Log[[#This Row],[Net Weight]])</f>
        <v/>
      </c>
      <c r="O1380" s="30"/>
      <c r="P138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80" s="30"/>
      <c r="R1380" s="30" t="str" cm="1">
        <f t="array" ref="R1380">Main_Log_Ref(Main_Log[[#This Row],[Carrier]])</f>
        <v/>
      </c>
    </row>
    <row r="1381" spans="1:18" ht="29.85" customHeight="1" x14ac:dyDescent="0.45">
      <c r="A1381" s="30">
        <v>92</v>
      </c>
      <c r="B1381" s="30"/>
      <c r="C1381" s="30"/>
      <c r="D1381" s="30"/>
      <c r="E1381" s="30"/>
      <c r="F1381" s="30"/>
      <c r="G1381" s="30"/>
      <c r="H1381" s="30"/>
      <c r="I1381" s="30"/>
      <c r="J1381" s="30"/>
      <c r="K1381" s="30"/>
      <c r="L1381" s="30"/>
      <c r="M1381" s="30"/>
      <c r="N1381" s="30" t="str" cm="1">
        <f t="array" ref="N1381">Main_Log_Status(Main_Log[[#This Row],[Carrier]],Main_Log[[#This Row],[Net Weight]])</f>
        <v/>
      </c>
      <c r="O1381" s="30"/>
      <c r="P138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81" s="30"/>
      <c r="R1381" s="30" t="str" cm="1">
        <f t="array" ref="R1381">Main_Log_Ref(Main_Log[[#This Row],[Carrier]])</f>
        <v/>
      </c>
    </row>
    <row r="1382" spans="1:18" ht="29.85" customHeight="1" x14ac:dyDescent="0.45">
      <c r="A1382" s="30">
        <v>93</v>
      </c>
      <c r="B1382" s="30"/>
      <c r="C1382" s="30"/>
      <c r="D1382" s="30"/>
      <c r="E1382" s="30"/>
      <c r="F1382" s="30"/>
      <c r="G1382" s="30"/>
      <c r="H1382" s="30"/>
      <c r="I1382" s="30"/>
      <c r="J1382" s="30"/>
      <c r="K1382" s="30"/>
      <c r="L1382" s="30"/>
      <c r="M1382" s="30"/>
      <c r="N1382" s="30" t="str" cm="1">
        <f t="array" ref="N1382">Main_Log_Status(Main_Log[[#This Row],[Carrier]],Main_Log[[#This Row],[Net Weight]])</f>
        <v/>
      </c>
      <c r="O1382" s="30"/>
      <c r="P138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82" s="30"/>
      <c r="R1382" s="30" t="str" cm="1">
        <f t="array" ref="R1382">Main_Log_Ref(Main_Log[[#This Row],[Carrier]])</f>
        <v/>
      </c>
    </row>
    <row r="1383" spans="1:18" ht="29.85" customHeight="1" x14ac:dyDescent="0.45">
      <c r="A1383" s="30">
        <v>94</v>
      </c>
      <c r="B1383" s="30"/>
      <c r="C1383" s="30"/>
      <c r="D1383" s="30"/>
      <c r="E1383" s="30"/>
      <c r="F1383" s="30"/>
      <c r="G1383" s="30"/>
      <c r="H1383" s="30"/>
      <c r="I1383" s="30"/>
      <c r="J1383" s="30"/>
      <c r="K1383" s="30"/>
      <c r="L1383" s="30"/>
      <c r="M1383" s="30"/>
      <c r="N1383" s="30" t="str" cm="1">
        <f t="array" ref="N1383">Main_Log_Status(Main_Log[[#This Row],[Carrier]],Main_Log[[#This Row],[Net Weight]])</f>
        <v/>
      </c>
      <c r="O1383" s="30"/>
      <c r="P138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83" s="30"/>
      <c r="R1383" s="30" t="str" cm="1">
        <f t="array" ref="R1383">Main_Log_Ref(Main_Log[[#This Row],[Carrier]])</f>
        <v/>
      </c>
    </row>
    <row r="1384" spans="1:18" ht="29.85" customHeight="1" x14ac:dyDescent="0.45">
      <c r="A1384" s="30">
        <v>95</v>
      </c>
      <c r="B1384" s="30"/>
      <c r="C1384" s="30"/>
      <c r="D1384" s="30"/>
      <c r="E1384" s="30"/>
      <c r="F1384" s="30"/>
      <c r="G1384" s="30"/>
      <c r="H1384" s="30"/>
      <c r="I1384" s="30"/>
      <c r="J1384" s="30"/>
      <c r="K1384" s="30"/>
      <c r="L1384" s="30"/>
      <c r="M1384" s="30"/>
      <c r="N1384" s="30" t="str" cm="1">
        <f t="array" ref="N1384">Main_Log_Status(Main_Log[[#This Row],[Carrier]],Main_Log[[#This Row],[Net Weight]])</f>
        <v/>
      </c>
      <c r="O1384" s="30"/>
      <c r="P138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84" s="30"/>
      <c r="R1384" s="30" t="str" cm="1">
        <f t="array" ref="R1384">Main_Log_Ref(Main_Log[[#This Row],[Carrier]])</f>
        <v/>
      </c>
    </row>
    <row r="1385" spans="1:18" ht="29.85" customHeight="1" x14ac:dyDescent="0.45">
      <c r="A1385" s="30">
        <v>96</v>
      </c>
      <c r="B1385" s="30"/>
      <c r="C1385" s="30"/>
      <c r="D1385" s="30"/>
      <c r="E1385" s="30"/>
      <c r="F1385" s="30"/>
      <c r="G1385" s="30"/>
      <c r="H1385" s="30"/>
      <c r="I1385" s="30"/>
      <c r="J1385" s="30"/>
      <c r="K1385" s="30"/>
      <c r="L1385" s="30"/>
      <c r="M1385" s="30"/>
      <c r="N1385" s="30" t="str" cm="1">
        <f t="array" ref="N1385">Main_Log_Status(Main_Log[[#This Row],[Carrier]],Main_Log[[#This Row],[Net Weight]])</f>
        <v/>
      </c>
      <c r="O1385" s="30"/>
      <c r="P138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85" s="30"/>
      <c r="R1385" s="30" t="str" cm="1">
        <f t="array" ref="R1385">Main_Log_Ref(Main_Log[[#This Row],[Carrier]])</f>
        <v/>
      </c>
    </row>
    <row r="1386" spans="1:18" ht="29.85" customHeight="1" x14ac:dyDescent="0.45">
      <c r="A1386" s="30">
        <v>97</v>
      </c>
      <c r="B1386" s="30"/>
      <c r="C1386" s="30"/>
      <c r="D1386" s="30"/>
      <c r="E1386" s="30"/>
      <c r="F1386" s="30"/>
      <c r="G1386" s="30"/>
      <c r="H1386" s="30"/>
      <c r="I1386" s="30"/>
      <c r="J1386" s="30"/>
      <c r="K1386" s="30"/>
      <c r="L1386" s="30"/>
      <c r="M1386" s="30"/>
      <c r="N1386" s="30" t="str" cm="1">
        <f t="array" ref="N1386">Main_Log_Status(Main_Log[[#This Row],[Carrier]],Main_Log[[#This Row],[Net Weight]])</f>
        <v/>
      </c>
      <c r="O1386" s="30"/>
      <c r="P138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86" s="30"/>
      <c r="R1386" s="30" t="str" cm="1">
        <f t="array" ref="R1386">Main_Log_Ref(Main_Log[[#This Row],[Carrier]])</f>
        <v/>
      </c>
    </row>
    <row r="1387" spans="1:18" ht="29.85" customHeight="1" x14ac:dyDescent="0.45">
      <c r="A1387" s="30">
        <v>98</v>
      </c>
      <c r="B1387" s="30"/>
      <c r="C1387" s="30"/>
      <c r="D1387" s="30"/>
      <c r="E1387" s="30"/>
      <c r="F1387" s="30"/>
      <c r="G1387" s="30"/>
      <c r="H1387" s="30"/>
      <c r="I1387" s="30"/>
      <c r="J1387" s="30"/>
      <c r="K1387" s="30"/>
      <c r="L1387" s="30"/>
      <c r="M1387" s="30"/>
      <c r="N1387" s="30" t="str" cm="1">
        <f t="array" ref="N1387">Main_Log_Status(Main_Log[[#This Row],[Carrier]],Main_Log[[#This Row],[Net Weight]])</f>
        <v/>
      </c>
      <c r="O1387" s="30"/>
      <c r="P138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87" s="30"/>
      <c r="R1387" s="30" t="str" cm="1">
        <f t="array" ref="R1387">Main_Log_Ref(Main_Log[[#This Row],[Carrier]])</f>
        <v/>
      </c>
    </row>
    <row r="1388" spans="1:18" ht="29.85" customHeight="1" x14ac:dyDescent="0.45">
      <c r="A1388" s="30">
        <v>99</v>
      </c>
      <c r="B1388" s="30"/>
      <c r="C1388" s="30"/>
      <c r="D1388" s="30"/>
      <c r="E1388" s="30"/>
      <c r="F1388" s="30"/>
      <c r="G1388" s="30"/>
      <c r="H1388" s="30"/>
      <c r="I1388" s="30"/>
      <c r="J1388" s="30"/>
      <c r="K1388" s="30"/>
      <c r="L1388" s="30"/>
      <c r="M1388" s="30"/>
      <c r="N1388" s="30" t="str" cm="1">
        <f t="array" ref="N1388">Main_Log_Status(Main_Log[[#This Row],[Carrier]],Main_Log[[#This Row],[Net Weight]])</f>
        <v/>
      </c>
      <c r="O1388" s="30"/>
      <c r="P138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88" s="30"/>
      <c r="R1388" s="30" t="str" cm="1">
        <f t="array" ref="R1388">Main_Log_Ref(Main_Log[[#This Row],[Carrier]])</f>
        <v/>
      </c>
    </row>
    <row r="1389" spans="1:18" ht="29.85" customHeight="1" x14ac:dyDescent="0.45">
      <c r="A1389" s="30">
        <v>1</v>
      </c>
      <c r="B1389" s="30"/>
      <c r="C1389" s="30"/>
      <c r="D1389" s="30"/>
      <c r="E1389" s="30"/>
      <c r="F1389" s="30"/>
      <c r="G1389" s="30"/>
      <c r="H1389" s="30"/>
      <c r="I1389" s="30"/>
      <c r="J1389" s="30"/>
      <c r="K1389" s="30"/>
      <c r="L1389" s="30"/>
      <c r="M1389" s="30"/>
      <c r="N1389" s="30" t="str" cm="1">
        <f t="array" ref="N1389">Main_Log_Status(Main_Log[[#This Row],[Carrier]],Main_Log[[#This Row],[Net Weight]])</f>
        <v/>
      </c>
      <c r="O1389" s="30"/>
      <c r="P138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89" s="30"/>
      <c r="R1389" s="30" t="str" cm="1">
        <f t="array" ref="R1389">Main_Log_Ref(Main_Log[[#This Row],[Carrier]])</f>
        <v/>
      </c>
    </row>
    <row r="1390" spans="1:18" ht="29.85" customHeight="1" x14ac:dyDescent="0.45">
      <c r="A1390" s="30">
        <v>2</v>
      </c>
      <c r="B1390" s="30"/>
      <c r="C1390" s="30"/>
      <c r="D1390" s="30"/>
      <c r="E1390" s="30"/>
      <c r="F1390" s="30"/>
      <c r="G1390" s="30"/>
      <c r="H1390" s="30"/>
      <c r="I1390" s="30"/>
      <c r="J1390" s="30"/>
      <c r="K1390" s="30"/>
      <c r="L1390" s="30"/>
      <c r="M1390" s="30"/>
      <c r="N1390" s="30" t="str" cm="1">
        <f t="array" ref="N1390">Main_Log_Status(Main_Log[[#This Row],[Carrier]],Main_Log[[#This Row],[Net Weight]])</f>
        <v/>
      </c>
      <c r="O1390" s="30"/>
      <c r="P139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90" s="30"/>
      <c r="R1390" s="30" t="str" cm="1">
        <f t="array" ref="R1390">Main_Log_Ref(Main_Log[[#This Row],[Carrier]])</f>
        <v/>
      </c>
    </row>
    <row r="1391" spans="1:18" ht="29.85" customHeight="1" x14ac:dyDescent="0.45">
      <c r="A1391" s="30">
        <v>3</v>
      </c>
      <c r="B1391" s="30"/>
      <c r="C1391" s="30"/>
      <c r="D1391" s="30"/>
      <c r="E1391" s="30"/>
      <c r="F1391" s="30"/>
      <c r="G1391" s="30"/>
      <c r="H1391" s="30"/>
      <c r="I1391" s="30"/>
      <c r="J1391" s="30"/>
      <c r="K1391" s="30"/>
      <c r="L1391" s="30"/>
      <c r="M1391" s="30"/>
      <c r="N1391" s="30" t="str" cm="1">
        <f t="array" ref="N1391">Main_Log_Status(Main_Log[[#This Row],[Carrier]],Main_Log[[#This Row],[Net Weight]])</f>
        <v/>
      </c>
      <c r="O1391" s="30"/>
      <c r="P139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91" s="30"/>
      <c r="R1391" s="30" t="str" cm="1">
        <f t="array" ref="R1391">Main_Log_Ref(Main_Log[[#This Row],[Carrier]])</f>
        <v/>
      </c>
    </row>
    <row r="1392" spans="1:18" ht="29.85" customHeight="1" x14ac:dyDescent="0.45">
      <c r="A1392" s="30">
        <v>4</v>
      </c>
      <c r="B1392" s="30"/>
      <c r="C1392" s="30"/>
      <c r="D1392" s="30"/>
      <c r="E1392" s="30"/>
      <c r="F1392" s="30"/>
      <c r="G1392" s="30"/>
      <c r="H1392" s="30"/>
      <c r="I1392" s="30"/>
      <c r="J1392" s="30"/>
      <c r="K1392" s="30"/>
      <c r="L1392" s="30"/>
      <c r="M1392" s="30"/>
      <c r="N1392" s="30" t="str" cm="1">
        <f t="array" ref="N1392">Main_Log_Status(Main_Log[[#This Row],[Carrier]],Main_Log[[#This Row],[Net Weight]])</f>
        <v/>
      </c>
      <c r="O1392" s="30"/>
      <c r="P139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92" s="30"/>
      <c r="R1392" s="30" t="str" cm="1">
        <f t="array" ref="R1392">Main_Log_Ref(Main_Log[[#This Row],[Carrier]])</f>
        <v/>
      </c>
    </row>
    <row r="1393" spans="1:18" ht="29.85" customHeight="1" x14ac:dyDescent="0.45">
      <c r="A1393" s="30">
        <v>5</v>
      </c>
      <c r="B1393" s="30"/>
      <c r="C1393" s="30"/>
      <c r="D1393" s="30"/>
      <c r="E1393" s="30"/>
      <c r="F1393" s="30"/>
      <c r="G1393" s="30"/>
      <c r="H1393" s="30"/>
      <c r="I1393" s="30"/>
      <c r="J1393" s="30"/>
      <c r="K1393" s="30"/>
      <c r="L1393" s="30"/>
      <c r="M1393" s="30"/>
      <c r="N1393" s="30" t="str" cm="1">
        <f t="array" ref="N1393">Main_Log_Status(Main_Log[[#This Row],[Carrier]],Main_Log[[#This Row],[Net Weight]])</f>
        <v/>
      </c>
      <c r="O1393" s="30"/>
      <c r="P139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93" s="30"/>
      <c r="R1393" s="30" t="str" cm="1">
        <f t="array" ref="R1393">Main_Log_Ref(Main_Log[[#This Row],[Carrier]])</f>
        <v/>
      </c>
    </row>
    <row r="1394" spans="1:18" ht="29.85" customHeight="1" x14ac:dyDescent="0.45">
      <c r="A1394" s="30">
        <v>6</v>
      </c>
      <c r="B1394" s="30"/>
      <c r="C1394" s="30"/>
      <c r="D1394" s="30"/>
      <c r="E1394" s="30"/>
      <c r="F1394" s="30"/>
      <c r="G1394" s="30"/>
      <c r="H1394" s="30"/>
      <c r="I1394" s="30"/>
      <c r="J1394" s="30"/>
      <c r="K1394" s="30"/>
      <c r="L1394" s="30"/>
      <c r="M1394" s="30"/>
      <c r="N1394" s="30" t="str" cm="1">
        <f t="array" ref="N1394">Main_Log_Status(Main_Log[[#This Row],[Carrier]],Main_Log[[#This Row],[Net Weight]])</f>
        <v/>
      </c>
      <c r="O1394" s="30"/>
      <c r="P139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94" s="30"/>
      <c r="R1394" s="30" t="str" cm="1">
        <f t="array" ref="R1394">Main_Log_Ref(Main_Log[[#This Row],[Carrier]])</f>
        <v/>
      </c>
    </row>
    <row r="1395" spans="1:18" ht="29.85" customHeight="1" x14ac:dyDescent="0.45">
      <c r="A1395" s="30">
        <v>7</v>
      </c>
      <c r="B1395" s="30"/>
      <c r="C1395" s="30"/>
      <c r="D1395" s="30"/>
      <c r="E1395" s="30"/>
      <c r="F1395" s="30"/>
      <c r="G1395" s="30"/>
      <c r="H1395" s="30"/>
      <c r="I1395" s="30"/>
      <c r="J1395" s="30"/>
      <c r="K1395" s="30"/>
      <c r="L1395" s="30"/>
      <c r="M1395" s="30"/>
      <c r="N1395" s="30" t="str" cm="1">
        <f t="array" ref="N1395">Main_Log_Status(Main_Log[[#This Row],[Carrier]],Main_Log[[#This Row],[Net Weight]])</f>
        <v/>
      </c>
      <c r="O1395" s="30"/>
      <c r="P139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95" s="30"/>
      <c r="R1395" s="30" t="str" cm="1">
        <f t="array" ref="R1395">Main_Log_Ref(Main_Log[[#This Row],[Carrier]])</f>
        <v/>
      </c>
    </row>
    <row r="1396" spans="1:18" ht="29.85" customHeight="1" x14ac:dyDescent="0.45">
      <c r="A1396" s="30">
        <v>8</v>
      </c>
      <c r="B1396" s="30"/>
      <c r="C1396" s="30"/>
      <c r="D1396" s="30"/>
      <c r="E1396" s="30"/>
      <c r="F1396" s="30"/>
      <c r="G1396" s="30"/>
      <c r="H1396" s="30"/>
      <c r="I1396" s="30"/>
      <c r="J1396" s="30"/>
      <c r="K1396" s="30"/>
      <c r="L1396" s="30"/>
      <c r="M1396" s="30"/>
      <c r="N1396" s="30" t="str" cm="1">
        <f t="array" ref="N1396">Main_Log_Status(Main_Log[[#This Row],[Carrier]],Main_Log[[#This Row],[Net Weight]])</f>
        <v/>
      </c>
      <c r="O1396" s="30"/>
      <c r="P139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96" s="30"/>
      <c r="R1396" s="30" t="str" cm="1">
        <f t="array" ref="R1396">Main_Log_Ref(Main_Log[[#This Row],[Carrier]])</f>
        <v/>
      </c>
    </row>
    <row r="1397" spans="1:18" ht="29.85" customHeight="1" x14ac:dyDescent="0.45">
      <c r="A1397" s="30">
        <v>9</v>
      </c>
      <c r="B1397" s="30"/>
      <c r="C1397" s="30"/>
      <c r="D1397" s="30"/>
      <c r="E1397" s="30"/>
      <c r="F1397" s="30"/>
      <c r="G1397" s="30"/>
      <c r="H1397" s="30"/>
      <c r="I1397" s="30"/>
      <c r="J1397" s="30"/>
      <c r="K1397" s="30"/>
      <c r="L1397" s="30"/>
      <c r="M1397" s="30"/>
      <c r="N1397" s="30" t="str" cm="1">
        <f t="array" ref="N1397">Main_Log_Status(Main_Log[[#This Row],[Carrier]],Main_Log[[#This Row],[Net Weight]])</f>
        <v/>
      </c>
      <c r="O1397" s="30"/>
      <c r="P139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97" s="30"/>
      <c r="R1397" s="30" t="str" cm="1">
        <f t="array" ref="R1397">Main_Log_Ref(Main_Log[[#This Row],[Carrier]])</f>
        <v/>
      </c>
    </row>
    <row r="1398" spans="1:18" ht="29.85" customHeight="1" x14ac:dyDescent="0.45">
      <c r="A1398" s="30">
        <v>10</v>
      </c>
      <c r="B1398" s="30"/>
      <c r="C1398" s="30"/>
      <c r="D1398" s="30"/>
      <c r="E1398" s="30"/>
      <c r="F1398" s="30"/>
      <c r="G1398" s="30"/>
      <c r="H1398" s="30"/>
      <c r="I1398" s="30"/>
      <c r="J1398" s="30"/>
      <c r="K1398" s="30"/>
      <c r="L1398" s="30"/>
      <c r="M1398" s="30"/>
      <c r="N1398" s="30" t="str" cm="1">
        <f t="array" ref="N1398">Main_Log_Status(Main_Log[[#This Row],[Carrier]],Main_Log[[#This Row],[Net Weight]])</f>
        <v/>
      </c>
      <c r="O1398" s="30"/>
      <c r="P139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98" s="30"/>
      <c r="R1398" s="30" t="str" cm="1">
        <f t="array" ref="R1398">Main_Log_Ref(Main_Log[[#This Row],[Carrier]])</f>
        <v/>
      </c>
    </row>
    <row r="1399" spans="1:18" ht="29.85" customHeight="1" x14ac:dyDescent="0.45">
      <c r="A1399" s="30">
        <v>11</v>
      </c>
      <c r="B1399" s="30"/>
      <c r="C1399" s="30"/>
      <c r="D1399" s="30"/>
      <c r="E1399" s="30"/>
      <c r="F1399" s="30"/>
      <c r="G1399" s="30"/>
      <c r="H1399" s="30"/>
      <c r="I1399" s="30"/>
      <c r="J1399" s="30"/>
      <c r="K1399" s="30"/>
      <c r="L1399" s="30"/>
      <c r="M1399" s="30"/>
      <c r="N1399" s="30" t="str" cm="1">
        <f t="array" ref="N1399">Main_Log_Status(Main_Log[[#This Row],[Carrier]],Main_Log[[#This Row],[Net Weight]])</f>
        <v/>
      </c>
      <c r="O1399" s="30"/>
      <c r="P139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399" s="30"/>
      <c r="R1399" s="30" t="str" cm="1">
        <f t="array" ref="R1399">Main_Log_Ref(Main_Log[[#This Row],[Carrier]])</f>
        <v/>
      </c>
    </row>
    <row r="1400" spans="1:18" ht="29.85" customHeight="1" x14ac:dyDescent="0.45">
      <c r="A1400" s="30">
        <v>12</v>
      </c>
      <c r="B1400" s="30"/>
      <c r="C1400" s="30"/>
      <c r="D1400" s="30"/>
      <c r="E1400" s="30"/>
      <c r="F1400" s="30"/>
      <c r="G1400" s="30"/>
      <c r="H1400" s="30"/>
      <c r="I1400" s="30"/>
      <c r="J1400" s="30"/>
      <c r="K1400" s="30"/>
      <c r="L1400" s="30"/>
      <c r="M1400" s="30"/>
      <c r="N1400" s="30" t="str" cm="1">
        <f t="array" ref="N1400">Main_Log_Status(Main_Log[[#This Row],[Carrier]],Main_Log[[#This Row],[Net Weight]])</f>
        <v/>
      </c>
      <c r="O1400" s="30"/>
      <c r="P140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00" s="30"/>
      <c r="R1400" s="30" t="str" cm="1">
        <f t="array" ref="R1400">Main_Log_Ref(Main_Log[[#This Row],[Carrier]])</f>
        <v/>
      </c>
    </row>
    <row r="1401" spans="1:18" ht="29.85" customHeight="1" x14ac:dyDescent="0.45">
      <c r="A1401" s="30">
        <v>13</v>
      </c>
      <c r="B1401" s="30"/>
      <c r="C1401" s="30"/>
      <c r="D1401" s="30"/>
      <c r="E1401" s="30"/>
      <c r="F1401" s="30"/>
      <c r="G1401" s="30"/>
      <c r="H1401" s="30"/>
      <c r="I1401" s="30"/>
      <c r="J1401" s="30"/>
      <c r="K1401" s="30"/>
      <c r="L1401" s="30"/>
      <c r="M1401" s="30"/>
      <c r="N1401" s="30" t="str" cm="1">
        <f t="array" ref="N1401">Main_Log_Status(Main_Log[[#This Row],[Carrier]],Main_Log[[#This Row],[Net Weight]])</f>
        <v/>
      </c>
      <c r="O1401" s="30"/>
      <c r="P140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01" s="30"/>
      <c r="R1401" s="30" t="str" cm="1">
        <f t="array" ref="R1401">Main_Log_Ref(Main_Log[[#This Row],[Carrier]])</f>
        <v/>
      </c>
    </row>
    <row r="1402" spans="1:18" ht="29.85" customHeight="1" x14ac:dyDescent="0.45">
      <c r="A1402" s="30">
        <v>14</v>
      </c>
      <c r="B1402" s="30"/>
      <c r="C1402" s="30"/>
      <c r="D1402" s="30"/>
      <c r="E1402" s="30"/>
      <c r="F1402" s="30"/>
      <c r="G1402" s="30"/>
      <c r="H1402" s="30"/>
      <c r="I1402" s="30"/>
      <c r="J1402" s="30"/>
      <c r="K1402" s="30"/>
      <c r="L1402" s="30"/>
      <c r="M1402" s="30"/>
      <c r="N1402" s="30" t="str" cm="1">
        <f t="array" ref="N1402">Main_Log_Status(Main_Log[[#This Row],[Carrier]],Main_Log[[#This Row],[Net Weight]])</f>
        <v/>
      </c>
      <c r="O1402" s="30"/>
      <c r="P140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02" s="30"/>
      <c r="R1402" s="30" t="str" cm="1">
        <f t="array" ref="R1402">Main_Log_Ref(Main_Log[[#This Row],[Carrier]])</f>
        <v/>
      </c>
    </row>
    <row r="1403" spans="1:18" ht="29.85" customHeight="1" x14ac:dyDescent="0.45">
      <c r="A1403" s="30">
        <v>15</v>
      </c>
      <c r="B1403" s="30"/>
      <c r="C1403" s="30"/>
      <c r="D1403" s="30"/>
      <c r="E1403" s="30"/>
      <c r="F1403" s="30"/>
      <c r="G1403" s="30"/>
      <c r="H1403" s="30"/>
      <c r="I1403" s="30"/>
      <c r="J1403" s="30"/>
      <c r="K1403" s="30"/>
      <c r="L1403" s="30"/>
      <c r="M1403" s="30"/>
      <c r="N1403" s="30" t="str" cm="1">
        <f t="array" ref="N1403">Main_Log_Status(Main_Log[[#This Row],[Carrier]],Main_Log[[#This Row],[Net Weight]])</f>
        <v/>
      </c>
      <c r="O1403" s="30"/>
      <c r="P140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03" s="30"/>
      <c r="R1403" s="30" t="str" cm="1">
        <f t="array" ref="R1403">Main_Log_Ref(Main_Log[[#This Row],[Carrier]])</f>
        <v/>
      </c>
    </row>
    <row r="1404" spans="1:18" ht="29.85" customHeight="1" x14ac:dyDescent="0.45">
      <c r="A1404" s="30">
        <v>16</v>
      </c>
      <c r="B1404" s="30"/>
      <c r="C1404" s="30"/>
      <c r="D1404" s="30"/>
      <c r="E1404" s="30"/>
      <c r="F1404" s="30"/>
      <c r="G1404" s="30"/>
      <c r="H1404" s="30"/>
      <c r="I1404" s="30"/>
      <c r="J1404" s="30"/>
      <c r="K1404" s="30"/>
      <c r="L1404" s="30"/>
      <c r="M1404" s="30"/>
      <c r="N1404" s="30" t="str" cm="1">
        <f t="array" ref="N1404">Main_Log_Status(Main_Log[[#This Row],[Carrier]],Main_Log[[#This Row],[Net Weight]])</f>
        <v/>
      </c>
      <c r="O1404" s="30"/>
      <c r="P140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04" s="30"/>
      <c r="R1404" s="30" t="str" cm="1">
        <f t="array" ref="R1404">Main_Log_Ref(Main_Log[[#This Row],[Carrier]])</f>
        <v/>
      </c>
    </row>
    <row r="1405" spans="1:18" ht="29.85" customHeight="1" x14ac:dyDescent="0.45">
      <c r="A1405" s="30">
        <v>17</v>
      </c>
      <c r="B1405" s="30"/>
      <c r="C1405" s="30"/>
      <c r="D1405" s="30"/>
      <c r="E1405" s="30"/>
      <c r="F1405" s="30"/>
      <c r="G1405" s="30"/>
      <c r="H1405" s="30"/>
      <c r="I1405" s="30"/>
      <c r="J1405" s="30"/>
      <c r="K1405" s="30"/>
      <c r="L1405" s="30"/>
      <c r="M1405" s="30"/>
      <c r="N1405" s="30" t="str" cm="1">
        <f t="array" ref="N1405">Main_Log_Status(Main_Log[[#This Row],[Carrier]],Main_Log[[#This Row],[Net Weight]])</f>
        <v/>
      </c>
      <c r="O1405" s="30"/>
      <c r="P140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05" s="30"/>
      <c r="R1405" s="30" t="str" cm="1">
        <f t="array" ref="R1405">Main_Log_Ref(Main_Log[[#This Row],[Carrier]])</f>
        <v/>
      </c>
    </row>
    <row r="1406" spans="1:18" ht="29.85" customHeight="1" x14ac:dyDescent="0.45">
      <c r="A1406" s="30">
        <v>18</v>
      </c>
      <c r="B1406" s="30"/>
      <c r="C1406" s="30"/>
      <c r="D1406" s="30"/>
      <c r="E1406" s="30"/>
      <c r="F1406" s="30"/>
      <c r="G1406" s="30"/>
      <c r="H1406" s="30"/>
      <c r="I1406" s="30"/>
      <c r="J1406" s="30"/>
      <c r="K1406" s="30"/>
      <c r="L1406" s="30"/>
      <c r="M1406" s="30"/>
      <c r="N1406" s="30" t="str" cm="1">
        <f t="array" ref="N1406">Main_Log_Status(Main_Log[[#This Row],[Carrier]],Main_Log[[#This Row],[Net Weight]])</f>
        <v/>
      </c>
      <c r="O1406" s="30"/>
      <c r="P140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06" s="30"/>
      <c r="R1406" s="30" t="str" cm="1">
        <f t="array" ref="R1406">Main_Log_Ref(Main_Log[[#This Row],[Carrier]])</f>
        <v/>
      </c>
    </row>
    <row r="1407" spans="1:18" ht="29.85" customHeight="1" x14ac:dyDescent="0.45">
      <c r="A1407" s="30">
        <v>19</v>
      </c>
      <c r="B1407" s="30"/>
      <c r="C1407" s="30"/>
      <c r="D1407" s="30"/>
      <c r="E1407" s="30"/>
      <c r="F1407" s="30"/>
      <c r="G1407" s="30"/>
      <c r="H1407" s="30"/>
      <c r="I1407" s="30"/>
      <c r="J1407" s="30"/>
      <c r="K1407" s="30"/>
      <c r="L1407" s="30"/>
      <c r="M1407" s="30"/>
      <c r="N1407" s="30" t="str" cm="1">
        <f t="array" ref="N1407">Main_Log_Status(Main_Log[[#This Row],[Carrier]],Main_Log[[#This Row],[Net Weight]])</f>
        <v/>
      </c>
      <c r="O1407" s="30"/>
      <c r="P140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07" s="30"/>
      <c r="R1407" s="30" t="str" cm="1">
        <f t="array" ref="R1407">Main_Log_Ref(Main_Log[[#This Row],[Carrier]])</f>
        <v/>
      </c>
    </row>
    <row r="1408" spans="1:18" ht="29.85" customHeight="1" x14ac:dyDescent="0.45">
      <c r="A1408" s="30">
        <v>20</v>
      </c>
      <c r="B1408" s="30"/>
      <c r="C1408" s="30"/>
      <c r="D1408" s="30"/>
      <c r="E1408" s="30"/>
      <c r="F1408" s="30"/>
      <c r="G1408" s="30"/>
      <c r="H1408" s="30"/>
      <c r="I1408" s="30"/>
      <c r="J1408" s="30"/>
      <c r="K1408" s="30"/>
      <c r="L1408" s="30"/>
      <c r="M1408" s="30"/>
      <c r="N1408" s="30" t="str" cm="1">
        <f t="array" ref="N1408">Main_Log_Status(Main_Log[[#This Row],[Carrier]],Main_Log[[#This Row],[Net Weight]])</f>
        <v/>
      </c>
      <c r="O1408" s="30"/>
      <c r="P140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08" s="30"/>
      <c r="R1408" s="30" t="str" cm="1">
        <f t="array" ref="R1408">Main_Log_Ref(Main_Log[[#This Row],[Carrier]])</f>
        <v/>
      </c>
    </row>
    <row r="1409" spans="1:18" ht="29.85" customHeight="1" x14ac:dyDescent="0.45">
      <c r="A1409" s="30">
        <v>21</v>
      </c>
      <c r="B1409" s="30"/>
      <c r="C1409" s="30"/>
      <c r="D1409" s="30"/>
      <c r="E1409" s="30"/>
      <c r="F1409" s="30"/>
      <c r="G1409" s="30"/>
      <c r="H1409" s="30"/>
      <c r="I1409" s="30"/>
      <c r="J1409" s="30"/>
      <c r="K1409" s="30"/>
      <c r="L1409" s="30"/>
      <c r="M1409" s="30"/>
      <c r="N1409" s="30" t="str" cm="1">
        <f t="array" ref="N1409">Main_Log_Status(Main_Log[[#This Row],[Carrier]],Main_Log[[#This Row],[Net Weight]])</f>
        <v/>
      </c>
      <c r="O1409" s="30"/>
      <c r="P140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09" s="30"/>
      <c r="R1409" s="30" t="str" cm="1">
        <f t="array" ref="R1409">Main_Log_Ref(Main_Log[[#This Row],[Carrier]])</f>
        <v/>
      </c>
    </row>
    <row r="1410" spans="1:18" ht="29.85" customHeight="1" x14ac:dyDescent="0.45">
      <c r="A1410" s="30">
        <v>22</v>
      </c>
      <c r="B1410" s="30"/>
      <c r="C1410" s="30"/>
      <c r="D1410" s="30"/>
      <c r="E1410" s="30"/>
      <c r="F1410" s="30"/>
      <c r="G1410" s="30"/>
      <c r="H1410" s="30"/>
      <c r="I1410" s="30"/>
      <c r="J1410" s="30"/>
      <c r="K1410" s="30"/>
      <c r="L1410" s="30"/>
      <c r="M1410" s="30"/>
      <c r="N1410" s="30" t="str" cm="1">
        <f t="array" ref="N1410">Main_Log_Status(Main_Log[[#This Row],[Carrier]],Main_Log[[#This Row],[Net Weight]])</f>
        <v/>
      </c>
      <c r="O1410" s="30"/>
      <c r="P141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10" s="30"/>
      <c r="R1410" s="30" t="str" cm="1">
        <f t="array" ref="R1410">Main_Log_Ref(Main_Log[[#This Row],[Carrier]])</f>
        <v/>
      </c>
    </row>
    <row r="1411" spans="1:18" ht="29.85" customHeight="1" x14ac:dyDescent="0.45">
      <c r="A1411" s="30">
        <v>23</v>
      </c>
      <c r="B1411" s="30"/>
      <c r="C1411" s="30"/>
      <c r="D1411" s="30"/>
      <c r="E1411" s="30"/>
      <c r="F1411" s="30"/>
      <c r="G1411" s="30"/>
      <c r="H1411" s="30"/>
      <c r="I1411" s="30"/>
      <c r="J1411" s="30"/>
      <c r="K1411" s="30"/>
      <c r="L1411" s="30"/>
      <c r="M1411" s="30"/>
      <c r="N1411" s="30" t="str" cm="1">
        <f t="array" ref="N1411">Main_Log_Status(Main_Log[[#This Row],[Carrier]],Main_Log[[#This Row],[Net Weight]])</f>
        <v/>
      </c>
      <c r="O1411" s="30"/>
      <c r="P141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11" s="30"/>
      <c r="R1411" s="30" t="str" cm="1">
        <f t="array" ref="R1411">Main_Log_Ref(Main_Log[[#This Row],[Carrier]])</f>
        <v/>
      </c>
    </row>
    <row r="1412" spans="1:18" ht="29.85" customHeight="1" x14ac:dyDescent="0.45">
      <c r="A1412" s="30">
        <v>24</v>
      </c>
      <c r="B1412" s="30"/>
      <c r="C1412" s="30"/>
      <c r="D1412" s="30"/>
      <c r="E1412" s="30"/>
      <c r="F1412" s="30"/>
      <c r="G1412" s="30"/>
      <c r="H1412" s="30"/>
      <c r="I1412" s="30"/>
      <c r="J1412" s="30"/>
      <c r="K1412" s="30"/>
      <c r="L1412" s="30"/>
      <c r="M1412" s="30"/>
      <c r="N1412" s="30" t="str" cm="1">
        <f t="array" ref="N1412">Main_Log_Status(Main_Log[[#This Row],[Carrier]],Main_Log[[#This Row],[Net Weight]])</f>
        <v/>
      </c>
      <c r="O1412" s="30"/>
      <c r="P141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12" s="30"/>
      <c r="R1412" s="30" t="str" cm="1">
        <f t="array" ref="R1412">Main_Log_Ref(Main_Log[[#This Row],[Carrier]])</f>
        <v/>
      </c>
    </row>
    <row r="1413" spans="1:18" ht="29.85" customHeight="1" x14ac:dyDescent="0.45">
      <c r="A1413" s="30">
        <v>25</v>
      </c>
      <c r="B1413" s="30"/>
      <c r="C1413" s="30"/>
      <c r="D1413" s="30"/>
      <c r="E1413" s="30"/>
      <c r="F1413" s="30"/>
      <c r="G1413" s="30"/>
      <c r="H1413" s="30"/>
      <c r="I1413" s="30"/>
      <c r="J1413" s="30"/>
      <c r="K1413" s="30"/>
      <c r="L1413" s="30"/>
      <c r="M1413" s="30"/>
      <c r="N1413" s="30" t="str" cm="1">
        <f t="array" ref="N1413">Main_Log_Status(Main_Log[[#This Row],[Carrier]],Main_Log[[#This Row],[Net Weight]])</f>
        <v/>
      </c>
      <c r="O1413" s="30"/>
      <c r="P141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13" s="30"/>
      <c r="R1413" s="30" t="str" cm="1">
        <f t="array" ref="R1413">Main_Log_Ref(Main_Log[[#This Row],[Carrier]])</f>
        <v/>
      </c>
    </row>
    <row r="1414" spans="1:18" ht="29.85" customHeight="1" x14ac:dyDescent="0.45">
      <c r="A1414" s="30">
        <v>26</v>
      </c>
      <c r="B1414" s="30"/>
      <c r="C1414" s="30"/>
      <c r="D1414" s="30"/>
      <c r="E1414" s="30"/>
      <c r="F1414" s="30"/>
      <c r="G1414" s="30"/>
      <c r="H1414" s="30"/>
      <c r="I1414" s="30"/>
      <c r="J1414" s="30"/>
      <c r="K1414" s="30"/>
      <c r="L1414" s="30"/>
      <c r="M1414" s="30"/>
      <c r="N1414" s="30" t="str" cm="1">
        <f t="array" ref="N1414">Main_Log_Status(Main_Log[[#This Row],[Carrier]],Main_Log[[#This Row],[Net Weight]])</f>
        <v/>
      </c>
      <c r="O1414" s="30"/>
      <c r="P141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14" s="30"/>
      <c r="R1414" s="30" t="str" cm="1">
        <f t="array" ref="R1414">Main_Log_Ref(Main_Log[[#This Row],[Carrier]])</f>
        <v/>
      </c>
    </row>
    <row r="1415" spans="1:18" ht="29.85" customHeight="1" x14ac:dyDescent="0.45">
      <c r="A1415" s="30">
        <v>27</v>
      </c>
      <c r="B1415" s="30"/>
      <c r="C1415" s="30"/>
      <c r="D1415" s="30"/>
      <c r="E1415" s="30"/>
      <c r="F1415" s="30"/>
      <c r="G1415" s="30"/>
      <c r="H1415" s="30"/>
      <c r="I1415" s="30"/>
      <c r="J1415" s="30"/>
      <c r="K1415" s="30"/>
      <c r="L1415" s="30"/>
      <c r="M1415" s="30"/>
      <c r="N1415" s="30" t="str" cm="1">
        <f t="array" ref="N1415">Main_Log_Status(Main_Log[[#This Row],[Carrier]],Main_Log[[#This Row],[Net Weight]])</f>
        <v/>
      </c>
      <c r="O1415" s="30"/>
      <c r="P141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15" s="30"/>
      <c r="R1415" s="30" t="str" cm="1">
        <f t="array" ref="R1415">Main_Log_Ref(Main_Log[[#This Row],[Carrier]])</f>
        <v/>
      </c>
    </row>
    <row r="1416" spans="1:18" ht="29.85" customHeight="1" x14ac:dyDescent="0.45">
      <c r="A1416" s="30">
        <v>28</v>
      </c>
      <c r="B1416" s="30"/>
      <c r="C1416" s="30"/>
      <c r="D1416" s="30"/>
      <c r="E1416" s="30"/>
      <c r="F1416" s="30"/>
      <c r="G1416" s="30"/>
      <c r="H1416" s="30"/>
      <c r="I1416" s="30"/>
      <c r="J1416" s="30"/>
      <c r="K1416" s="30"/>
      <c r="L1416" s="30"/>
      <c r="M1416" s="30"/>
      <c r="N1416" s="30" t="str" cm="1">
        <f t="array" ref="N1416">Main_Log_Status(Main_Log[[#This Row],[Carrier]],Main_Log[[#This Row],[Net Weight]])</f>
        <v/>
      </c>
      <c r="O1416" s="30"/>
      <c r="P141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16" s="30"/>
      <c r="R1416" s="30" t="str" cm="1">
        <f t="array" ref="R1416">Main_Log_Ref(Main_Log[[#This Row],[Carrier]])</f>
        <v/>
      </c>
    </row>
    <row r="1417" spans="1:18" ht="29.85" customHeight="1" x14ac:dyDescent="0.45">
      <c r="A1417" s="30">
        <v>29</v>
      </c>
      <c r="B1417" s="30"/>
      <c r="C1417" s="30"/>
      <c r="D1417" s="30"/>
      <c r="E1417" s="30"/>
      <c r="F1417" s="30"/>
      <c r="G1417" s="30"/>
      <c r="H1417" s="30"/>
      <c r="I1417" s="30"/>
      <c r="J1417" s="30"/>
      <c r="K1417" s="30"/>
      <c r="L1417" s="30"/>
      <c r="M1417" s="30"/>
      <c r="N1417" s="30" t="str" cm="1">
        <f t="array" ref="N1417">Main_Log_Status(Main_Log[[#This Row],[Carrier]],Main_Log[[#This Row],[Net Weight]])</f>
        <v/>
      </c>
      <c r="O1417" s="30"/>
      <c r="P141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17" s="30"/>
      <c r="R1417" s="30" t="str" cm="1">
        <f t="array" ref="R1417">Main_Log_Ref(Main_Log[[#This Row],[Carrier]])</f>
        <v/>
      </c>
    </row>
    <row r="1418" spans="1:18" ht="29.85" customHeight="1" x14ac:dyDescent="0.45">
      <c r="A1418" s="30">
        <v>30</v>
      </c>
      <c r="B1418" s="30"/>
      <c r="C1418" s="30"/>
      <c r="D1418" s="30"/>
      <c r="E1418" s="30"/>
      <c r="F1418" s="30"/>
      <c r="G1418" s="30"/>
      <c r="H1418" s="30"/>
      <c r="I1418" s="30"/>
      <c r="J1418" s="30"/>
      <c r="K1418" s="30"/>
      <c r="L1418" s="30"/>
      <c r="M1418" s="30"/>
      <c r="N1418" s="30" t="str" cm="1">
        <f t="array" ref="N1418">Main_Log_Status(Main_Log[[#This Row],[Carrier]],Main_Log[[#This Row],[Net Weight]])</f>
        <v/>
      </c>
      <c r="O1418" s="30"/>
      <c r="P141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18" s="30"/>
      <c r="R1418" s="30" t="str" cm="1">
        <f t="array" ref="R1418">Main_Log_Ref(Main_Log[[#This Row],[Carrier]])</f>
        <v/>
      </c>
    </row>
    <row r="1419" spans="1:18" ht="29.85" customHeight="1" x14ac:dyDescent="0.45">
      <c r="A1419" s="30">
        <v>31</v>
      </c>
      <c r="B1419" s="30"/>
      <c r="C1419" s="30"/>
      <c r="D1419" s="30"/>
      <c r="E1419" s="30"/>
      <c r="F1419" s="30"/>
      <c r="G1419" s="30"/>
      <c r="H1419" s="30"/>
      <c r="I1419" s="30"/>
      <c r="J1419" s="30"/>
      <c r="K1419" s="30"/>
      <c r="L1419" s="30"/>
      <c r="M1419" s="30"/>
      <c r="N1419" s="30" t="str" cm="1">
        <f t="array" ref="N1419">Main_Log_Status(Main_Log[[#This Row],[Carrier]],Main_Log[[#This Row],[Net Weight]])</f>
        <v/>
      </c>
      <c r="O1419" s="30"/>
      <c r="P141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19" s="30"/>
      <c r="R1419" s="30" t="str" cm="1">
        <f t="array" ref="R1419">Main_Log_Ref(Main_Log[[#This Row],[Carrier]])</f>
        <v/>
      </c>
    </row>
    <row r="1420" spans="1:18" ht="29.85" customHeight="1" x14ac:dyDescent="0.45">
      <c r="A1420" s="30">
        <v>32</v>
      </c>
      <c r="B1420" s="30"/>
      <c r="C1420" s="30"/>
      <c r="D1420" s="30"/>
      <c r="E1420" s="30"/>
      <c r="F1420" s="30"/>
      <c r="G1420" s="30"/>
      <c r="H1420" s="30"/>
      <c r="I1420" s="30"/>
      <c r="J1420" s="30"/>
      <c r="K1420" s="30"/>
      <c r="L1420" s="30"/>
      <c r="M1420" s="30"/>
      <c r="N1420" s="30" t="str" cm="1">
        <f t="array" ref="N1420">Main_Log_Status(Main_Log[[#This Row],[Carrier]],Main_Log[[#This Row],[Net Weight]])</f>
        <v/>
      </c>
      <c r="O1420" s="30"/>
      <c r="P142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20" s="30"/>
      <c r="R1420" s="30" t="str" cm="1">
        <f t="array" ref="R1420">Main_Log_Ref(Main_Log[[#This Row],[Carrier]])</f>
        <v/>
      </c>
    </row>
    <row r="1421" spans="1:18" ht="29.85" customHeight="1" x14ac:dyDescent="0.45">
      <c r="A1421" s="30">
        <v>33</v>
      </c>
      <c r="B1421" s="30"/>
      <c r="C1421" s="30"/>
      <c r="D1421" s="30"/>
      <c r="E1421" s="30"/>
      <c r="F1421" s="30"/>
      <c r="G1421" s="30"/>
      <c r="H1421" s="30"/>
      <c r="I1421" s="30"/>
      <c r="J1421" s="30"/>
      <c r="K1421" s="30"/>
      <c r="L1421" s="30"/>
      <c r="M1421" s="30"/>
      <c r="N1421" s="30" t="str" cm="1">
        <f t="array" ref="N1421">Main_Log_Status(Main_Log[[#This Row],[Carrier]],Main_Log[[#This Row],[Net Weight]])</f>
        <v/>
      </c>
      <c r="O1421" s="30"/>
      <c r="P142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21" s="30"/>
      <c r="R1421" s="30" t="str" cm="1">
        <f t="array" ref="R1421">Main_Log_Ref(Main_Log[[#This Row],[Carrier]])</f>
        <v/>
      </c>
    </row>
    <row r="1422" spans="1:18" ht="29.85" customHeight="1" x14ac:dyDescent="0.45">
      <c r="A1422" s="30">
        <v>34</v>
      </c>
      <c r="B1422" s="30"/>
      <c r="C1422" s="30"/>
      <c r="D1422" s="30"/>
      <c r="E1422" s="30"/>
      <c r="F1422" s="30"/>
      <c r="G1422" s="30"/>
      <c r="H1422" s="30"/>
      <c r="I1422" s="30"/>
      <c r="J1422" s="30"/>
      <c r="K1422" s="30"/>
      <c r="L1422" s="30"/>
      <c r="M1422" s="30"/>
      <c r="N1422" s="30" t="str" cm="1">
        <f t="array" ref="N1422">Main_Log_Status(Main_Log[[#This Row],[Carrier]],Main_Log[[#This Row],[Net Weight]])</f>
        <v/>
      </c>
      <c r="O1422" s="30"/>
      <c r="P142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22" s="30"/>
      <c r="R1422" s="30" t="str" cm="1">
        <f t="array" ref="R1422">Main_Log_Ref(Main_Log[[#This Row],[Carrier]])</f>
        <v/>
      </c>
    </row>
    <row r="1423" spans="1:18" ht="29.85" customHeight="1" x14ac:dyDescent="0.45">
      <c r="A1423" s="30">
        <v>35</v>
      </c>
      <c r="B1423" s="30"/>
      <c r="C1423" s="30"/>
      <c r="D1423" s="30"/>
      <c r="E1423" s="30"/>
      <c r="F1423" s="30"/>
      <c r="G1423" s="30"/>
      <c r="H1423" s="30"/>
      <c r="I1423" s="30"/>
      <c r="J1423" s="30"/>
      <c r="K1423" s="30"/>
      <c r="L1423" s="30"/>
      <c r="M1423" s="30"/>
      <c r="N1423" s="30" t="str" cm="1">
        <f t="array" ref="N1423">Main_Log_Status(Main_Log[[#This Row],[Carrier]],Main_Log[[#This Row],[Net Weight]])</f>
        <v/>
      </c>
      <c r="O1423" s="30"/>
      <c r="P142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23" s="30"/>
      <c r="R1423" s="30" t="str" cm="1">
        <f t="array" ref="R1423">Main_Log_Ref(Main_Log[[#This Row],[Carrier]])</f>
        <v/>
      </c>
    </row>
    <row r="1424" spans="1:18" ht="29.85" customHeight="1" x14ac:dyDescent="0.45">
      <c r="A1424" s="30">
        <v>36</v>
      </c>
      <c r="B1424" s="30"/>
      <c r="C1424" s="30"/>
      <c r="D1424" s="30"/>
      <c r="E1424" s="30"/>
      <c r="F1424" s="30"/>
      <c r="G1424" s="30"/>
      <c r="H1424" s="30"/>
      <c r="I1424" s="30"/>
      <c r="J1424" s="30"/>
      <c r="K1424" s="30"/>
      <c r="L1424" s="30"/>
      <c r="M1424" s="30"/>
      <c r="N1424" s="30" t="str" cm="1">
        <f t="array" ref="N1424">Main_Log_Status(Main_Log[[#This Row],[Carrier]],Main_Log[[#This Row],[Net Weight]])</f>
        <v/>
      </c>
      <c r="O1424" s="30"/>
      <c r="P142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24" s="30"/>
      <c r="R1424" s="30" t="str" cm="1">
        <f t="array" ref="R1424">Main_Log_Ref(Main_Log[[#This Row],[Carrier]])</f>
        <v/>
      </c>
    </row>
    <row r="1425" spans="1:18" ht="29.85" customHeight="1" x14ac:dyDescent="0.45">
      <c r="A1425" s="30">
        <v>37</v>
      </c>
      <c r="B1425" s="30"/>
      <c r="C1425" s="30"/>
      <c r="D1425" s="30"/>
      <c r="E1425" s="30"/>
      <c r="F1425" s="30"/>
      <c r="G1425" s="30"/>
      <c r="H1425" s="30"/>
      <c r="I1425" s="30"/>
      <c r="J1425" s="30"/>
      <c r="K1425" s="30"/>
      <c r="L1425" s="30"/>
      <c r="M1425" s="30"/>
      <c r="N1425" s="30" t="str" cm="1">
        <f t="array" ref="N1425">Main_Log_Status(Main_Log[[#This Row],[Carrier]],Main_Log[[#This Row],[Net Weight]])</f>
        <v/>
      </c>
      <c r="O1425" s="30"/>
      <c r="P142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25" s="30"/>
      <c r="R1425" s="30" t="str" cm="1">
        <f t="array" ref="R1425">Main_Log_Ref(Main_Log[[#This Row],[Carrier]])</f>
        <v/>
      </c>
    </row>
    <row r="1426" spans="1:18" ht="29.85" customHeight="1" x14ac:dyDescent="0.45">
      <c r="A1426" s="30">
        <v>38</v>
      </c>
      <c r="B1426" s="30"/>
      <c r="C1426" s="30"/>
      <c r="D1426" s="30"/>
      <c r="E1426" s="30"/>
      <c r="F1426" s="30"/>
      <c r="G1426" s="30"/>
      <c r="H1426" s="30"/>
      <c r="I1426" s="30"/>
      <c r="J1426" s="30"/>
      <c r="K1426" s="30"/>
      <c r="L1426" s="30"/>
      <c r="M1426" s="30"/>
      <c r="N1426" s="30" t="str" cm="1">
        <f t="array" ref="N1426">Main_Log_Status(Main_Log[[#This Row],[Carrier]],Main_Log[[#This Row],[Net Weight]])</f>
        <v/>
      </c>
      <c r="O1426" s="30"/>
      <c r="P142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26" s="30"/>
      <c r="R1426" s="30" t="str" cm="1">
        <f t="array" ref="R1426">Main_Log_Ref(Main_Log[[#This Row],[Carrier]])</f>
        <v/>
      </c>
    </row>
    <row r="1427" spans="1:18" ht="29.85" customHeight="1" x14ac:dyDescent="0.45">
      <c r="A1427" s="30">
        <v>39</v>
      </c>
      <c r="B1427" s="30"/>
      <c r="C1427" s="30"/>
      <c r="D1427" s="30"/>
      <c r="E1427" s="30"/>
      <c r="F1427" s="30"/>
      <c r="G1427" s="30"/>
      <c r="H1427" s="30"/>
      <c r="I1427" s="30"/>
      <c r="J1427" s="30"/>
      <c r="K1427" s="30"/>
      <c r="L1427" s="30"/>
      <c r="M1427" s="30"/>
      <c r="N1427" s="30" t="str" cm="1">
        <f t="array" ref="N1427">Main_Log_Status(Main_Log[[#This Row],[Carrier]],Main_Log[[#This Row],[Net Weight]])</f>
        <v/>
      </c>
      <c r="O1427" s="30"/>
      <c r="P142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27" s="30"/>
      <c r="R1427" s="30" t="str" cm="1">
        <f t="array" ref="R1427">Main_Log_Ref(Main_Log[[#This Row],[Carrier]])</f>
        <v/>
      </c>
    </row>
    <row r="1428" spans="1:18" ht="29.85" customHeight="1" x14ac:dyDescent="0.45">
      <c r="A1428" s="30">
        <v>40</v>
      </c>
      <c r="B1428" s="30"/>
      <c r="C1428" s="30"/>
      <c r="D1428" s="30"/>
      <c r="E1428" s="30"/>
      <c r="F1428" s="30"/>
      <c r="G1428" s="30"/>
      <c r="H1428" s="30"/>
      <c r="I1428" s="30"/>
      <c r="J1428" s="30"/>
      <c r="K1428" s="30"/>
      <c r="L1428" s="30"/>
      <c r="M1428" s="30"/>
      <c r="N1428" s="30" t="str" cm="1">
        <f t="array" ref="N1428">Main_Log_Status(Main_Log[[#This Row],[Carrier]],Main_Log[[#This Row],[Net Weight]])</f>
        <v/>
      </c>
      <c r="O1428" s="30"/>
      <c r="P142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28" s="30"/>
      <c r="R1428" s="30" t="str" cm="1">
        <f t="array" ref="R1428">Main_Log_Ref(Main_Log[[#This Row],[Carrier]])</f>
        <v/>
      </c>
    </row>
    <row r="1429" spans="1:18" ht="29.85" customHeight="1" x14ac:dyDescent="0.45">
      <c r="A1429" s="30">
        <v>41</v>
      </c>
      <c r="B1429" s="30"/>
      <c r="C1429" s="30"/>
      <c r="D1429" s="30"/>
      <c r="E1429" s="30"/>
      <c r="F1429" s="30"/>
      <c r="G1429" s="30"/>
      <c r="H1429" s="30"/>
      <c r="I1429" s="30"/>
      <c r="J1429" s="30"/>
      <c r="K1429" s="30"/>
      <c r="L1429" s="30"/>
      <c r="M1429" s="30"/>
      <c r="N1429" s="30" t="str" cm="1">
        <f t="array" ref="N1429">Main_Log_Status(Main_Log[[#This Row],[Carrier]],Main_Log[[#This Row],[Net Weight]])</f>
        <v/>
      </c>
      <c r="O1429" s="30"/>
      <c r="P142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29" s="30"/>
      <c r="R1429" s="30" t="str" cm="1">
        <f t="array" ref="R1429">Main_Log_Ref(Main_Log[[#This Row],[Carrier]])</f>
        <v/>
      </c>
    </row>
    <row r="1430" spans="1:18" ht="29.85" customHeight="1" x14ac:dyDescent="0.45">
      <c r="A1430" s="30">
        <v>42</v>
      </c>
      <c r="B1430" s="30"/>
      <c r="C1430" s="30"/>
      <c r="D1430" s="30"/>
      <c r="E1430" s="30"/>
      <c r="F1430" s="30"/>
      <c r="G1430" s="30"/>
      <c r="H1430" s="30"/>
      <c r="I1430" s="30"/>
      <c r="J1430" s="30"/>
      <c r="K1430" s="30"/>
      <c r="L1430" s="30"/>
      <c r="M1430" s="30"/>
      <c r="N1430" s="30" t="str" cm="1">
        <f t="array" ref="N1430">Main_Log_Status(Main_Log[[#This Row],[Carrier]],Main_Log[[#This Row],[Net Weight]])</f>
        <v/>
      </c>
      <c r="O1430" s="30"/>
      <c r="P143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30" s="30"/>
      <c r="R1430" s="30" t="str" cm="1">
        <f t="array" ref="R1430">Main_Log_Ref(Main_Log[[#This Row],[Carrier]])</f>
        <v/>
      </c>
    </row>
    <row r="1431" spans="1:18" ht="29.85" customHeight="1" x14ac:dyDescent="0.45">
      <c r="A1431" s="30">
        <v>43</v>
      </c>
      <c r="B1431" s="30"/>
      <c r="C1431" s="30"/>
      <c r="D1431" s="30"/>
      <c r="E1431" s="30"/>
      <c r="F1431" s="30"/>
      <c r="G1431" s="30"/>
      <c r="H1431" s="30"/>
      <c r="I1431" s="30"/>
      <c r="J1431" s="30"/>
      <c r="K1431" s="30"/>
      <c r="L1431" s="30"/>
      <c r="M1431" s="30"/>
      <c r="N1431" s="30" t="str" cm="1">
        <f t="array" ref="N1431">Main_Log_Status(Main_Log[[#This Row],[Carrier]],Main_Log[[#This Row],[Net Weight]])</f>
        <v/>
      </c>
      <c r="O1431" s="30"/>
      <c r="P143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31" s="30"/>
      <c r="R1431" s="30" t="str" cm="1">
        <f t="array" ref="R1431">Main_Log_Ref(Main_Log[[#This Row],[Carrier]])</f>
        <v/>
      </c>
    </row>
    <row r="1432" spans="1:18" ht="29.85" customHeight="1" x14ac:dyDescent="0.45">
      <c r="A1432" s="30">
        <v>44</v>
      </c>
      <c r="B1432" s="30"/>
      <c r="C1432" s="30"/>
      <c r="D1432" s="30"/>
      <c r="E1432" s="30"/>
      <c r="F1432" s="30"/>
      <c r="G1432" s="30"/>
      <c r="H1432" s="30"/>
      <c r="I1432" s="30"/>
      <c r="J1432" s="30"/>
      <c r="K1432" s="30"/>
      <c r="L1432" s="30"/>
      <c r="M1432" s="30"/>
      <c r="N1432" s="30" t="str" cm="1">
        <f t="array" ref="N1432">Main_Log_Status(Main_Log[[#This Row],[Carrier]],Main_Log[[#This Row],[Net Weight]])</f>
        <v/>
      </c>
      <c r="O1432" s="30"/>
      <c r="P143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32" s="30"/>
      <c r="R1432" s="30" t="str" cm="1">
        <f t="array" ref="R1432">Main_Log_Ref(Main_Log[[#This Row],[Carrier]])</f>
        <v/>
      </c>
    </row>
    <row r="1433" spans="1:18" ht="29.85" customHeight="1" x14ac:dyDescent="0.45">
      <c r="A1433" s="30">
        <v>45</v>
      </c>
      <c r="B1433" s="30"/>
      <c r="C1433" s="30"/>
      <c r="D1433" s="30"/>
      <c r="E1433" s="30"/>
      <c r="F1433" s="30"/>
      <c r="G1433" s="30"/>
      <c r="H1433" s="30"/>
      <c r="I1433" s="30"/>
      <c r="J1433" s="30"/>
      <c r="K1433" s="30"/>
      <c r="L1433" s="30"/>
      <c r="M1433" s="30"/>
      <c r="N1433" s="30" t="str" cm="1">
        <f t="array" ref="N1433">Main_Log_Status(Main_Log[[#This Row],[Carrier]],Main_Log[[#This Row],[Net Weight]])</f>
        <v/>
      </c>
      <c r="O1433" s="30"/>
      <c r="P143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33" s="30"/>
      <c r="R1433" s="30" t="str" cm="1">
        <f t="array" ref="R1433">Main_Log_Ref(Main_Log[[#This Row],[Carrier]])</f>
        <v/>
      </c>
    </row>
    <row r="1434" spans="1:18" ht="29.85" customHeight="1" x14ac:dyDescent="0.45">
      <c r="A1434" s="30">
        <v>46</v>
      </c>
      <c r="B1434" s="30"/>
      <c r="C1434" s="30"/>
      <c r="D1434" s="30"/>
      <c r="E1434" s="30"/>
      <c r="F1434" s="30"/>
      <c r="G1434" s="30"/>
      <c r="H1434" s="30"/>
      <c r="I1434" s="30"/>
      <c r="J1434" s="30"/>
      <c r="K1434" s="30"/>
      <c r="L1434" s="30"/>
      <c r="M1434" s="30"/>
      <c r="N1434" s="30" t="str" cm="1">
        <f t="array" ref="N1434">Main_Log_Status(Main_Log[[#This Row],[Carrier]],Main_Log[[#This Row],[Net Weight]])</f>
        <v/>
      </c>
      <c r="O1434" s="30"/>
      <c r="P143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34" s="30"/>
      <c r="R1434" s="30" t="str" cm="1">
        <f t="array" ref="R1434">Main_Log_Ref(Main_Log[[#This Row],[Carrier]])</f>
        <v/>
      </c>
    </row>
    <row r="1435" spans="1:18" ht="29.85" customHeight="1" x14ac:dyDescent="0.45">
      <c r="A1435" s="30">
        <v>47</v>
      </c>
      <c r="B1435" s="30"/>
      <c r="C1435" s="30"/>
      <c r="D1435" s="30"/>
      <c r="E1435" s="30"/>
      <c r="F1435" s="30"/>
      <c r="G1435" s="30"/>
      <c r="H1435" s="30"/>
      <c r="I1435" s="30"/>
      <c r="J1435" s="30"/>
      <c r="K1435" s="30"/>
      <c r="L1435" s="30"/>
      <c r="M1435" s="30"/>
      <c r="N1435" s="30" t="str" cm="1">
        <f t="array" ref="N1435">Main_Log_Status(Main_Log[[#This Row],[Carrier]],Main_Log[[#This Row],[Net Weight]])</f>
        <v/>
      </c>
      <c r="O1435" s="30"/>
      <c r="P143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35" s="30"/>
      <c r="R1435" s="30" t="str" cm="1">
        <f t="array" ref="R1435">Main_Log_Ref(Main_Log[[#This Row],[Carrier]])</f>
        <v/>
      </c>
    </row>
    <row r="1436" spans="1:18" ht="29.85" customHeight="1" x14ac:dyDescent="0.45">
      <c r="A1436" s="30">
        <v>48</v>
      </c>
      <c r="B1436" s="30"/>
      <c r="C1436" s="30"/>
      <c r="D1436" s="30"/>
      <c r="E1436" s="30"/>
      <c r="F1436" s="30"/>
      <c r="G1436" s="30"/>
      <c r="H1436" s="30"/>
      <c r="I1436" s="30"/>
      <c r="J1436" s="30"/>
      <c r="K1436" s="30"/>
      <c r="L1436" s="30"/>
      <c r="M1436" s="30"/>
      <c r="N1436" s="30" t="str" cm="1">
        <f t="array" ref="N1436">Main_Log_Status(Main_Log[[#This Row],[Carrier]],Main_Log[[#This Row],[Net Weight]])</f>
        <v/>
      </c>
      <c r="O1436" s="30"/>
      <c r="P143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36" s="30"/>
      <c r="R1436" s="30" t="str" cm="1">
        <f t="array" ref="R1436">Main_Log_Ref(Main_Log[[#This Row],[Carrier]])</f>
        <v/>
      </c>
    </row>
    <row r="1437" spans="1:18" ht="29.85" customHeight="1" x14ac:dyDescent="0.45">
      <c r="A1437" s="30">
        <v>49</v>
      </c>
      <c r="B1437" s="30"/>
      <c r="C1437" s="30"/>
      <c r="D1437" s="30"/>
      <c r="E1437" s="30"/>
      <c r="F1437" s="30"/>
      <c r="G1437" s="30"/>
      <c r="H1437" s="30"/>
      <c r="I1437" s="30"/>
      <c r="J1437" s="30"/>
      <c r="K1437" s="30"/>
      <c r="L1437" s="30"/>
      <c r="M1437" s="30"/>
      <c r="N1437" s="30" t="str" cm="1">
        <f t="array" ref="N1437">Main_Log_Status(Main_Log[[#This Row],[Carrier]],Main_Log[[#This Row],[Net Weight]])</f>
        <v/>
      </c>
      <c r="O1437" s="30"/>
      <c r="P143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37" s="30"/>
      <c r="R1437" s="30" t="str" cm="1">
        <f t="array" ref="R1437">Main_Log_Ref(Main_Log[[#This Row],[Carrier]])</f>
        <v/>
      </c>
    </row>
    <row r="1438" spans="1:18" ht="29.85" customHeight="1" x14ac:dyDescent="0.45">
      <c r="A1438" s="30">
        <v>50</v>
      </c>
      <c r="B1438" s="30"/>
      <c r="C1438" s="30"/>
      <c r="D1438" s="30"/>
      <c r="E1438" s="30"/>
      <c r="F1438" s="30"/>
      <c r="G1438" s="30"/>
      <c r="H1438" s="30"/>
      <c r="I1438" s="30"/>
      <c r="J1438" s="30"/>
      <c r="K1438" s="30"/>
      <c r="L1438" s="30"/>
      <c r="M1438" s="30"/>
      <c r="N1438" s="30" t="str" cm="1">
        <f t="array" ref="N1438">Main_Log_Status(Main_Log[[#This Row],[Carrier]],Main_Log[[#This Row],[Net Weight]])</f>
        <v/>
      </c>
      <c r="O1438" s="30"/>
      <c r="P143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38" s="30"/>
      <c r="R1438" s="30" t="str" cm="1">
        <f t="array" ref="R1438">Main_Log_Ref(Main_Log[[#This Row],[Carrier]])</f>
        <v/>
      </c>
    </row>
    <row r="1439" spans="1:18" ht="29.85" customHeight="1" x14ac:dyDescent="0.45">
      <c r="A1439" s="30">
        <v>51</v>
      </c>
      <c r="B1439" s="30"/>
      <c r="C1439" s="30"/>
      <c r="D1439" s="30"/>
      <c r="E1439" s="30"/>
      <c r="F1439" s="30"/>
      <c r="G1439" s="30"/>
      <c r="H1439" s="30"/>
      <c r="I1439" s="30"/>
      <c r="J1439" s="30"/>
      <c r="K1439" s="30"/>
      <c r="L1439" s="30"/>
      <c r="M1439" s="30"/>
      <c r="N1439" s="30" t="str" cm="1">
        <f t="array" ref="N1439">Main_Log_Status(Main_Log[[#This Row],[Carrier]],Main_Log[[#This Row],[Net Weight]])</f>
        <v/>
      </c>
      <c r="O1439" s="30"/>
      <c r="P143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39" s="30"/>
      <c r="R1439" s="30" t="str" cm="1">
        <f t="array" ref="R1439">Main_Log_Ref(Main_Log[[#This Row],[Carrier]])</f>
        <v/>
      </c>
    </row>
    <row r="1440" spans="1:18" ht="29.85" customHeight="1" x14ac:dyDescent="0.45">
      <c r="A1440" s="30">
        <v>52</v>
      </c>
      <c r="B1440" s="30"/>
      <c r="C1440" s="30"/>
      <c r="D1440" s="30"/>
      <c r="E1440" s="30"/>
      <c r="F1440" s="30"/>
      <c r="G1440" s="30"/>
      <c r="H1440" s="30"/>
      <c r="I1440" s="30"/>
      <c r="J1440" s="30"/>
      <c r="K1440" s="30"/>
      <c r="L1440" s="30"/>
      <c r="M1440" s="30"/>
      <c r="N1440" s="30" t="str" cm="1">
        <f t="array" ref="N1440">Main_Log_Status(Main_Log[[#This Row],[Carrier]],Main_Log[[#This Row],[Net Weight]])</f>
        <v/>
      </c>
      <c r="O1440" s="30"/>
      <c r="P144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40" s="30"/>
      <c r="R1440" s="30" t="str" cm="1">
        <f t="array" ref="R1440">Main_Log_Ref(Main_Log[[#This Row],[Carrier]])</f>
        <v/>
      </c>
    </row>
    <row r="1441" spans="1:18" ht="29.85" customHeight="1" x14ac:dyDescent="0.45">
      <c r="A1441" s="30">
        <v>53</v>
      </c>
      <c r="B1441" s="30"/>
      <c r="C1441" s="30"/>
      <c r="D1441" s="30"/>
      <c r="E1441" s="30"/>
      <c r="F1441" s="30"/>
      <c r="G1441" s="30"/>
      <c r="H1441" s="30"/>
      <c r="I1441" s="30"/>
      <c r="J1441" s="30"/>
      <c r="K1441" s="30"/>
      <c r="L1441" s="30"/>
      <c r="M1441" s="30"/>
      <c r="N1441" s="30" t="str" cm="1">
        <f t="array" ref="N1441">Main_Log_Status(Main_Log[[#This Row],[Carrier]],Main_Log[[#This Row],[Net Weight]])</f>
        <v/>
      </c>
      <c r="O1441" s="30"/>
      <c r="P144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41" s="30"/>
      <c r="R1441" s="30" t="str" cm="1">
        <f t="array" ref="R1441">Main_Log_Ref(Main_Log[[#This Row],[Carrier]])</f>
        <v/>
      </c>
    </row>
    <row r="1442" spans="1:18" ht="29.85" customHeight="1" x14ac:dyDescent="0.45">
      <c r="A1442" s="30">
        <v>54</v>
      </c>
      <c r="B1442" s="30"/>
      <c r="C1442" s="30"/>
      <c r="D1442" s="30"/>
      <c r="E1442" s="30"/>
      <c r="F1442" s="30"/>
      <c r="G1442" s="30"/>
      <c r="H1442" s="30"/>
      <c r="I1442" s="30"/>
      <c r="J1442" s="30"/>
      <c r="K1442" s="30"/>
      <c r="L1442" s="30"/>
      <c r="M1442" s="30"/>
      <c r="N1442" s="30" t="str" cm="1">
        <f t="array" ref="N1442">Main_Log_Status(Main_Log[[#This Row],[Carrier]],Main_Log[[#This Row],[Net Weight]])</f>
        <v/>
      </c>
      <c r="O1442" s="30"/>
      <c r="P144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42" s="30"/>
      <c r="R1442" s="30" t="str" cm="1">
        <f t="array" ref="R1442">Main_Log_Ref(Main_Log[[#This Row],[Carrier]])</f>
        <v/>
      </c>
    </row>
    <row r="1443" spans="1:18" ht="29.85" customHeight="1" x14ac:dyDescent="0.45">
      <c r="A1443" s="30">
        <v>55</v>
      </c>
      <c r="B1443" s="30"/>
      <c r="C1443" s="30"/>
      <c r="D1443" s="30"/>
      <c r="E1443" s="30"/>
      <c r="F1443" s="30"/>
      <c r="G1443" s="30"/>
      <c r="H1443" s="30"/>
      <c r="I1443" s="30"/>
      <c r="J1443" s="30"/>
      <c r="K1443" s="30"/>
      <c r="L1443" s="30"/>
      <c r="M1443" s="30"/>
      <c r="N1443" s="30" t="str" cm="1">
        <f t="array" ref="N1443">Main_Log_Status(Main_Log[[#This Row],[Carrier]],Main_Log[[#This Row],[Net Weight]])</f>
        <v/>
      </c>
      <c r="O1443" s="30"/>
      <c r="P144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43" s="30"/>
      <c r="R1443" s="30" t="str" cm="1">
        <f t="array" ref="R1443">Main_Log_Ref(Main_Log[[#This Row],[Carrier]])</f>
        <v/>
      </c>
    </row>
    <row r="1444" spans="1:18" ht="29.85" customHeight="1" x14ac:dyDescent="0.45">
      <c r="A1444" s="30">
        <v>56</v>
      </c>
      <c r="B1444" s="30"/>
      <c r="C1444" s="30"/>
      <c r="D1444" s="30"/>
      <c r="E1444" s="30"/>
      <c r="F1444" s="30"/>
      <c r="G1444" s="30"/>
      <c r="H1444" s="30"/>
      <c r="I1444" s="30"/>
      <c r="J1444" s="30"/>
      <c r="K1444" s="30"/>
      <c r="L1444" s="30"/>
      <c r="M1444" s="30"/>
      <c r="N1444" s="30" t="str" cm="1">
        <f t="array" ref="N1444">Main_Log_Status(Main_Log[[#This Row],[Carrier]],Main_Log[[#This Row],[Net Weight]])</f>
        <v/>
      </c>
      <c r="O1444" s="30"/>
      <c r="P144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44" s="30"/>
      <c r="R1444" s="30" t="str" cm="1">
        <f t="array" ref="R1444">Main_Log_Ref(Main_Log[[#This Row],[Carrier]])</f>
        <v/>
      </c>
    </row>
    <row r="1445" spans="1:18" ht="29.85" customHeight="1" x14ac:dyDescent="0.45">
      <c r="A1445" s="30">
        <v>57</v>
      </c>
      <c r="B1445" s="30"/>
      <c r="C1445" s="30"/>
      <c r="D1445" s="30"/>
      <c r="E1445" s="30"/>
      <c r="F1445" s="30"/>
      <c r="G1445" s="30"/>
      <c r="H1445" s="30"/>
      <c r="I1445" s="30"/>
      <c r="J1445" s="30"/>
      <c r="K1445" s="30"/>
      <c r="L1445" s="30"/>
      <c r="M1445" s="30"/>
      <c r="N1445" s="30" t="str" cm="1">
        <f t="array" ref="N1445">Main_Log_Status(Main_Log[[#This Row],[Carrier]],Main_Log[[#This Row],[Net Weight]])</f>
        <v/>
      </c>
      <c r="O1445" s="30"/>
      <c r="P144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45" s="30"/>
      <c r="R1445" s="30" t="str" cm="1">
        <f t="array" ref="R1445">Main_Log_Ref(Main_Log[[#This Row],[Carrier]])</f>
        <v/>
      </c>
    </row>
    <row r="1446" spans="1:18" ht="29.85" customHeight="1" x14ac:dyDescent="0.45">
      <c r="A1446" s="30">
        <v>58</v>
      </c>
      <c r="B1446" s="30"/>
      <c r="C1446" s="30"/>
      <c r="D1446" s="30"/>
      <c r="E1446" s="30"/>
      <c r="F1446" s="30"/>
      <c r="G1446" s="30"/>
      <c r="H1446" s="30"/>
      <c r="I1446" s="30"/>
      <c r="J1446" s="30"/>
      <c r="K1446" s="30"/>
      <c r="L1446" s="30"/>
      <c r="M1446" s="30"/>
      <c r="N1446" s="30" t="str" cm="1">
        <f t="array" ref="N1446">Main_Log_Status(Main_Log[[#This Row],[Carrier]],Main_Log[[#This Row],[Net Weight]])</f>
        <v/>
      </c>
      <c r="O1446" s="30"/>
      <c r="P144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46" s="30"/>
      <c r="R1446" s="30" t="str" cm="1">
        <f t="array" ref="R1446">Main_Log_Ref(Main_Log[[#This Row],[Carrier]])</f>
        <v/>
      </c>
    </row>
    <row r="1447" spans="1:18" ht="29.85" customHeight="1" x14ac:dyDescent="0.45">
      <c r="A1447" s="30">
        <v>59</v>
      </c>
      <c r="B1447" s="30"/>
      <c r="C1447" s="30"/>
      <c r="D1447" s="30"/>
      <c r="E1447" s="30"/>
      <c r="F1447" s="30"/>
      <c r="G1447" s="30"/>
      <c r="H1447" s="30"/>
      <c r="I1447" s="30"/>
      <c r="J1447" s="30"/>
      <c r="K1447" s="30"/>
      <c r="L1447" s="30"/>
      <c r="M1447" s="30"/>
      <c r="N1447" s="30" t="str" cm="1">
        <f t="array" ref="N1447">Main_Log_Status(Main_Log[[#This Row],[Carrier]],Main_Log[[#This Row],[Net Weight]])</f>
        <v/>
      </c>
      <c r="O1447" s="30"/>
      <c r="P144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47" s="30"/>
      <c r="R1447" s="30" t="str" cm="1">
        <f t="array" ref="R1447">Main_Log_Ref(Main_Log[[#This Row],[Carrier]])</f>
        <v/>
      </c>
    </row>
    <row r="1448" spans="1:18" ht="29.85" customHeight="1" x14ac:dyDescent="0.45">
      <c r="A1448" s="30">
        <v>60</v>
      </c>
      <c r="B1448" s="30"/>
      <c r="C1448" s="30"/>
      <c r="D1448" s="30"/>
      <c r="E1448" s="30"/>
      <c r="F1448" s="30"/>
      <c r="G1448" s="30"/>
      <c r="H1448" s="30"/>
      <c r="I1448" s="30"/>
      <c r="J1448" s="30"/>
      <c r="K1448" s="30"/>
      <c r="L1448" s="30"/>
      <c r="M1448" s="30"/>
      <c r="N1448" s="30" t="str" cm="1">
        <f t="array" ref="N1448">Main_Log_Status(Main_Log[[#This Row],[Carrier]],Main_Log[[#This Row],[Net Weight]])</f>
        <v/>
      </c>
      <c r="O1448" s="30"/>
      <c r="P144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48" s="30"/>
      <c r="R1448" s="30" t="str" cm="1">
        <f t="array" ref="R1448">Main_Log_Ref(Main_Log[[#This Row],[Carrier]])</f>
        <v/>
      </c>
    </row>
    <row r="1449" spans="1:18" ht="29.85" customHeight="1" x14ac:dyDescent="0.45">
      <c r="A1449" s="30">
        <v>61</v>
      </c>
      <c r="B1449" s="30"/>
      <c r="C1449" s="30"/>
      <c r="D1449" s="30"/>
      <c r="E1449" s="30"/>
      <c r="F1449" s="30"/>
      <c r="G1449" s="30"/>
      <c r="H1449" s="30"/>
      <c r="I1449" s="30"/>
      <c r="J1449" s="30"/>
      <c r="K1449" s="30"/>
      <c r="L1449" s="30"/>
      <c r="M1449" s="30"/>
      <c r="N1449" s="30" t="str" cm="1">
        <f t="array" ref="N1449">Main_Log_Status(Main_Log[[#This Row],[Carrier]],Main_Log[[#This Row],[Net Weight]])</f>
        <v/>
      </c>
      <c r="O1449" s="30"/>
      <c r="P144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49" s="30"/>
      <c r="R1449" s="30" t="str" cm="1">
        <f t="array" ref="R1449">Main_Log_Ref(Main_Log[[#This Row],[Carrier]])</f>
        <v/>
      </c>
    </row>
    <row r="1450" spans="1:18" ht="29.85" customHeight="1" x14ac:dyDescent="0.45">
      <c r="A1450" s="30">
        <v>62</v>
      </c>
      <c r="B1450" s="30"/>
      <c r="C1450" s="30"/>
      <c r="D1450" s="30"/>
      <c r="E1450" s="30"/>
      <c r="F1450" s="30"/>
      <c r="G1450" s="30"/>
      <c r="H1450" s="30"/>
      <c r="I1450" s="30"/>
      <c r="J1450" s="30"/>
      <c r="K1450" s="30"/>
      <c r="L1450" s="30"/>
      <c r="M1450" s="30"/>
      <c r="N1450" s="30" t="str" cm="1">
        <f t="array" ref="N1450">Main_Log_Status(Main_Log[[#This Row],[Carrier]],Main_Log[[#This Row],[Net Weight]])</f>
        <v/>
      </c>
      <c r="O1450" s="30"/>
      <c r="P145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50" s="30"/>
      <c r="R1450" s="30" t="str" cm="1">
        <f t="array" ref="R1450">Main_Log_Ref(Main_Log[[#This Row],[Carrier]])</f>
        <v/>
      </c>
    </row>
    <row r="1451" spans="1:18" ht="29.85" customHeight="1" x14ac:dyDescent="0.45">
      <c r="A1451" s="30">
        <v>63</v>
      </c>
      <c r="B1451" s="30"/>
      <c r="C1451" s="30"/>
      <c r="D1451" s="30"/>
      <c r="E1451" s="30"/>
      <c r="F1451" s="30"/>
      <c r="G1451" s="30"/>
      <c r="H1451" s="30"/>
      <c r="I1451" s="30"/>
      <c r="J1451" s="30"/>
      <c r="K1451" s="30"/>
      <c r="L1451" s="30"/>
      <c r="M1451" s="30"/>
      <c r="N1451" s="30" t="str" cm="1">
        <f t="array" ref="N1451">Main_Log_Status(Main_Log[[#This Row],[Carrier]],Main_Log[[#This Row],[Net Weight]])</f>
        <v/>
      </c>
      <c r="O1451" s="30"/>
      <c r="P145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51" s="30"/>
      <c r="R1451" s="30" t="str" cm="1">
        <f t="array" ref="R1451">Main_Log_Ref(Main_Log[[#This Row],[Carrier]])</f>
        <v/>
      </c>
    </row>
    <row r="1452" spans="1:18" ht="29.85" customHeight="1" x14ac:dyDescent="0.45">
      <c r="A1452" s="30">
        <v>64</v>
      </c>
      <c r="B1452" s="30"/>
      <c r="C1452" s="30"/>
      <c r="D1452" s="30"/>
      <c r="E1452" s="30"/>
      <c r="F1452" s="30"/>
      <c r="G1452" s="30"/>
      <c r="H1452" s="30"/>
      <c r="I1452" s="30"/>
      <c r="J1452" s="30"/>
      <c r="K1452" s="30"/>
      <c r="L1452" s="30"/>
      <c r="M1452" s="30"/>
      <c r="N1452" s="30" t="str" cm="1">
        <f t="array" ref="N1452">Main_Log_Status(Main_Log[[#This Row],[Carrier]],Main_Log[[#This Row],[Net Weight]])</f>
        <v/>
      </c>
      <c r="O1452" s="30"/>
      <c r="P145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52" s="30"/>
      <c r="R1452" s="30" t="str" cm="1">
        <f t="array" ref="R1452">Main_Log_Ref(Main_Log[[#This Row],[Carrier]])</f>
        <v/>
      </c>
    </row>
    <row r="1453" spans="1:18" ht="29.85" customHeight="1" x14ac:dyDescent="0.45">
      <c r="A1453" s="30">
        <v>65</v>
      </c>
      <c r="B1453" s="30"/>
      <c r="C1453" s="30"/>
      <c r="D1453" s="30"/>
      <c r="E1453" s="30"/>
      <c r="F1453" s="30"/>
      <c r="G1453" s="30"/>
      <c r="H1453" s="30"/>
      <c r="I1453" s="30"/>
      <c r="J1453" s="30"/>
      <c r="K1453" s="30"/>
      <c r="L1453" s="30"/>
      <c r="M1453" s="30"/>
      <c r="N1453" s="30" t="str" cm="1">
        <f t="array" ref="N1453">Main_Log_Status(Main_Log[[#This Row],[Carrier]],Main_Log[[#This Row],[Net Weight]])</f>
        <v/>
      </c>
      <c r="O1453" s="30"/>
      <c r="P145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53" s="30"/>
      <c r="R1453" s="30" t="str" cm="1">
        <f t="array" ref="R1453">Main_Log_Ref(Main_Log[[#This Row],[Carrier]])</f>
        <v/>
      </c>
    </row>
    <row r="1454" spans="1:18" ht="29.85" customHeight="1" x14ac:dyDescent="0.45">
      <c r="A1454" s="30">
        <v>66</v>
      </c>
      <c r="B1454" s="30"/>
      <c r="C1454" s="30"/>
      <c r="D1454" s="30"/>
      <c r="E1454" s="30"/>
      <c r="F1454" s="30"/>
      <c r="G1454" s="30"/>
      <c r="H1454" s="30"/>
      <c r="I1454" s="30"/>
      <c r="J1454" s="30"/>
      <c r="K1454" s="30"/>
      <c r="L1454" s="30"/>
      <c r="M1454" s="30"/>
      <c r="N1454" s="30" t="str" cm="1">
        <f t="array" ref="N1454">Main_Log_Status(Main_Log[[#This Row],[Carrier]],Main_Log[[#This Row],[Net Weight]])</f>
        <v/>
      </c>
      <c r="O1454" s="30"/>
      <c r="P145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54" s="30"/>
      <c r="R1454" s="30" t="str" cm="1">
        <f t="array" ref="R1454">Main_Log_Ref(Main_Log[[#This Row],[Carrier]])</f>
        <v/>
      </c>
    </row>
    <row r="1455" spans="1:18" ht="29.85" customHeight="1" x14ac:dyDescent="0.45">
      <c r="A1455" s="30">
        <v>67</v>
      </c>
      <c r="B1455" s="30"/>
      <c r="C1455" s="30"/>
      <c r="D1455" s="30"/>
      <c r="E1455" s="30"/>
      <c r="F1455" s="30"/>
      <c r="G1455" s="30"/>
      <c r="H1455" s="30"/>
      <c r="I1455" s="30"/>
      <c r="J1455" s="30"/>
      <c r="K1455" s="30"/>
      <c r="L1455" s="30"/>
      <c r="M1455" s="30"/>
      <c r="N1455" s="30" t="str" cm="1">
        <f t="array" ref="N1455">Main_Log_Status(Main_Log[[#This Row],[Carrier]],Main_Log[[#This Row],[Net Weight]])</f>
        <v/>
      </c>
      <c r="O1455" s="30"/>
      <c r="P145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55" s="30"/>
      <c r="R1455" s="30" t="str" cm="1">
        <f t="array" ref="R1455">Main_Log_Ref(Main_Log[[#This Row],[Carrier]])</f>
        <v/>
      </c>
    </row>
    <row r="1456" spans="1:18" ht="29.85" customHeight="1" x14ac:dyDescent="0.45">
      <c r="A1456" s="30">
        <v>68</v>
      </c>
      <c r="B1456" s="30"/>
      <c r="C1456" s="30"/>
      <c r="D1456" s="30"/>
      <c r="E1456" s="30"/>
      <c r="F1456" s="30"/>
      <c r="G1456" s="30"/>
      <c r="H1456" s="30"/>
      <c r="I1456" s="30"/>
      <c r="J1456" s="30"/>
      <c r="K1456" s="30"/>
      <c r="L1456" s="30"/>
      <c r="M1456" s="30"/>
      <c r="N1456" s="30" t="str" cm="1">
        <f t="array" ref="N1456">Main_Log_Status(Main_Log[[#This Row],[Carrier]],Main_Log[[#This Row],[Net Weight]])</f>
        <v/>
      </c>
      <c r="O1456" s="30"/>
      <c r="P145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56" s="30"/>
      <c r="R1456" s="30" t="str" cm="1">
        <f t="array" ref="R1456">Main_Log_Ref(Main_Log[[#This Row],[Carrier]])</f>
        <v/>
      </c>
    </row>
    <row r="1457" spans="1:18" ht="29.85" customHeight="1" x14ac:dyDescent="0.45">
      <c r="A1457" s="30">
        <v>69</v>
      </c>
      <c r="B1457" s="30"/>
      <c r="C1457" s="30"/>
      <c r="D1457" s="30"/>
      <c r="E1457" s="30"/>
      <c r="F1457" s="30"/>
      <c r="G1457" s="30"/>
      <c r="H1457" s="30"/>
      <c r="I1457" s="30"/>
      <c r="J1457" s="30"/>
      <c r="K1457" s="30"/>
      <c r="L1457" s="30"/>
      <c r="M1457" s="30"/>
      <c r="N1457" s="30" t="str" cm="1">
        <f t="array" ref="N1457">Main_Log_Status(Main_Log[[#This Row],[Carrier]],Main_Log[[#This Row],[Net Weight]])</f>
        <v/>
      </c>
      <c r="O1457" s="30"/>
      <c r="P145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57" s="30"/>
      <c r="R1457" s="30" t="str" cm="1">
        <f t="array" ref="R1457">Main_Log_Ref(Main_Log[[#This Row],[Carrier]])</f>
        <v/>
      </c>
    </row>
    <row r="1458" spans="1:18" ht="29.85" customHeight="1" x14ac:dyDescent="0.45">
      <c r="A1458" s="30">
        <v>70</v>
      </c>
      <c r="B1458" s="30"/>
      <c r="C1458" s="30"/>
      <c r="D1458" s="30"/>
      <c r="E1458" s="30"/>
      <c r="F1458" s="30"/>
      <c r="G1458" s="30"/>
      <c r="H1458" s="30"/>
      <c r="I1458" s="30"/>
      <c r="J1458" s="30"/>
      <c r="K1458" s="30"/>
      <c r="L1458" s="30"/>
      <c r="M1458" s="30"/>
      <c r="N1458" s="30" t="str" cm="1">
        <f t="array" ref="N1458">Main_Log_Status(Main_Log[[#This Row],[Carrier]],Main_Log[[#This Row],[Net Weight]])</f>
        <v/>
      </c>
      <c r="O1458" s="30"/>
      <c r="P145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58" s="30"/>
      <c r="R1458" s="30" t="str" cm="1">
        <f t="array" ref="R1458">Main_Log_Ref(Main_Log[[#This Row],[Carrier]])</f>
        <v/>
      </c>
    </row>
    <row r="1459" spans="1:18" ht="29.85" customHeight="1" x14ac:dyDescent="0.45">
      <c r="A1459" s="30">
        <v>71</v>
      </c>
      <c r="B1459" s="30"/>
      <c r="C1459" s="30"/>
      <c r="D1459" s="30"/>
      <c r="E1459" s="30"/>
      <c r="F1459" s="30"/>
      <c r="G1459" s="30"/>
      <c r="H1459" s="30"/>
      <c r="I1459" s="30"/>
      <c r="J1459" s="30"/>
      <c r="K1459" s="30"/>
      <c r="L1459" s="30"/>
      <c r="M1459" s="30"/>
      <c r="N1459" s="30" t="str" cm="1">
        <f t="array" ref="N1459">Main_Log_Status(Main_Log[[#This Row],[Carrier]],Main_Log[[#This Row],[Net Weight]])</f>
        <v/>
      </c>
      <c r="O1459" s="30"/>
      <c r="P145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59" s="30"/>
      <c r="R1459" s="30" t="str" cm="1">
        <f t="array" ref="R1459">Main_Log_Ref(Main_Log[[#This Row],[Carrier]])</f>
        <v/>
      </c>
    </row>
    <row r="1460" spans="1:18" ht="29.85" customHeight="1" x14ac:dyDescent="0.45">
      <c r="A1460" s="30">
        <v>72</v>
      </c>
      <c r="B1460" s="30"/>
      <c r="C1460" s="30"/>
      <c r="D1460" s="30"/>
      <c r="E1460" s="30"/>
      <c r="F1460" s="30"/>
      <c r="G1460" s="30"/>
      <c r="H1460" s="30"/>
      <c r="I1460" s="30"/>
      <c r="J1460" s="30"/>
      <c r="K1460" s="30"/>
      <c r="L1460" s="30"/>
      <c r="M1460" s="30"/>
      <c r="N1460" s="30" t="str" cm="1">
        <f t="array" ref="N1460">Main_Log_Status(Main_Log[[#This Row],[Carrier]],Main_Log[[#This Row],[Net Weight]])</f>
        <v/>
      </c>
      <c r="O1460" s="30"/>
      <c r="P146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60" s="30"/>
      <c r="R1460" s="30" t="str" cm="1">
        <f t="array" ref="R1460">Main_Log_Ref(Main_Log[[#This Row],[Carrier]])</f>
        <v/>
      </c>
    </row>
    <row r="1461" spans="1:18" ht="29.85" customHeight="1" x14ac:dyDescent="0.45">
      <c r="A1461" s="30">
        <v>73</v>
      </c>
      <c r="B1461" s="30"/>
      <c r="C1461" s="30"/>
      <c r="D1461" s="30"/>
      <c r="E1461" s="30"/>
      <c r="F1461" s="30"/>
      <c r="G1461" s="30"/>
      <c r="H1461" s="30"/>
      <c r="I1461" s="30"/>
      <c r="J1461" s="30"/>
      <c r="K1461" s="30"/>
      <c r="L1461" s="30"/>
      <c r="M1461" s="30"/>
      <c r="N1461" s="30" t="str" cm="1">
        <f t="array" ref="N1461">Main_Log_Status(Main_Log[[#This Row],[Carrier]],Main_Log[[#This Row],[Net Weight]])</f>
        <v/>
      </c>
      <c r="O1461" s="30"/>
      <c r="P146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61" s="30"/>
      <c r="R1461" s="30" t="str" cm="1">
        <f t="array" ref="R1461">Main_Log_Ref(Main_Log[[#This Row],[Carrier]])</f>
        <v/>
      </c>
    </row>
    <row r="1462" spans="1:18" ht="29.85" customHeight="1" x14ac:dyDescent="0.45">
      <c r="A1462" s="30">
        <v>74</v>
      </c>
      <c r="B1462" s="30"/>
      <c r="C1462" s="30"/>
      <c r="D1462" s="30"/>
      <c r="E1462" s="30"/>
      <c r="F1462" s="30"/>
      <c r="G1462" s="30"/>
      <c r="H1462" s="30"/>
      <c r="I1462" s="30"/>
      <c r="J1462" s="30"/>
      <c r="K1462" s="30"/>
      <c r="L1462" s="30"/>
      <c r="M1462" s="30"/>
      <c r="N1462" s="30" t="str" cm="1">
        <f t="array" ref="N1462">Main_Log_Status(Main_Log[[#This Row],[Carrier]],Main_Log[[#This Row],[Net Weight]])</f>
        <v/>
      </c>
      <c r="O1462" s="30"/>
      <c r="P146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62" s="30"/>
      <c r="R1462" s="30" t="str" cm="1">
        <f t="array" ref="R1462">Main_Log_Ref(Main_Log[[#This Row],[Carrier]])</f>
        <v/>
      </c>
    </row>
    <row r="1463" spans="1:18" ht="29.85" customHeight="1" x14ac:dyDescent="0.45">
      <c r="A1463" s="30">
        <v>75</v>
      </c>
      <c r="B1463" s="30"/>
      <c r="C1463" s="30"/>
      <c r="D1463" s="30"/>
      <c r="E1463" s="30"/>
      <c r="F1463" s="30"/>
      <c r="G1463" s="30"/>
      <c r="H1463" s="30"/>
      <c r="I1463" s="30"/>
      <c r="J1463" s="30"/>
      <c r="K1463" s="30"/>
      <c r="L1463" s="30"/>
      <c r="M1463" s="30"/>
      <c r="N1463" s="30" t="str" cm="1">
        <f t="array" ref="N1463">Main_Log_Status(Main_Log[[#This Row],[Carrier]],Main_Log[[#This Row],[Net Weight]])</f>
        <v/>
      </c>
      <c r="O1463" s="30"/>
      <c r="P146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63" s="30"/>
      <c r="R1463" s="30" t="str" cm="1">
        <f t="array" ref="R1463">Main_Log_Ref(Main_Log[[#This Row],[Carrier]])</f>
        <v/>
      </c>
    </row>
    <row r="1464" spans="1:18" ht="29.85" customHeight="1" x14ac:dyDescent="0.45">
      <c r="A1464" s="30">
        <v>76</v>
      </c>
      <c r="B1464" s="30"/>
      <c r="C1464" s="30"/>
      <c r="D1464" s="30"/>
      <c r="E1464" s="30"/>
      <c r="F1464" s="30"/>
      <c r="G1464" s="30"/>
      <c r="H1464" s="30"/>
      <c r="I1464" s="30"/>
      <c r="J1464" s="30"/>
      <c r="K1464" s="30"/>
      <c r="L1464" s="30"/>
      <c r="M1464" s="30"/>
      <c r="N1464" s="30" t="str" cm="1">
        <f t="array" ref="N1464">Main_Log_Status(Main_Log[[#This Row],[Carrier]],Main_Log[[#This Row],[Net Weight]])</f>
        <v/>
      </c>
      <c r="O1464" s="30"/>
      <c r="P146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64" s="30"/>
      <c r="R1464" s="30" t="str" cm="1">
        <f t="array" ref="R1464">Main_Log_Ref(Main_Log[[#This Row],[Carrier]])</f>
        <v/>
      </c>
    </row>
    <row r="1465" spans="1:18" ht="29.85" customHeight="1" x14ac:dyDescent="0.45">
      <c r="A1465" s="30">
        <v>77</v>
      </c>
      <c r="B1465" s="30"/>
      <c r="C1465" s="30"/>
      <c r="D1465" s="30"/>
      <c r="E1465" s="30"/>
      <c r="F1465" s="30"/>
      <c r="G1465" s="30"/>
      <c r="H1465" s="30"/>
      <c r="I1465" s="30"/>
      <c r="J1465" s="30"/>
      <c r="K1465" s="30"/>
      <c r="L1465" s="30"/>
      <c r="M1465" s="30"/>
      <c r="N1465" s="30" t="str" cm="1">
        <f t="array" ref="N1465">Main_Log_Status(Main_Log[[#This Row],[Carrier]],Main_Log[[#This Row],[Net Weight]])</f>
        <v/>
      </c>
      <c r="O1465" s="30"/>
      <c r="P146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65" s="30"/>
      <c r="R1465" s="30" t="str" cm="1">
        <f t="array" ref="R1465">Main_Log_Ref(Main_Log[[#This Row],[Carrier]])</f>
        <v/>
      </c>
    </row>
    <row r="1466" spans="1:18" ht="29.85" customHeight="1" x14ac:dyDescent="0.45">
      <c r="A1466" s="30">
        <v>78</v>
      </c>
      <c r="B1466" s="30"/>
      <c r="C1466" s="30"/>
      <c r="D1466" s="30"/>
      <c r="E1466" s="30"/>
      <c r="F1466" s="30"/>
      <c r="G1466" s="30"/>
      <c r="H1466" s="30"/>
      <c r="I1466" s="30"/>
      <c r="J1466" s="30"/>
      <c r="K1466" s="30"/>
      <c r="L1466" s="30"/>
      <c r="M1466" s="30"/>
      <c r="N1466" s="30" t="str" cm="1">
        <f t="array" ref="N1466">Main_Log_Status(Main_Log[[#This Row],[Carrier]],Main_Log[[#This Row],[Net Weight]])</f>
        <v/>
      </c>
      <c r="O1466" s="30"/>
      <c r="P146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66" s="30"/>
      <c r="R1466" s="30" t="str" cm="1">
        <f t="array" ref="R1466">Main_Log_Ref(Main_Log[[#This Row],[Carrier]])</f>
        <v/>
      </c>
    </row>
    <row r="1467" spans="1:18" ht="29.85" customHeight="1" x14ac:dyDescent="0.45">
      <c r="A1467" s="30">
        <v>79</v>
      </c>
      <c r="B1467" s="30"/>
      <c r="C1467" s="30"/>
      <c r="D1467" s="30"/>
      <c r="E1467" s="30"/>
      <c r="F1467" s="30"/>
      <c r="G1467" s="30"/>
      <c r="H1467" s="30"/>
      <c r="I1467" s="30"/>
      <c r="J1467" s="30"/>
      <c r="K1467" s="30"/>
      <c r="L1467" s="30"/>
      <c r="M1467" s="30"/>
      <c r="N1467" s="30" t="str" cm="1">
        <f t="array" ref="N1467">Main_Log_Status(Main_Log[[#This Row],[Carrier]],Main_Log[[#This Row],[Net Weight]])</f>
        <v/>
      </c>
      <c r="O1467" s="30"/>
      <c r="P146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67" s="30"/>
      <c r="R1467" s="30" t="str" cm="1">
        <f t="array" ref="R1467">Main_Log_Ref(Main_Log[[#This Row],[Carrier]])</f>
        <v/>
      </c>
    </row>
    <row r="1468" spans="1:18" ht="29.85" customHeight="1" x14ac:dyDescent="0.45">
      <c r="A1468" s="30">
        <v>80</v>
      </c>
      <c r="B1468" s="30"/>
      <c r="C1468" s="30"/>
      <c r="D1468" s="30"/>
      <c r="E1468" s="30"/>
      <c r="F1468" s="30"/>
      <c r="G1468" s="30"/>
      <c r="H1468" s="30"/>
      <c r="I1468" s="30"/>
      <c r="J1468" s="30"/>
      <c r="K1468" s="30"/>
      <c r="L1468" s="30"/>
      <c r="M1468" s="30"/>
      <c r="N1468" s="30" t="str" cm="1">
        <f t="array" ref="N1468">Main_Log_Status(Main_Log[[#This Row],[Carrier]],Main_Log[[#This Row],[Net Weight]])</f>
        <v/>
      </c>
      <c r="O1468" s="30"/>
      <c r="P146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68" s="30"/>
      <c r="R1468" s="30" t="str" cm="1">
        <f t="array" ref="R1468">Main_Log_Ref(Main_Log[[#This Row],[Carrier]])</f>
        <v/>
      </c>
    </row>
    <row r="1469" spans="1:18" ht="29.85" customHeight="1" x14ac:dyDescent="0.45">
      <c r="A1469" s="30">
        <v>81</v>
      </c>
      <c r="B1469" s="30"/>
      <c r="C1469" s="30"/>
      <c r="D1469" s="30"/>
      <c r="E1469" s="30"/>
      <c r="F1469" s="30"/>
      <c r="G1469" s="30"/>
      <c r="H1469" s="30"/>
      <c r="I1469" s="30"/>
      <c r="J1469" s="30"/>
      <c r="K1469" s="30"/>
      <c r="L1469" s="30"/>
      <c r="M1469" s="30"/>
      <c r="N1469" s="30" t="str" cm="1">
        <f t="array" ref="N1469">Main_Log_Status(Main_Log[[#This Row],[Carrier]],Main_Log[[#This Row],[Net Weight]])</f>
        <v/>
      </c>
      <c r="O1469" s="30"/>
      <c r="P146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69" s="30"/>
      <c r="R1469" s="30" t="str" cm="1">
        <f t="array" ref="R1469">Main_Log_Ref(Main_Log[[#This Row],[Carrier]])</f>
        <v/>
      </c>
    </row>
    <row r="1470" spans="1:18" ht="29.85" customHeight="1" x14ac:dyDescent="0.45">
      <c r="A1470" s="30">
        <v>82</v>
      </c>
      <c r="B1470" s="30"/>
      <c r="C1470" s="30"/>
      <c r="D1470" s="30"/>
      <c r="E1470" s="30"/>
      <c r="F1470" s="30"/>
      <c r="G1470" s="30"/>
      <c r="H1470" s="30"/>
      <c r="I1470" s="30"/>
      <c r="J1470" s="30"/>
      <c r="K1470" s="30"/>
      <c r="L1470" s="30"/>
      <c r="M1470" s="30"/>
      <c r="N1470" s="30" t="str" cm="1">
        <f t="array" ref="N1470">Main_Log_Status(Main_Log[[#This Row],[Carrier]],Main_Log[[#This Row],[Net Weight]])</f>
        <v/>
      </c>
      <c r="O1470" s="30"/>
      <c r="P147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70" s="30"/>
      <c r="R1470" s="30" t="str" cm="1">
        <f t="array" ref="R1470">Main_Log_Ref(Main_Log[[#This Row],[Carrier]])</f>
        <v/>
      </c>
    </row>
    <row r="1471" spans="1:18" ht="29.85" customHeight="1" x14ac:dyDescent="0.45">
      <c r="A1471" s="30">
        <v>83</v>
      </c>
      <c r="B1471" s="30"/>
      <c r="C1471" s="30"/>
      <c r="D1471" s="30"/>
      <c r="E1471" s="30"/>
      <c r="F1471" s="30"/>
      <c r="G1471" s="30"/>
      <c r="H1471" s="30"/>
      <c r="I1471" s="30"/>
      <c r="J1471" s="30"/>
      <c r="K1471" s="30"/>
      <c r="L1471" s="30"/>
      <c r="M1471" s="30"/>
      <c r="N1471" s="30" t="str" cm="1">
        <f t="array" ref="N1471">Main_Log_Status(Main_Log[[#This Row],[Carrier]],Main_Log[[#This Row],[Net Weight]])</f>
        <v/>
      </c>
      <c r="O1471" s="30"/>
      <c r="P147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71" s="30"/>
      <c r="R1471" s="30" t="str" cm="1">
        <f t="array" ref="R1471">Main_Log_Ref(Main_Log[[#This Row],[Carrier]])</f>
        <v/>
      </c>
    </row>
    <row r="1472" spans="1:18" ht="29.85" customHeight="1" x14ac:dyDescent="0.45">
      <c r="A1472" s="30">
        <v>84</v>
      </c>
      <c r="B1472" s="30"/>
      <c r="C1472" s="30"/>
      <c r="D1472" s="30"/>
      <c r="E1472" s="30"/>
      <c r="F1472" s="30"/>
      <c r="G1472" s="30"/>
      <c r="H1472" s="30"/>
      <c r="I1472" s="30"/>
      <c r="J1472" s="30"/>
      <c r="K1472" s="30"/>
      <c r="L1472" s="30"/>
      <c r="M1472" s="30"/>
      <c r="N1472" s="30" t="str" cm="1">
        <f t="array" ref="N1472">Main_Log_Status(Main_Log[[#This Row],[Carrier]],Main_Log[[#This Row],[Net Weight]])</f>
        <v/>
      </c>
      <c r="O1472" s="30"/>
      <c r="P147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72" s="30"/>
      <c r="R1472" s="30" t="str" cm="1">
        <f t="array" ref="R1472">Main_Log_Ref(Main_Log[[#This Row],[Carrier]])</f>
        <v/>
      </c>
    </row>
    <row r="1473" spans="1:18" ht="29.85" customHeight="1" x14ac:dyDescent="0.45">
      <c r="A1473" s="30">
        <v>85</v>
      </c>
      <c r="B1473" s="30"/>
      <c r="C1473" s="30"/>
      <c r="D1473" s="30"/>
      <c r="E1473" s="30"/>
      <c r="F1473" s="30"/>
      <c r="G1473" s="30"/>
      <c r="H1473" s="30"/>
      <c r="I1473" s="30"/>
      <c r="J1473" s="30"/>
      <c r="K1473" s="30"/>
      <c r="L1473" s="30"/>
      <c r="M1473" s="30"/>
      <c r="N1473" s="30" t="str" cm="1">
        <f t="array" ref="N1473">Main_Log_Status(Main_Log[[#This Row],[Carrier]],Main_Log[[#This Row],[Net Weight]])</f>
        <v/>
      </c>
      <c r="O1473" s="30"/>
      <c r="P147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73" s="30"/>
      <c r="R1473" s="30" t="str" cm="1">
        <f t="array" ref="R1473">Main_Log_Ref(Main_Log[[#This Row],[Carrier]])</f>
        <v/>
      </c>
    </row>
    <row r="1474" spans="1:18" ht="29.85" customHeight="1" x14ac:dyDescent="0.45">
      <c r="A1474" s="30">
        <v>86</v>
      </c>
      <c r="B1474" s="30"/>
      <c r="C1474" s="30"/>
      <c r="D1474" s="30"/>
      <c r="E1474" s="30"/>
      <c r="F1474" s="30"/>
      <c r="G1474" s="30"/>
      <c r="H1474" s="30"/>
      <c r="I1474" s="30"/>
      <c r="J1474" s="30"/>
      <c r="K1474" s="30"/>
      <c r="L1474" s="30"/>
      <c r="M1474" s="30"/>
      <c r="N1474" s="30" t="str" cm="1">
        <f t="array" ref="N1474">Main_Log_Status(Main_Log[[#This Row],[Carrier]],Main_Log[[#This Row],[Net Weight]])</f>
        <v/>
      </c>
      <c r="O1474" s="30"/>
      <c r="P147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74" s="30"/>
      <c r="R1474" s="30" t="str" cm="1">
        <f t="array" ref="R1474">Main_Log_Ref(Main_Log[[#This Row],[Carrier]])</f>
        <v/>
      </c>
    </row>
    <row r="1475" spans="1:18" ht="29.85" customHeight="1" x14ac:dyDescent="0.45">
      <c r="A1475" s="30">
        <v>87</v>
      </c>
      <c r="B1475" s="30"/>
      <c r="C1475" s="30"/>
      <c r="D1475" s="30"/>
      <c r="E1475" s="30"/>
      <c r="F1475" s="30"/>
      <c r="G1475" s="30"/>
      <c r="H1475" s="30"/>
      <c r="I1475" s="30"/>
      <c r="J1475" s="30"/>
      <c r="K1475" s="30"/>
      <c r="L1475" s="30"/>
      <c r="M1475" s="30"/>
      <c r="N1475" s="30" t="str" cm="1">
        <f t="array" ref="N1475">Main_Log_Status(Main_Log[[#This Row],[Carrier]],Main_Log[[#This Row],[Net Weight]])</f>
        <v/>
      </c>
      <c r="O1475" s="30"/>
      <c r="P147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75" s="30"/>
      <c r="R1475" s="30" t="str" cm="1">
        <f t="array" ref="R1475">Main_Log_Ref(Main_Log[[#This Row],[Carrier]])</f>
        <v/>
      </c>
    </row>
    <row r="1476" spans="1:18" ht="29.85" customHeight="1" x14ac:dyDescent="0.45">
      <c r="A1476" s="30">
        <v>88</v>
      </c>
      <c r="B1476" s="30"/>
      <c r="C1476" s="30"/>
      <c r="D1476" s="30"/>
      <c r="E1476" s="30"/>
      <c r="F1476" s="30"/>
      <c r="G1476" s="30"/>
      <c r="H1476" s="30"/>
      <c r="I1476" s="30"/>
      <c r="J1476" s="30"/>
      <c r="K1476" s="30"/>
      <c r="L1476" s="30"/>
      <c r="M1476" s="30"/>
      <c r="N1476" s="30" t="str" cm="1">
        <f t="array" ref="N1476">Main_Log_Status(Main_Log[[#This Row],[Carrier]],Main_Log[[#This Row],[Net Weight]])</f>
        <v/>
      </c>
      <c r="O1476" s="30"/>
      <c r="P147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76" s="30"/>
      <c r="R1476" s="30" t="str" cm="1">
        <f t="array" ref="R1476">Main_Log_Ref(Main_Log[[#This Row],[Carrier]])</f>
        <v/>
      </c>
    </row>
    <row r="1477" spans="1:18" ht="29.85" customHeight="1" x14ac:dyDescent="0.45">
      <c r="A1477" s="30">
        <v>89</v>
      </c>
      <c r="B1477" s="30"/>
      <c r="C1477" s="30"/>
      <c r="D1477" s="30"/>
      <c r="E1477" s="30"/>
      <c r="F1477" s="30"/>
      <c r="G1477" s="30"/>
      <c r="H1477" s="30"/>
      <c r="I1477" s="30"/>
      <c r="J1477" s="30"/>
      <c r="K1477" s="30"/>
      <c r="L1477" s="30"/>
      <c r="M1477" s="30"/>
      <c r="N1477" s="30" t="str" cm="1">
        <f t="array" ref="N1477">Main_Log_Status(Main_Log[[#This Row],[Carrier]],Main_Log[[#This Row],[Net Weight]])</f>
        <v/>
      </c>
      <c r="O1477" s="30"/>
      <c r="P147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77" s="30"/>
      <c r="R1477" s="30" t="str" cm="1">
        <f t="array" ref="R1477">Main_Log_Ref(Main_Log[[#This Row],[Carrier]])</f>
        <v/>
      </c>
    </row>
    <row r="1478" spans="1:18" ht="29.85" customHeight="1" x14ac:dyDescent="0.45">
      <c r="A1478" s="30">
        <v>90</v>
      </c>
      <c r="B1478" s="30"/>
      <c r="C1478" s="30"/>
      <c r="D1478" s="30"/>
      <c r="E1478" s="30"/>
      <c r="F1478" s="30"/>
      <c r="G1478" s="30"/>
      <c r="H1478" s="30"/>
      <c r="I1478" s="30"/>
      <c r="J1478" s="30"/>
      <c r="K1478" s="30"/>
      <c r="L1478" s="30"/>
      <c r="M1478" s="30"/>
      <c r="N1478" s="30" t="str" cm="1">
        <f t="array" ref="N1478">Main_Log_Status(Main_Log[[#This Row],[Carrier]],Main_Log[[#This Row],[Net Weight]])</f>
        <v/>
      </c>
      <c r="O1478" s="30"/>
      <c r="P147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78" s="30"/>
      <c r="R1478" s="30" t="str" cm="1">
        <f t="array" ref="R1478">Main_Log_Ref(Main_Log[[#This Row],[Carrier]])</f>
        <v/>
      </c>
    </row>
    <row r="1479" spans="1:18" ht="29.85" customHeight="1" x14ac:dyDescent="0.45">
      <c r="A1479" s="30">
        <v>91</v>
      </c>
      <c r="B1479" s="30"/>
      <c r="C1479" s="30"/>
      <c r="D1479" s="30"/>
      <c r="E1479" s="30"/>
      <c r="F1479" s="30"/>
      <c r="G1479" s="30"/>
      <c r="H1479" s="30"/>
      <c r="I1479" s="30"/>
      <c r="J1479" s="30"/>
      <c r="K1479" s="30"/>
      <c r="L1479" s="30"/>
      <c r="M1479" s="30"/>
      <c r="N1479" s="30" t="str" cm="1">
        <f t="array" ref="N1479">Main_Log_Status(Main_Log[[#This Row],[Carrier]],Main_Log[[#This Row],[Net Weight]])</f>
        <v/>
      </c>
      <c r="O1479" s="30"/>
      <c r="P147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79" s="30"/>
      <c r="R1479" s="30" t="str" cm="1">
        <f t="array" ref="R1479">Main_Log_Ref(Main_Log[[#This Row],[Carrier]])</f>
        <v/>
      </c>
    </row>
    <row r="1480" spans="1:18" ht="29.85" customHeight="1" x14ac:dyDescent="0.45">
      <c r="A1480" s="30">
        <v>92</v>
      </c>
      <c r="B1480" s="30"/>
      <c r="C1480" s="30"/>
      <c r="D1480" s="30"/>
      <c r="E1480" s="30"/>
      <c r="F1480" s="30"/>
      <c r="G1480" s="30"/>
      <c r="H1480" s="30"/>
      <c r="I1480" s="30"/>
      <c r="J1480" s="30"/>
      <c r="K1480" s="30"/>
      <c r="L1480" s="30"/>
      <c r="M1480" s="30"/>
      <c r="N1480" s="30" t="str" cm="1">
        <f t="array" ref="N1480">Main_Log_Status(Main_Log[[#This Row],[Carrier]],Main_Log[[#This Row],[Net Weight]])</f>
        <v/>
      </c>
      <c r="O1480" s="30"/>
      <c r="P148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80" s="30"/>
      <c r="R1480" s="30" t="str" cm="1">
        <f t="array" ref="R1480">Main_Log_Ref(Main_Log[[#This Row],[Carrier]])</f>
        <v/>
      </c>
    </row>
    <row r="1481" spans="1:18" ht="29.85" customHeight="1" x14ac:dyDescent="0.45">
      <c r="A1481" s="30">
        <v>93</v>
      </c>
      <c r="B1481" s="30"/>
      <c r="C1481" s="30"/>
      <c r="D1481" s="30"/>
      <c r="E1481" s="30"/>
      <c r="F1481" s="30"/>
      <c r="G1481" s="30"/>
      <c r="H1481" s="30"/>
      <c r="I1481" s="30"/>
      <c r="J1481" s="30"/>
      <c r="K1481" s="30"/>
      <c r="L1481" s="30"/>
      <c r="M1481" s="30"/>
      <c r="N1481" s="30" t="str" cm="1">
        <f t="array" ref="N1481">Main_Log_Status(Main_Log[[#This Row],[Carrier]],Main_Log[[#This Row],[Net Weight]])</f>
        <v/>
      </c>
      <c r="O1481" s="30"/>
      <c r="P148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81" s="30"/>
      <c r="R1481" s="30" t="str" cm="1">
        <f t="array" ref="R1481">Main_Log_Ref(Main_Log[[#This Row],[Carrier]])</f>
        <v/>
      </c>
    </row>
    <row r="1482" spans="1:18" ht="29.85" customHeight="1" x14ac:dyDescent="0.45">
      <c r="A1482" s="30">
        <v>94</v>
      </c>
      <c r="B1482" s="30"/>
      <c r="C1482" s="30"/>
      <c r="D1482" s="30"/>
      <c r="E1482" s="30"/>
      <c r="F1482" s="30"/>
      <c r="G1482" s="30"/>
      <c r="H1482" s="30"/>
      <c r="I1482" s="30"/>
      <c r="J1482" s="30"/>
      <c r="K1482" s="30"/>
      <c r="L1482" s="30"/>
      <c r="M1482" s="30"/>
      <c r="N1482" s="30" t="str" cm="1">
        <f t="array" ref="N1482">Main_Log_Status(Main_Log[[#This Row],[Carrier]],Main_Log[[#This Row],[Net Weight]])</f>
        <v/>
      </c>
      <c r="O1482" s="30"/>
      <c r="P148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82" s="30"/>
      <c r="R1482" s="30" t="str" cm="1">
        <f t="array" ref="R1482">Main_Log_Ref(Main_Log[[#This Row],[Carrier]])</f>
        <v/>
      </c>
    </row>
    <row r="1483" spans="1:18" ht="29.85" customHeight="1" x14ac:dyDescent="0.45">
      <c r="A1483" s="30">
        <v>95</v>
      </c>
      <c r="B1483" s="30"/>
      <c r="C1483" s="30"/>
      <c r="D1483" s="30"/>
      <c r="E1483" s="30"/>
      <c r="F1483" s="30"/>
      <c r="G1483" s="30"/>
      <c r="H1483" s="30"/>
      <c r="I1483" s="30"/>
      <c r="J1483" s="30"/>
      <c r="K1483" s="30"/>
      <c r="L1483" s="30"/>
      <c r="M1483" s="30"/>
      <c r="N1483" s="30" t="str" cm="1">
        <f t="array" ref="N1483">Main_Log_Status(Main_Log[[#This Row],[Carrier]],Main_Log[[#This Row],[Net Weight]])</f>
        <v/>
      </c>
      <c r="O1483" s="30"/>
      <c r="P148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83" s="30"/>
      <c r="R1483" s="30" t="str" cm="1">
        <f t="array" ref="R1483">Main_Log_Ref(Main_Log[[#This Row],[Carrier]])</f>
        <v/>
      </c>
    </row>
    <row r="1484" spans="1:18" ht="29.85" customHeight="1" x14ac:dyDescent="0.45">
      <c r="A1484" s="30">
        <v>96</v>
      </c>
      <c r="B1484" s="30"/>
      <c r="C1484" s="30"/>
      <c r="D1484" s="30"/>
      <c r="E1484" s="30"/>
      <c r="F1484" s="30"/>
      <c r="G1484" s="30"/>
      <c r="H1484" s="30"/>
      <c r="I1484" s="30"/>
      <c r="J1484" s="30"/>
      <c r="K1484" s="30"/>
      <c r="L1484" s="30"/>
      <c r="M1484" s="30"/>
      <c r="N1484" s="30" t="str" cm="1">
        <f t="array" ref="N1484">Main_Log_Status(Main_Log[[#This Row],[Carrier]],Main_Log[[#This Row],[Net Weight]])</f>
        <v/>
      </c>
      <c r="O1484" s="30"/>
      <c r="P148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84" s="30"/>
      <c r="R1484" s="30" t="str" cm="1">
        <f t="array" ref="R1484">Main_Log_Ref(Main_Log[[#This Row],[Carrier]])</f>
        <v/>
      </c>
    </row>
    <row r="1485" spans="1:18" ht="29.85" customHeight="1" x14ac:dyDescent="0.45">
      <c r="A1485" s="30">
        <v>97</v>
      </c>
      <c r="B1485" s="30"/>
      <c r="C1485" s="30"/>
      <c r="D1485" s="30"/>
      <c r="E1485" s="30"/>
      <c r="F1485" s="30"/>
      <c r="G1485" s="30"/>
      <c r="H1485" s="30"/>
      <c r="I1485" s="30"/>
      <c r="J1485" s="30"/>
      <c r="K1485" s="30"/>
      <c r="L1485" s="30"/>
      <c r="M1485" s="30"/>
      <c r="N1485" s="30" t="str" cm="1">
        <f t="array" ref="N1485">Main_Log_Status(Main_Log[[#This Row],[Carrier]],Main_Log[[#This Row],[Net Weight]])</f>
        <v/>
      </c>
      <c r="O1485" s="30"/>
      <c r="P148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85" s="30"/>
      <c r="R1485" s="30" t="str" cm="1">
        <f t="array" ref="R1485">Main_Log_Ref(Main_Log[[#This Row],[Carrier]])</f>
        <v/>
      </c>
    </row>
    <row r="1486" spans="1:18" ht="29.85" customHeight="1" x14ac:dyDescent="0.45">
      <c r="A1486" s="30">
        <v>98</v>
      </c>
      <c r="B1486" s="30"/>
      <c r="C1486" s="30"/>
      <c r="D1486" s="30"/>
      <c r="E1486" s="30"/>
      <c r="F1486" s="30"/>
      <c r="G1486" s="30"/>
      <c r="H1486" s="30"/>
      <c r="I1486" s="30"/>
      <c r="J1486" s="30"/>
      <c r="K1486" s="30"/>
      <c r="L1486" s="30"/>
      <c r="M1486" s="30"/>
      <c r="N1486" s="30" t="str" cm="1">
        <f t="array" ref="N1486">Main_Log_Status(Main_Log[[#This Row],[Carrier]],Main_Log[[#This Row],[Net Weight]])</f>
        <v/>
      </c>
      <c r="O1486" s="30"/>
      <c r="P148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86" s="30"/>
      <c r="R1486" s="30" t="str" cm="1">
        <f t="array" ref="R1486">Main_Log_Ref(Main_Log[[#This Row],[Carrier]])</f>
        <v/>
      </c>
    </row>
    <row r="1487" spans="1:18" ht="29.85" customHeight="1" x14ac:dyDescent="0.45">
      <c r="A1487" s="30">
        <v>99</v>
      </c>
      <c r="B1487" s="30"/>
      <c r="C1487" s="30"/>
      <c r="D1487" s="30"/>
      <c r="E1487" s="30"/>
      <c r="F1487" s="30"/>
      <c r="G1487" s="30"/>
      <c r="H1487" s="30"/>
      <c r="I1487" s="30"/>
      <c r="J1487" s="30"/>
      <c r="K1487" s="30"/>
      <c r="L1487" s="30"/>
      <c r="M1487" s="30"/>
      <c r="N1487" s="30" t="str" cm="1">
        <f t="array" ref="N1487">Main_Log_Status(Main_Log[[#This Row],[Carrier]],Main_Log[[#This Row],[Net Weight]])</f>
        <v/>
      </c>
      <c r="O1487" s="30"/>
      <c r="P148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87" s="30"/>
      <c r="R1487" s="30" t="str" cm="1">
        <f t="array" ref="R1487">Main_Log_Ref(Main_Log[[#This Row],[Carrier]])</f>
        <v/>
      </c>
    </row>
    <row r="1488" spans="1:18" ht="29.85" customHeight="1" x14ac:dyDescent="0.45">
      <c r="A1488" s="30">
        <v>1</v>
      </c>
      <c r="B1488" s="30"/>
      <c r="C1488" s="30"/>
      <c r="D1488" s="30"/>
      <c r="E1488" s="30"/>
      <c r="F1488" s="30"/>
      <c r="G1488" s="30"/>
      <c r="H1488" s="30"/>
      <c r="I1488" s="30"/>
      <c r="J1488" s="30"/>
      <c r="K1488" s="30"/>
      <c r="L1488" s="30"/>
      <c r="M1488" s="30"/>
      <c r="N1488" s="30" t="str" cm="1">
        <f t="array" ref="N1488">Main_Log_Status(Main_Log[[#This Row],[Carrier]],Main_Log[[#This Row],[Net Weight]])</f>
        <v/>
      </c>
      <c r="O1488" s="30"/>
      <c r="P148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88" s="30"/>
      <c r="R1488" s="30" t="str" cm="1">
        <f t="array" ref="R1488">Main_Log_Ref(Main_Log[[#This Row],[Carrier]])</f>
        <v/>
      </c>
    </row>
    <row r="1489" spans="1:18" ht="29.85" customHeight="1" x14ac:dyDescent="0.45">
      <c r="A1489" s="30">
        <v>2</v>
      </c>
      <c r="B1489" s="30"/>
      <c r="C1489" s="30"/>
      <c r="D1489" s="30"/>
      <c r="E1489" s="30"/>
      <c r="F1489" s="30"/>
      <c r="G1489" s="30"/>
      <c r="H1489" s="30"/>
      <c r="I1489" s="30"/>
      <c r="J1489" s="30"/>
      <c r="K1489" s="30"/>
      <c r="L1489" s="30"/>
      <c r="M1489" s="30"/>
      <c r="N1489" s="30" t="str" cm="1">
        <f t="array" ref="N1489">Main_Log_Status(Main_Log[[#This Row],[Carrier]],Main_Log[[#This Row],[Net Weight]])</f>
        <v/>
      </c>
      <c r="O1489" s="30"/>
      <c r="P148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89" s="30"/>
      <c r="R1489" s="30" t="str" cm="1">
        <f t="array" ref="R1489">Main_Log_Ref(Main_Log[[#This Row],[Carrier]])</f>
        <v/>
      </c>
    </row>
    <row r="1490" spans="1:18" ht="29.85" customHeight="1" x14ac:dyDescent="0.45">
      <c r="A1490" s="30">
        <v>3</v>
      </c>
      <c r="B1490" s="30"/>
      <c r="C1490" s="30"/>
      <c r="D1490" s="30"/>
      <c r="E1490" s="30"/>
      <c r="F1490" s="30"/>
      <c r="G1490" s="30"/>
      <c r="H1490" s="30"/>
      <c r="I1490" s="30"/>
      <c r="J1490" s="30"/>
      <c r="K1490" s="30"/>
      <c r="L1490" s="30"/>
      <c r="M1490" s="30"/>
      <c r="N1490" s="30" t="str" cm="1">
        <f t="array" ref="N1490">Main_Log_Status(Main_Log[[#This Row],[Carrier]],Main_Log[[#This Row],[Net Weight]])</f>
        <v/>
      </c>
      <c r="O1490" s="30"/>
      <c r="P149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90" s="30"/>
      <c r="R1490" s="30" t="str" cm="1">
        <f t="array" ref="R1490">Main_Log_Ref(Main_Log[[#This Row],[Carrier]])</f>
        <v/>
      </c>
    </row>
    <row r="1491" spans="1:18" ht="29.85" customHeight="1" x14ac:dyDescent="0.45">
      <c r="A1491" s="30">
        <v>4</v>
      </c>
      <c r="B1491" s="30"/>
      <c r="C1491" s="30"/>
      <c r="D1491" s="30"/>
      <c r="E1491" s="30"/>
      <c r="F1491" s="30"/>
      <c r="G1491" s="30"/>
      <c r="H1491" s="30"/>
      <c r="I1491" s="30"/>
      <c r="J1491" s="30"/>
      <c r="K1491" s="30"/>
      <c r="L1491" s="30"/>
      <c r="M1491" s="30"/>
      <c r="N1491" s="30" t="str" cm="1">
        <f t="array" ref="N1491">Main_Log_Status(Main_Log[[#This Row],[Carrier]],Main_Log[[#This Row],[Net Weight]])</f>
        <v/>
      </c>
      <c r="O1491" s="30"/>
      <c r="P149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91" s="30"/>
      <c r="R1491" s="30" t="str" cm="1">
        <f t="array" ref="R1491">Main_Log_Ref(Main_Log[[#This Row],[Carrier]])</f>
        <v/>
      </c>
    </row>
    <row r="1492" spans="1:18" ht="29.85" customHeight="1" x14ac:dyDescent="0.45">
      <c r="A1492" s="30">
        <v>5</v>
      </c>
      <c r="B1492" s="30"/>
      <c r="C1492" s="30"/>
      <c r="D1492" s="30"/>
      <c r="E1492" s="30"/>
      <c r="F1492" s="30"/>
      <c r="G1492" s="30"/>
      <c r="H1492" s="30"/>
      <c r="I1492" s="30"/>
      <c r="J1492" s="30"/>
      <c r="K1492" s="30"/>
      <c r="L1492" s="30"/>
      <c r="M1492" s="30"/>
      <c r="N1492" s="30" t="str" cm="1">
        <f t="array" ref="N1492">Main_Log_Status(Main_Log[[#This Row],[Carrier]],Main_Log[[#This Row],[Net Weight]])</f>
        <v/>
      </c>
      <c r="O1492" s="30"/>
      <c r="P149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92" s="30"/>
      <c r="R1492" s="30" t="str" cm="1">
        <f t="array" ref="R1492">Main_Log_Ref(Main_Log[[#This Row],[Carrier]])</f>
        <v/>
      </c>
    </row>
    <row r="1493" spans="1:18" ht="29.85" customHeight="1" x14ac:dyDescent="0.45">
      <c r="A1493" s="30">
        <v>6</v>
      </c>
      <c r="B1493" s="30"/>
      <c r="C1493" s="30"/>
      <c r="D1493" s="30"/>
      <c r="E1493" s="30"/>
      <c r="F1493" s="30"/>
      <c r="G1493" s="30"/>
      <c r="H1493" s="30"/>
      <c r="I1493" s="30"/>
      <c r="J1493" s="30"/>
      <c r="K1493" s="30"/>
      <c r="L1493" s="30"/>
      <c r="M1493" s="30"/>
      <c r="N1493" s="30" t="str" cm="1">
        <f t="array" ref="N1493">Main_Log_Status(Main_Log[[#This Row],[Carrier]],Main_Log[[#This Row],[Net Weight]])</f>
        <v/>
      </c>
      <c r="O1493" s="30"/>
      <c r="P149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93" s="30"/>
      <c r="R1493" s="30" t="str" cm="1">
        <f t="array" ref="R1493">Main_Log_Ref(Main_Log[[#This Row],[Carrier]])</f>
        <v/>
      </c>
    </row>
    <row r="1494" spans="1:18" ht="29.85" customHeight="1" x14ac:dyDescent="0.45">
      <c r="A1494" s="30">
        <v>7</v>
      </c>
      <c r="B1494" s="30"/>
      <c r="C1494" s="30"/>
      <c r="D1494" s="30"/>
      <c r="E1494" s="30"/>
      <c r="F1494" s="30"/>
      <c r="G1494" s="30"/>
      <c r="H1494" s="30"/>
      <c r="I1494" s="30"/>
      <c r="J1494" s="30"/>
      <c r="K1494" s="30"/>
      <c r="L1494" s="30"/>
      <c r="M1494" s="30"/>
      <c r="N1494" s="30" t="str" cm="1">
        <f t="array" ref="N1494">Main_Log_Status(Main_Log[[#This Row],[Carrier]],Main_Log[[#This Row],[Net Weight]])</f>
        <v/>
      </c>
      <c r="O1494" s="30"/>
      <c r="P149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94" s="30"/>
      <c r="R1494" s="30" t="str" cm="1">
        <f t="array" ref="R1494">Main_Log_Ref(Main_Log[[#This Row],[Carrier]])</f>
        <v/>
      </c>
    </row>
    <row r="1495" spans="1:18" ht="29.85" customHeight="1" x14ac:dyDescent="0.45">
      <c r="A1495" s="30">
        <v>8</v>
      </c>
      <c r="B1495" s="30"/>
      <c r="C1495" s="30"/>
      <c r="D1495" s="30"/>
      <c r="E1495" s="30"/>
      <c r="F1495" s="30"/>
      <c r="G1495" s="30"/>
      <c r="H1495" s="30"/>
      <c r="I1495" s="30"/>
      <c r="J1495" s="30"/>
      <c r="K1495" s="30"/>
      <c r="L1495" s="30"/>
      <c r="M1495" s="30"/>
      <c r="N1495" s="30" t="str" cm="1">
        <f t="array" ref="N1495">Main_Log_Status(Main_Log[[#This Row],[Carrier]],Main_Log[[#This Row],[Net Weight]])</f>
        <v/>
      </c>
      <c r="O1495" s="30"/>
      <c r="P149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95" s="30"/>
      <c r="R1495" s="30" t="str" cm="1">
        <f t="array" ref="R1495">Main_Log_Ref(Main_Log[[#This Row],[Carrier]])</f>
        <v/>
      </c>
    </row>
    <row r="1496" spans="1:18" ht="29.85" customHeight="1" x14ac:dyDescent="0.45">
      <c r="A1496" s="30">
        <v>9</v>
      </c>
      <c r="B1496" s="30"/>
      <c r="C1496" s="30"/>
      <c r="D1496" s="30"/>
      <c r="E1496" s="30"/>
      <c r="F1496" s="30"/>
      <c r="G1496" s="30"/>
      <c r="H1496" s="30"/>
      <c r="I1496" s="30"/>
      <c r="J1496" s="30"/>
      <c r="K1496" s="30"/>
      <c r="L1496" s="30"/>
      <c r="M1496" s="30"/>
      <c r="N1496" s="30" t="str" cm="1">
        <f t="array" ref="N1496">Main_Log_Status(Main_Log[[#This Row],[Carrier]],Main_Log[[#This Row],[Net Weight]])</f>
        <v/>
      </c>
      <c r="O1496" s="30"/>
      <c r="P149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96" s="30"/>
      <c r="R1496" s="30" t="str" cm="1">
        <f t="array" ref="R1496">Main_Log_Ref(Main_Log[[#This Row],[Carrier]])</f>
        <v/>
      </c>
    </row>
    <row r="1497" spans="1:18" ht="29.85" customHeight="1" x14ac:dyDescent="0.45">
      <c r="A1497" s="30">
        <v>10</v>
      </c>
      <c r="B1497" s="30"/>
      <c r="C1497" s="30"/>
      <c r="D1497" s="30"/>
      <c r="E1497" s="30"/>
      <c r="F1497" s="30"/>
      <c r="G1497" s="30"/>
      <c r="H1497" s="30"/>
      <c r="I1497" s="30"/>
      <c r="J1497" s="30"/>
      <c r="K1497" s="30"/>
      <c r="L1497" s="30"/>
      <c r="M1497" s="30"/>
      <c r="N1497" s="30" t="str" cm="1">
        <f t="array" ref="N1497">Main_Log_Status(Main_Log[[#This Row],[Carrier]],Main_Log[[#This Row],[Net Weight]])</f>
        <v/>
      </c>
      <c r="O1497" s="30"/>
      <c r="P149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97" s="30"/>
      <c r="R1497" s="30" t="str" cm="1">
        <f t="array" ref="R1497">Main_Log_Ref(Main_Log[[#This Row],[Carrier]])</f>
        <v/>
      </c>
    </row>
    <row r="1498" spans="1:18" ht="29.85" customHeight="1" x14ac:dyDescent="0.45">
      <c r="A1498" s="30">
        <v>11</v>
      </c>
      <c r="B1498" s="30"/>
      <c r="C1498" s="30"/>
      <c r="D1498" s="30"/>
      <c r="E1498" s="30"/>
      <c r="F1498" s="30"/>
      <c r="G1498" s="30"/>
      <c r="H1498" s="30"/>
      <c r="I1498" s="30"/>
      <c r="J1498" s="30"/>
      <c r="K1498" s="30"/>
      <c r="L1498" s="30"/>
      <c r="M1498" s="30"/>
      <c r="N1498" s="30" t="str" cm="1">
        <f t="array" ref="N1498">Main_Log_Status(Main_Log[[#This Row],[Carrier]],Main_Log[[#This Row],[Net Weight]])</f>
        <v/>
      </c>
      <c r="O1498" s="30"/>
      <c r="P149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98" s="30"/>
      <c r="R1498" s="30" t="str" cm="1">
        <f t="array" ref="R1498">Main_Log_Ref(Main_Log[[#This Row],[Carrier]])</f>
        <v/>
      </c>
    </row>
    <row r="1499" spans="1:18" ht="29.85" customHeight="1" x14ac:dyDescent="0.45">
      <c r="A1499" s="30">
        <v>12</v>
      </c>
      <c r="B1499" s="30"/>
      <c r="C1499" s="30"/>
      <c r="D1499" s="30"/>
      <c r="E1499" s="30"/>
      <c r="F1499" s="30"/>
      <c r="G1499" s="30"/>
      <c r="H1499" s="30"/>
      <c r="I1499" s="30"/>
      <c r="J1499" s="30"/>
      <c r="K1499" s="30"/>
      <c r="L1499" s="30"/>
      <c r="M1499" s="30"/>
      <c r="N1499" s="30" t="str" cm="1">
        <f t="array" ref="N1499">Main_Log_Status(Main_Log[[#This Row],[Carrier]],Main_Log[[#This Row],[Net Weight]])</f>
        <v/>
      </c>
      <c r="O1499" s="30"/>
      <c r="P149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499" s="30"/>
      <c r="R1499" s="30" t="str" cm="1">
        <f t="array" ref="R1499">Main_Log_Ref(Main_Log[[#This Row],[Carrier]])</f>
        <v/>
      </c>
    </row>
    <row r="1500" spans="1:18" ht="29.85" customHeight="1" x14ac:dyDescent="0.45">
      <c r="A1500" s="30">
        <v>13</v>
      </c>
      <c r="B1500" s="30"/>
      <c r="C1500" s="30"/>
      <c r="D1500" s="30"/>
      <c r="E1500" s="30"/>
      <c r="F1500" s="30"/>
      <c r="G1500" s="30"/>
      <c r="H1500" s="30"/>
      <c r="I1500" s="30"/>
      <c r="J1500" s="30"/>
      <c r="K1500" s="30"/>
      <c r="L1500" s="30"/>
      <c r="M1500" s="30"/>
      <c r="N1500" s="30" t="str" cm="1">
        <f t="array" ref="N1500">Main_Log_Status(Main_Log[[#This Row],[Carrier]],Main_Log[[#This Row],[Net Weight]])</f>
        <v/>
      </c>
      <c r="O1500" s="30"/>
      <c r="P150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00" s="30"/>
      <c r="R1500" s="30" t="str" cm="1">
        <f t="array" ref="R1500">Main_Log_Ref(Main_Log[[#This Row],[Carrier]])</f>
        <v/>
      </c>
    </row>
    <row r="1501" spans="1:18" ht="29.85" customHeight="1" x14ac:dyDescent="0.45">
      <c r="A1501" s="30">
        <v>14</v>
      </c>
      <c r="B1501" s="30"/>
      <c r="C1501" s="30"/>
      <c r="D1501" s="30"/>
      <c r="E1501" s="30"/>
      <c r="F1501" s="30"/>
      <c r="G1501" s="30"/>
      <c r="H1501" s="30"/>
      <c r="I1501" s="30"/>
      <c r="J1501" s="30"/>
      <c r="K1501" s="30"/>
      <c r="L1501" s="30"/>
      <c r="M1501" s="30"/>
      <c r="N1501" s="30" t="str" cm="1">
        <f t="array" ref="N1501">Main_Log_Status(Main_Log[[#This Row],[Carrier]],Main_Log[[#This Row],[Net Weight]])</f>
        <v/>
      </c>
      <c r="O1501" s="30"/>
      <c r="P150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01" s="30"/>
      <c r="R1501" s="30" t="str" cm="1">
        <f t="array" ref="R1501">Main_Log_Ref(Main_Log[[#This Row],[Carrier]])</f>
        <v/>
      </c>
    </row>
    <row r="1502" spans="1:18" ht="29.85" customHeight="1" x14ac:dyDescent="0.45">
      <c r="A1502" s="30">
        <v>15</v>
      </c>
      <c r="B1502" s="30"/>
      <c r="C1502" s="30"/>
      <c r="D1502" s="30"/>
      <c r="E1502" s="30"/>
      <c r="F1502" s="30"/>
      <c r="G1502" s="30"/>
      <c r="H1502" s="30"/>
      <c r="I1502" s="30"/>
      <c r="J1502" s="30"/>
      <c r="K1502" s="30"/>
      <c r="L1502" s="30"/>
      <c r="M1502" s="30"/>
      <c r="N1502" s="30" t="str" cm="1">
        <f t="array" ref="N1502">Main_Log_Status(Main_Log[[#This Row],[Carrier]],Main_Log[[#This Row],[Net Weight]])</f>
        <v/>
      </c>
      <c r="O1502" s="30"/>
      <c r="P150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02" s="30"/>
      <c r="R1502" s="30" t="str" cm="1">
        <f t="array" ref="R1502">Main_Log_Ref(Main_Log[[#This Row],[Carrier]])</f>
        <v/>
      </c>
    </row>
    <row r="1503" spans="1:18" ht="29.85" customHeight="1" x14ac:dyDescent="0.45">
      <c r="A1503" s="30">
        <v>16</v>
      </c>
      <c r="B1503" s="30"/>
      <c r="C1503" s="30"/>
      <c r="D1503" s="30"/>
      <c r="E1503" s="30"/>
      <c r="F1503" s="30"/>
      <c r="G1503" s="30"/>
      <c r="H1503" s="30"/>
      <c r="I1503" s="30"/>
      <c r="J1503" s="30"/>
      <c r="K1503" s="30"/>
      <c r="L1503" s="30"/>
      <c r="M1503" s="30"/>
      <c r="N1503" s="30" t="str" cm="1">
        <f t="array" ref="N1503">Main_Log_Status(Main_Log[[#This Row],[Carrier]],Main_Log[[#This Row],[Net Weight]])</f>
        <v/>
      </c>
      <c r="O1503" s="30"/>
      <c r="P150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03" s="30"/>
      <c r="R1503" s="30" t="str" cm="1">
        <f t="array" ref="R1503">Main_Log_Ref(Main_Log[[#This Row],[Carrier]])</f>
        <v/>
      </c>
    </row>
    <row r="1504" spans="1:18" ht="29.85" customHeight="1" x14ac:dyDescent="0.45">
      <c r="A1504" s="30">
        <v>17</v>
      </c>
      <c r="B1504" s="30"/>
      <c r="C1504" s="30"/>
      <c r="D1504" s="30"/>
      <c r="E1504" s="30"/>
      <c r="F1504" s="30"/>
      <c r="G1504" s="30"/>
      <c r="H1504" s="30"/>
      <c r="I1504" s="30"/>
      <c r="J1504" s="30"/>
      <c r="K1504" s="30"/>
      <c r="L1504" s="30"/>
      <c r="M1504" s="30"/>
      <c r="N1504" s="30" t="str" cm="1">
        <f t="array" ref="N1504">Main_Log_Status(Main_Log[[#This Row],[Carrier]],Main_Log[[#This Row],[Net Weight]])</f>
        <v/>
      </c>
      <c r="O1504" s="30"/>
      <c r="P150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04" s="30"/>
      <c r="R1504" s="30" t="str" cm="1">
        <f t="array" ref="R1504">Main_Log_Ref(Main_Log[[#This Row],[Carrier]])</f>
        <v/>
      </c>
    </row>
    <row r="1505" spans="1:18" ht="29.85" customHeight="1" x14ac:dyDescent="0.45">
      <c r="A1505" s="30">
        <v>18</v>
      </c>
      <c r="B1505" s="30"/>
      <c r="C1505" s="30"/>
      <c r="D1505" s="30"/>
      <c r="E1505" s="30"/>
      <c r="F1505" s="30"/>
      <c r="G1505" s="30"/>
      <c r="H1505" s="30"/>
      <c r="I1505" s="30"/>
      <c r="J1505" s="30"/>
      <c r="K1505" s="30"/>
      <c r="L1505" s="30"/>
      <c r="M1505" s="30"/>
      <c r="N1505" s="30" t="str" cm="1">
        <f t="array" ref="N1505">Main_Log_Status(Main_Log[[#This Row],[Carrier]],Main_Log[[#This Row],[Net Weight]])</f>
        <v/>
      </c>
      <c r="O1505" s="30"/>
      <c r="P150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05" s="30"/>
      <c r="R1505" s="30" t="str" cm="1">
        <f t="array" ref="R1505">Main_Log_Ref(Main_Log[[#This Row],[Carrier]])</f>
        <v/>
      </c>
    </row>
    <row r="1506" spans="1:18" ht="29.85" customHeight="1" x14ac:dyDescent="0.45">
      <c r="A1506" s="30">
        <v>19</v>
      </c>
      <c r="B1506" s="30"/>
      <c r="C1506" s="30"/>
      <c r="D1506" s="30"/>
      <c r="E1506" s="30"/>
      <c r="F1506" s="30"/>
      <c r="G1506" s="30"/>
      <c r="H1506" s="30"/>
      <c r="I1506" s="30"/>
      <c r="J1506" s="30"/>
      <c r="K1506" s="30"/>
      <c r="L1506" s="30"/>
      <c r="M1506" s="30"/>
      <c r="N1506" s="30" t="str" cm="1">
        <f t="array" ref="N1506">Main_Log_Status(Main_Log[[#This Row],[Carrier]],Main_Log[[#This Row],[Net Weight]])</f>
        <v/>
      </c>
      <c r="O1506" s="30"/>
      <c r="P150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06" s="30"/>
      <c r="R1506" s="30" t="str" cm="1">
        <f t="array" ref="R1506">Main_Log_Ref(Main_Log[[#This Row],[Carrier]])</f>
        <v/>
      </c>
    </row>
    <row r="1507" spans="1:18" ht="29.85" customHeight="1" x14ac:dyDescent="0.45">
      <c r="A1507" s="30">
        <v>20</v>
      </c>
      <c r="B1507" s="30"/>
      <c r="C1507" s="30"/>
      <c r="D1507" s="30"/>
      <c r="E1507" s="30"/>
      <c r="F1507" s="30"/>
      <c r="G1507" s="30"/>
      <c r="H1507" s="30"/>
      <c r="I1507" s="30"/>
      <c r="J1507" s="30"/>
      <c r="K1507" s="30"/>
      <c r="L1507" s="30"/>
      <c r="M1507" s="30"/>
      <c r="N1507" s="30" t="str" cm="1">
        <f t="array" ref="N1507">Main_Log_Status(Main_Log[[#This Row],[Carrier]],Main_Log[[#This Row],[Net Weight]])</f>
        <v/>
      </c>
      <c r="O1507" s="30"/>
      <c r="P150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07" s="30"/>
      <c r="R1507" s="30" t="str" cm="1">
        <f t="array" ref="R1507">Main_Log_Ref(Main_Log[[#This Row],[Carrier]])</f>
        <v/>
      </c>
    </row>
    <row r="1508" spans="1:18" ht="29.85" customHeight="1" x14ac:dyDescent="0.45">
      <c r="A1508" s="30">
        <v>21</v>
      </c>
      <c r="B1508" s="30"/>
      <c r="C1508" s="30"/>
      <c r="D1508" s="30"/>
      <c r="E1508" s="30"/>
      <c r="F1508" s="30"/>
      <c r="G1508" s="30"/>
      <c r="H1508" s="30"/>
      <c r="I1508" s="30"/>
      <c r="J1508" s="30"/>
      <c r="K1508" s="30"/>
      <c r="L1508" s="30"/>
      <c r="M1508" s="30"/>
      <c r="N1508" s="30" t="str" cm="1">
        <f t="array" ref="N1508">Main_Log_Status(Main_Log[[#This Row],[Carrier]],Main_Log[[#This Row],[Net Weight]])</f>
        <v/>
      </c>
      <c r="O1508" s="30"/>
      <c r="P150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08" s="30"/>
      <c r="R1508" s="30" t="str" cm="1">
        <f t="array" ref="R1508">Main_Log_Ref(Main_Log[[#This Row],[Carrier]])</f>
        <v/>
      </c>
    </row>
    <row r="1509" spans="1:18" ht="29.85" customHeight="1" x14ac:dyDescent="0.45">
      <c r="A1509" s="30">
        <v>22</v>
      </c>
      <c r="B1509" s="30"/>
      <c r="C1509" s="30"/>
      <c r="D1509" s="30"/>
      <c r="E1509" s="30"/>
      <c r="F1509" s="30"/>
      <c r="G1509" s="30"/>
      <c r="H1509" s="30"/>
      <c r="I1509" s="30"/>
      <c r="J1509" s="30"/>
      <c r="K1509" s="30"/>
      <c r="L1509" s="30"/>
      <c r="M1509" s="30"/>
      <c r="N1509" s="30" t="str" cm="1">
        <f t="array" ref="N1509">Main_Log_Status(Main_Log[[#This Row],[Carrier]],Main_Log[[#This Row],[Net Weight]])</f>
        <v/>
      </c>
      <c r="O1509" s="30"/>
      <c r="P150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09" s="30"/>
      <c r="R1509" s="30" t="str" cm="1">
        <f t="array" ref="R1509">Main_Log_Ref(Main_Log[[#This Row],[Carrier]])</f>
        <v/>
      </c>
    </row>
    <row r="1510" spans="1:18" ht="29.85" customHeight="1" x14ac:dyDescent="0.45">
      <c r="A1510" s="30">
        <v>23</v>
      </c>
      <c r="B1510" s="30"/>
      <c r="C1510" s="30"/>
      <c r="D1510" s="30"/>
      <c r="E1510" s="30"/>
      <c r="F1510" s="30"/>
      <c r="G1510" s="30"/>
      <c r="H1510" s="30"/>
      <c r="I1510" s="30"/>
      <c r="J1510" s="30"/>
      <c r="K1510" s="30"/>
      <c r="L1510" s="30"/>
      <c r="M1510" s="30"/>
      <c r="N1510" s="30" t="str" cm="1">
        <f t="array" ref="N1510">Main_Log_Status(Main_Log[[#This Row],[Carrier]],Main_Log[[#This Row],[Net Weight]])</f>
        <v/>
      </c>
      <c r="O1510" s="30"/>
      <c r="P151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10" s="30"/>
      <c r="R1510" s="30" t="str" cm="1">
        <f t="array" ref="R1510">Main_Log_Ref(Main_Log[[#This Row],[Carrier]])</f>
        <v/>
      </c>
    </row>
    <row r="1511" spans="1:18" ht="29.85" customHeight="1" x14ac:dyDescent="0.45">
      <c r="A1511" s="30">
        <v>24</v>
      </c>
      <c r="B1511" s="30"/>
      <c r="C1511" s="30"/>
      <c r="D1511" s="30"/>
      <c r="E1511" s="30"/>
      <c r="F1511" s="30"/>
      <c r="G1511" s="30"/>
      <c r="H1511" s="30"/>
      <c r="I1511" s="30"/>
      <c r="J1511" s="30"/>
      <c r="K1511" s="30"/>
      <c r="L1511" s="30"/>
      <c r="M1511" s="30"/>
      <c r="N1511" s="30" t="str" cm="1">
        <f t="array" ref="N1511">Main_Log_Status(Main_Log[[#This Row],[Carrier]],Main_Log[[#This Row],[Net Weight]])</f>
        <v/>
      </c>
      <c r="O1511" s="30"/>
      <c r="P151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11" s="30"/>
      <c r="R1511" s="30" t="str" cm="1">
        <f t="array" ref="R1511">Main_Log_Ref(Main_Log[[#This Row],[Carrier]])</f>
        <v/>
      </c>
    </row>
    <row r="1512" spans="1:18" ht="29.85" customHeight="1" x14ac:dyDescent="0.45">
      <c r="A1512" s="30">
        <v>25</v>
      </c>
      <c r="B1512" s="30"/>
      <c r="C1512" s="30"/>
      <c r="D1512" s="30"/>
      <c r="E1512" s="30"/>
      <c r="F1512" s="30"/>
      <c r="G1512" s="30"/>
      <c r="H1512" s="30"/>
      <c r="I1512" s="30"/>
      <c r="J1512" s="30"/>
      <c r="K1512" s="30"/>
      <c r="L1512" s="30"/>
      <c r="M1512" s="30"/>
      <c r="N1512" s="30" t="str" cm="1">
        <f t="array" ref="N1512">Main_Log_Status(Main_Log[[#This Row],[Carrier]],Main_Log[[#This Row],[Net Weight]])</f>
        <v/>
      </c>
      <c r="O1512" s="30"/>
      <c r="P151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12" s="30"/>
      <c r="R1512" s="30" t="str" cm="1">
        <f t="array" ref="R1512">Main_Log_Ref(Main_Log[[#This Row],[Carrier]])</f>
        <v/>
      </c>
    </row>
    <row r="1513" spans="1:18" ht="29.85" customHeight="1" x14ac:dyDescent="0.45">
      <c r="A1513" s="30">
        <v>26</v>
      </c>
      <c r="B1513" s="30"/>
      <c r="C1513" s="30"/>
      <c r="D1513" s="30"/>
      <c r="E1513" s="30"/>
      <c r="F1513" s="30"/>
      <c r="G1513" s="30"/>
      <c r="H1513" s="30"/>
      <c r="I1513" s="30"/>
      <c r="J1513" s="30"/>
      <c r="K1513" s="30"/>
      <c r="L1513" s="30"/>
      <c r="M1513" s="30"/>
      <c r="N1513" s="30" t="str" cm="1">
        <f t="array" ref="N1513">Main_Log_Status(Main_Log[[#This Row],[Carrier]],Main_Log[[#This Row],[Net Weight]])</f>
        <v/>
      </c>
      <c r="O1513" s="30"/>
      <c r="P151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13" s="30"/>
      <c r="R1513" s="30" t="str" cm="1">
        <f t="array" ref="R1513">Main_Log_Ref(Main_Log[[#This Row],[Carrier]])</f>
        <v/>
      </c>
    </row>
    <row r="1514" spans="1:18" ht="29.85" customHeight="1" x14ac:dyDescent="0.45">
      <c r="A1514" s="30">
        <v>27</v>
      </c>
      <c r="B1514" s="30"/>
      <c r="C1514" s="30"/>
      <c r="D1514" s="30"/>
      <c r="E1514" s="30"/>
      <c r="F1514" s="30"/>
      <c r="G1514" s="30"/>
      <c r="H1514" s="30"/>
      <c r="I1514" s="30"/>
      <c r="J1514" s="30"/>
      <c r="K1514" s="30"/>
      <c r="L1514" s="30"/>
      <c r="M1514" s="30"/>
      <c r="N1514" s="30" t="str" cm="1">
        <f t="array" ref="N1514">Main_Log_Status(Main_Log[[#This Row],[Carrier]],Main_Log[[#This Row],[Net Weight]])</f>
        <v/>
      </c>
      <c r="O1514" s="30"/>
      <c r="P151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14" s="30"/>
      <c r="R1514" s="30" t="str" cm="1">
        <f t="array" ref="R1514">Main_Log_Ref(Main_Log[[#This Row],[Carrier]])</f>
        <v/>
      </c>
    </row>
    <row r="1515" spans="1:18" ht="29.85" customHeight="1" x14ac:dyDescent="0.45">
      <c r="A1515" s="30">
        <v>28</v>
      </c>
      <c r="B1515" s="30"/>
      <c r="C1515" s="30"/>
      <c r="D1515" s="30"/>
      <c r="E1515" s="30"/>
      <c r="F1515" s="30"/>
      <c r="G1515" s="30"/>
      <c r="H1515" s="30"/>
      <c r="I1515" s="30"/>
      <c r="J1515" s="30"/>
      <c r="K1515" s="30"/>
      <c r="L1515" s="30"/>
      <c r="M1515" s="30"/>
      <c r="N1515" s="30" t="str" cm="1">
        <f t="array" ref="N1515">Main_Log_Status(Main_Log[[#This Row],[Carrier]],Main_Log[[#This Row],[Net Weight]])</f>
        <v/>
      </c>
      <c r="O1515" s="30"/>
      <c r="P151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15" s="30"/>
      <c r="R1515" s="30" t="str" cm="1">
        <f t="array" ref="R1515">Main_Log_Ref(Main_Log[[#This Row],[Carrier]])</f>
        <v/>
      </c>
    </row>
    <row r="1516" spans="1:18" ht="29.85" customHeight="1" x14ac:dyDescent="0.45">
      <c r="A1516" s="30">
        <v>29</v>
      </c>
      <c r="B1516" s="30"/>
      <c r="C1516" s="30"/>
      <c r="D1516" s="30"/>
      <c r="E1516" s="30"/>
      <c r="F1516" s="30"/>
      <c r="G1516" s="30"/>
      <c r="H1516" s="30"/>
      <c r="I1516" s="30"/>
      <c r="J1516" s="30"/>
      <c r="K1516" s="30"/>
      <c r="L1516" s="30"/>
      <c r="M1516" s="30"/>
      <c r="N1516" s="30" t="str" cm="1">
        <f t="array" ref="N1516">Main_Log_Status(Main_Log[[#This Row],[Carrier]],Main_Log[[#This Row],[Net Weight]])</f>
        <v/>
      </c>
      <c r="O1516" s="30"/>
      <c r="P151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16" s="30"/>
      <c r="R1516" s="30" t="str" cm="1">
        <f t="array" ref="R1516">Main_Log_Ref(Main_Log[[#This Row],[Carrier]])</f>
        <v/>
      </c>
    </row>
    <row r="1517" spans="1:18" ht="29.85" customHeight="1" x14ac:dyDescent="0.45">
      <c r="A1517" s="30">
        <v>30</v>
      </c>
      <c r="B1517" s="30"/>
      <c r="C1517" s="30"/>
      <c r="D1517" s="30"/>
      <c r="E1517" s="30"/>
      <c r="F1517" s="30"/>
      <c r="G1517" s="30"/>
      <c r="H1517" s="30"/>
      <c r="I1517" s="30"/>
      <c r="J1517" s="30"/>
      <c r="K1517" s="30"/>
      <c r="L1517" s="30"/>
      <c r="M1517" s="30"/>
      <c r="N1517" s="30" t="str" cm="1">
        <f t="array" ref="N1517">Main_Log_Status(Main_Log[[#This Row],[Carrier]],Main_Log[[#This Row],[Net Weight]])</f>
        <v/>
      </c>
      <c r="O1517" s="30"/>
      <c r="P151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17" s="30"/>
      <c r="R1517" s="30" t="str" cm="1">
        <f t="array" ref="R1517">Main_Log_Ref(Main_Log[[#This Row],[Carrier]])</f>
        <v/>
      </c>
    </row>
    <row r="1518" spans="1:18" ht="29.85" customHeight="1" x14ac:dyDescent="0.45">
      <c r="A1518" s="30">
        <v>31</v>
      </c>
      <c r="B1518" s="30"/>
      <c r="C1518" s="30"/>
      <c r="D1518" s="30"/>
      <c r="E1518" s="30"/>
      <c r="F1518" s="30"/>
      <c r="G1518" s="30"/>
      <c r="H1518" s="30"/>
      <c r="I1518" s="30"/>
      <c r="J1518" s="30"/>
      <c r="K1518" s="30"/>
      <c r="L1518" s="30"/>
      <c r="M1518" s="30"/>
      <c r="N1518" s="30" t="str" cm="1">
        <f t="array" ref="N1518">Main_Log_Status(Main_Log[[#This Row],[Carrier]],Main_Log[[#This Row],[Net Weight]])</f>
        <v/>
      </c>
      <c r="O1518" s="30"/>
      <c r="P151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18" s="30"/>
      <c r="R1518" s="30" t="str" cm="1">
        <f t="array" ref="R1518">Main_Log_Ref(Main_Log[[#This Row],[Carrier]])</f>
        <v/>
      </c>
    </row>
    <row r="1519" spans="1:18" ht="29.85" customHeight="1" x14ac:dyDescent="0.45">
      <c r="A1519" s="30">
        <v>32</v>
      </c>
      <c r="B1519" s="30"/>
      <c r="C1519" s="30"/>
      <c r="D1519" s="30"/>
      <c r="E1519" s="30"/>
      <c r="F1519" s="30"/>
      <c r="G1519" s="30"/>
      <c r="H1519" s="30"/>
      <c r="I1519" s="30"/>
      <c r="J1519" s="30"/>
      <c r="K1519" s="30"/>
      <c r="L1519" s="30"/>
      <c r="M1519" s="30"/>
      <c r="N1519" s="30" t="str" cm="1">
        <f t="array" ref="N1519">Main_Log_Status(Main_Log[[#This Row],[Carrier]],Main_Log[[#This Row],[Net Weight]])</f>
        <v/>
      </c>
      <c r="O1519" s="30"/>
      <c r="P151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19" s="30"/>
      <c r="R1519" s="30" t="str" cm="1">
        <f t="array" ref="R1519">Main_Log_Ref(Main_Log[[#This Row],[Carrier]])</f>
        <v/>
      </c>
    </row>
    <row r="1520" spans="1:18" ht="29.85" customHeight="1" x14ac:dyDescent="0.45">
      <c r="A1520" s="30">
        <v>33</v>
      </c>
      <c r="B1520" s="30"/>
      <c r="C1520" s="30"/>
      <c r="D1520" s="30"/>
      <c r="E1520" s="30"/>
      <c r="F1520" s="30"/>
      <c r="G1520" s="30"/>
      <c r="H1520" s="30"/>
      <c r="I1520" s="30"/>
      <c r="J1520" s="30"/>
      <c r="K1520" s="30"/>
      <c r="L1520" s="30"/>
      <c r="M1520" s="30"/>
      <c r="N1520" s="30" t="str" cm="1">
        <f t="array" ref="N1520">Main_Log_Status(Main_Log[[#This Row],[Carrier]],Main_Log[[#This Row],[Net Weight]])</f>
        <v/>
      </c>
      <c r="O1520" s="30"/>
      <c r="P152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20" s="30"/>
      <c r="R1520" s="30" t="str" cm="1">
        <f t="array" ref="R1520">Main_Log_Ref(Main_Log[[#This Row],[Carrier]])</f>
        <v/>
      </c>
    </row>
    <row r="1521" spans="1:18" ht="29.85" customHeight="1" x14ac:dyDescent="0.45">
      <c r="A1521" s="30">
        <v>34</v>
      </c>
      <c r="B1521" s="30"/>
      <c r="C1521" s="30"/>
      <c r="D1521" s="30"/>
      <c r="E1521" s="30"/>
      <c r="F1521" s="30"/>
      <c r="G1521" s="30"/>
      <c r="H1521" s="30"/>
      <c r="I1521" s="30"/>
      <c r="J1521" s="30"/>
      <c r="K1521" s="30"/>
      <c r="L1521" s="30"/>
      <c r="M1521" s="30"/>
      <c r="N1521" s="30" t="str" cm="1">
        <f t="array" ref="N1521">Main_Log_Status(Main_Log[[#This Row],[Carrier]],Main_Log[[#This Row],[Net Weight]])</f>
        <v/>
      </c>
      <c r="O1521" s="30"/>
      <c r="P152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21" s="30"/>
      <c r="R1521" s="30" t="str" cm="1">
        <f t="array" ref="R1521">Main_Log_Ref(Main_Log[[#This Row],[Carrier]])</f>
        <v/>
      </c>
    </row>
    <row r="1522" spans="1:18" ht="29.85" customHeight="1" x14ac:dyDescent="0.45">
      <c r="A1522" s="30">
        <v>35</v>
      </c>
      <c r="B1522" s="30"/>
      <c r="C1522" s="30"/>
      <c r="D1522" s="30"/>
      <c r="E1522" s="30"/>
      <c r="F1522" s="30"/>
      <c r="G1522" s="30"/>
      <c r="H1522" s="30"/>
      <c r="I1522" s="30"/>
      <c r="J1522" s="30"/>
      <c r="K1522" s="30"/>
      <c r="L1522" s="30"/>
      <c r="M1522" s="30"/>
      <c r="N1522" s="30" t="str" cm="1">
        <f t="array" ref="N1522">Main_Log_Status(Main_Log[[#This Row],[Carrier]],Main_Log[[#This Row],[Net Weight]])</f>
        <v/>
      </c>
      <c r="O1522" s="30"/>
      <c r="P152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22" s="30"/>
      <c r="R1522" s="30" t="str" cm="1">
        <f t="array" ref="R1522">Main_Log_Ref(Main_Log[[#This Row],[Carrier]])</f>
        <v/>
      </c>
    </row>
    <row r="1523" spans="1:18" ht="29.85" customHeight="1" x14ac:dyDescent="0.45">
      <c r="A1523" s="30">
        <v>36</v>
      </c>
      <c r="B1523" s="30"/>
      <c r="C1523" s="30"/>
      <c r="D1523" s="30"/>
      <c r="E1523" s="30"/>
      <c r="F1523" s="30"/>
      <c r="G1523" s="30"/>
      <c r="H1523" s="30"/>
      <c r="I1523" s="30"/>
      <c r="J1523" s="30"/>
      <c r="K1523" s="30"/>
      <c r="L1523" s="30"/>
      <c r="M1523" s="30"/>
      <c r="N1523" s="30" t="str" cm="1">
        <f t="array" ref="N1523">Main_Log_Status(Main_Log[[#This Row],[Carrier]],Main_Log[[#This Row],[Net Weight]])</f>
        <v/>
      </c>
      <c r="O1523" s="30"/>
      <c r="P152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23" s="30"/>
      <c r="R1523" s="30" t="str" cm="1">
        <f t="array" ref="R1523">Main_Log_Ref(Main_Log[[#This Row],[Carrier]])</f>
        <v/>
      </c>
    </row>
    <row r="1524" spans="1:18" ht="29.85" customHeight="1" x14ac:dyDescent="0.45">
      <c r="A1524" s="30">
        <v>37</v>
      </c>
      <c r="B1524" s="30"/>
      <c r="C1524" s="30"/>
      <c r="D1524" s="30"/>
      <c r="E1524" s="30"/>
      <c r="F1524" s="30"/>
      <c r="G1524" s="30"/>
      <c r="H1524" s="30"/>
      <c r="I1524" s="30"/>
      <c r="J1524" s="30"/>
      <c r="K1524" s="30"/>
      <c r="L1524" s="30"/>
      <c r="M1524" s="30"/>
      <c r="N1524" s="30" t="str" cm="1">
        <f t="array" ref="N1524">Main_Log_Status(Main_Log[[#This Row],[Carrier]],Main_Log[[#This Row],[Net Weight]])</f>
        <v/>
      </c>
      <c r="O1524" s="30"/>
      <c r="P152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24" s="30"/>
      <c r="R1524" s="30" t="str" cm="1">
        <f t="array" ref="R1524">Main_Log_Ref(Main_Log[[#This Row],[Carrier]])</f>
        <v/>
      </c>
    </row>
    <row r="1525" spans="1:18" ht="29.85" customHeight="1" x14ac:dyDescent="0.45">
      <c r="A1525" s="30">
        <v>38</v>
      </c>
      <c r="B1525" s="30"/>
      <c r="C1525" s="30"/>
      <c r="D1525" s="30"/>
      <c r="E1525" s="30"/>
      <c r="F1525" s="30"/>
      <c r="G1525" s="30"/>
      <c r="H1525" s="30"/>
      <c r="I1525" s="30"/>
      <c r="J1525" s="30"/>
      <c r="K1525" s="30"/>
      <c r="L1525" s="30"/>
      <c r="M1525" s="30"/>
      <c r="N1525" s="30" t="str" cm="1">
        <f t="array" ref="N1525">Main_Log_Status(Main_Log[[#This Row],[Carrier]],Main_Log[[#This Row],[Net Weight]])</f>
        <v/>
      </c>
      <c r="O1525" s="30"/>
      <c r="P152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25" s="30"/>
      <c r="R1525" s="30" t="str" cm="1">
        <f t="array" ref="R1525">Main_Log_Ref(Main_Log[[#This Row],[Carrier]])</f>
        <v/>
      </c>
    </row>
    <row r="1526" spans="1:18" ht="29.85" customHeight="1" x14ac:dyDescent="0.45">
      <c r="A1526" s="30">
        <v>39</v>
      </c>
      <c r="B1526" s="30"/>
      <c r="C1526" s="30"/>
      <c r="D1526" s="30"/>
      <c r="E1526" s="30"/>
      <c r="F1526" s="30"/>
      <c r="G1526" s="30"/>
      <c r="H1526" s="30"/>
      <c r="I1526" s="30"/>
      <c r="J1526" s="30"/>
      <c r="K1526" s="30"/>
      <c r="L1526" s="30"/>
      <c r="M1526" s="30"/>
      <c r="N1526" s="30" t="str" cm="1">
        <f t="array" ref="N1526">Main_Log_Status(Main_Log[[#This Row],[Carrier]],Main_Log[[#This Row],[Net Weight]])</f>
        <v/>
      </c>
      <c r="O1526" s="30"/>
      <c r="P152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26" s="30"/>
      <c r="R1526" s="30" t="str" cm="1">
        <f t="array" ref="R1526">Main_Log_Ref(Main_Log[[#This Row],[Carrier]])</f>
        <v/>
      </c>
    </row>
    <row r="1527" spans="1:18" ht="29.85" customHeight="1" x14ac:dyDescent="0.45">
      <c r="A1527" s="30">
        <v>40</v>
      </c>
      <c r="B1527" s="30"/>
      <c r="C1527" s="30"/>
      <c r="D1527" s="30"/>
      <c r="E1527" s="30"/>
      <c r="F1527" s="30"/>
      <c r="G1527" s="30"/>
      <c r="H1527" s="30"/>
      <c r="I1527" s="30"/>
      <c r="J1527" s="30"/>
      <c r="K1527" s="30"/>
      <c r="L1527" s="30"/>
      <c r="M1527" s="30"/>
      <c r="N1527" s="30" t="str" cm="1">
        <f t="array" ref="N1527">Main_Log_Status(Main_Log[[#This Row],[Carrier]],Main_Log[[#This Row],[Net Weight]])</f>
        <v/>
      </c>
      <c r="O1527" s="30"/>
      <c r="P152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27" s="30"/>
      <c r="R1527" s="30" t="str" cm="1">
        <f t="array" ref="R1527">Main_Log_Ref(Main_Log[[#This Row],[Carrier]])</f>
        <v/>
      </c>
    </row>
    <row r="1528" spans="1:18" ht="29.85" customHeight="1" x14ac:dyDescent="0.45">
      <c r="A1528" s="30">
        <v>41</v>
      </c>
      <c r="B1528" s="30"/>
      <c r="C1528" s="30"/>
      <c r="D1528" s="30"/>
      <c r="E1528" s="30"/>
      <c r="F1528" s="30"/>
      <c r="G1528" s="30"/>
      <c r="H1528" s="30"/>
      <c r="I1528" s="30"/>
      <c r="J1528" s="30"/>
      <c r="K1528" s="30"/>
      <c r="L1528" s="30"/>
      <c r="M1528" s="30"/>
      <c r="N1528" s="30" t="str" cm="1">
        <f t="array" ref="N1528">Main_Log_Status(Main_Log[[#This Row],[Carrier]],Main_Log[[#This Row],[Net Weight]])</f>
        <v/>
      </c>
      <c r="O1528" s="30"/>
      <c r="P152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28" s="30"/>
      <c r="R1528" s="30" t="str" cm="1">
        <f t="array" ref="R1528">Main_Log_Ref(Main_Log[[#This Row],[Carrier]])</f>
        <v/>
      </c>
    </row>
    <row r="1529" spans="1:18" ht="29.85" customHeight="1" x14ac:dyDescent="0.45">
      <c r="A1529" s="30">
        <v>42</v>
      </c>
      <c r="B1529" s="30"/>
      <c r="C1529" s="30"/>
      <c r="D1529" s="30"/>
      <c r="E1529" s="30"/>
      <c r="F1529" s="30"/>
      <c r="G1529" s="30"/>
      <c r="H1529" s="30"/>
      <c r="I1529" s="30"/>
      <c r="J1529" s="30"/>
      <c r="K1529" s="30"/>
      <c r="L1529" s="30"/>
      <c r="M1529" s="30"/>
      <c r="N1529" s="30" t="str" cm="1">
        <f t="array" ref="N1529">Main_Log_Status(Main_Log[[#This Row],[Carrier]],Main_Log[[#This Row],[Net Weight]])</f>
        <v/>
      </c>
      <c r="O1529" s="30"/>
      <c r="P152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29" s="30"/>
      <c r="R1529" s="30" t="str" cm="1">
        <f t="array" ref="R1529">Main_Log_Ref(Main_Log[[#This Row],[Carrier]])</f>
        <v/>
      </c>
    </row>
    <row r="1530" spans="1:18" ht="29.85" customHeight="1" x14ac:dyDescent="0.45">
      <c r="A1530" s="30">
        <v>43</v>
      </c>
      <c r="B1530" s="30"/>
      <c r="C1530" s="30"/>
      <c r="D1530" s="30"/>
      <c r="E1530" s="30"/>
      <c r="F1530" s="30"/>
      <c r="G1530" s="30"/>
      <c r="H1530" s="30"/>
      <c r="I1530" s="30"/>
      <c r="J1530" s="30"/>
      <c r="K1530" s="30"/>
      <c r="L1530" s="30"/>
      <c r="M1530" s="30"/>
      <c r="N1530" s="30" t="str" cm="1">
        <f t="array" ref="N1530">Main_Log_Status(Main_Log[[#This Row],[Carrier]],Main_Log[[#This Row],[Net Weight]])</f>
        <v/>
      </c>
      <c r="O1530" s="30"/>
      <c r="P153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30" s="30"/>
      <c r="R1530" s="30" t="str" cm="1">
        <f t="array" ref="R1530">Main_Log_Ref(Main_Log[[#This Row],[Carrier]])</f>
        <v/>
      </c>
    </row>
    <row r="1531" spans="1:18" ht="29.85" customHeight="1" x14ac:dyDescent="0.45">
      <c r="A1531" s="30">
        <v>44</v>
      </c>
      <c r="B1531" s="30"/>
      <c r="C1531" s="30"/>
      <c r="D1531" s="30"/>
      <c r="E1531" s="30"/>
      <c r="F1531" s="30"/>
      <c r="G1531" s="30"/>
      <c r="H1531" s="30"/>
      <c r="I1531" s="30"/>
      <c r="J1531" s="30"/>
      <c r="K1531" s="30"/>
      <c r="L1531" s="30"/>
      <c r="M1531" s="30"/>
      <c r="N1531" s="30" t="str" cm="1">
        <f t="array" ref="N1531">Main_Log_Status(Main_Log[[#This Row],[Carrier]],Main_Log[[#This Row],[Net Weight]])</f>
        <v/>
      </c>
      <c r="O1531" s="30"/>
      <c r="P153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31" s="30"/>
      <c r="R1531" s="30" t="str" cm="1">
        <f t="array" ref="R1531">Main_Log_Ref(Main_Log[[#This Row],[Carrier]])</f>
        <v/>
      </c>
    </row>
    <row r="1532" spans="1:18" ht="29.85" customHeight="1" x14ac:dyDescent="0.45">
      <c r="A1532" s="30">
        <v>45</v>
      </c>
      <c r="B1532" s="30"/>
      <c r="C1532" s="30"/>
      <c r="D1532" s="30"/>
      <c r="E1532" s="30"/>
      <c r="F1532" s="30"/>
      <c r="G1532" s="30"/>
      <c r="H1532" s="30"/>
      <c r="I1532" s="30"/>
      <c r="J1532" s="30"/>
      <c r="K1532" s="30"/>
      <c r="L1532" s="30"/>
      <c r="M1532" s="30"/>
      <c r="N1532" s="30" t="str" cm="1">
        <f t="array" ref="N1532">Main_Log_Status(Main_Log[[#This Row],[Carrier]],Main_Log[[#This Row],[Net Weight]])</f>
        <v/>
      </c>
      <c r="O1532" s="30"/>
      <c r="P153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32" s="30"/>
      <c r="R1532" s="30" t="str" cm="1">
        <f t="array" ref="R1532">Main_Log_Ref(Main_Log[[#This Row],[Carrier]])</f>
        <v/>
      </c>
    </row>
    <row r="1533" spans="1:18" ht="29.85" customHeight="1" x14ac:dyDescent="0.45">
      <c r="A1533" s="30">
        <v>46</v>
      </c>
      <c r="B1533" s="30"/>
      <c r="C1533" s="30"/>
      <c r="D1533" s="30"/>
      <c r="E1533" s="30"/>
      <c r="F1533" s="30"/>
      <c r="G1533" s="30"/>
      <c r="H1533" s="30"/>
      <c r="I1533" s="30"/>
      <c r="J1533" s="30"/>
      <c r="K1533" s="30"/>
      <c r="L1533" s="30"/>
      <c r="M1533" s="30"/>
      <c r="N1533" s="30" t="str" cm="1">
        <f t="array" ref="N1533">Main_Log_Status(Main_Log[[#This Row],[Carrier]],Main_Log[[#This Row],[Net Weight]])</f>
        <v/>
      </c>
      <c r="O1533" s="30"/>
      <c r="P153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33" s="30"/>
      <c r="R1533" s="30" t="str" cm="1">
        <f t="array" ref="R1533">Main_Log_Ref(Main_Log[[#This Row],[Carrier]])</f>
        <v/>
      </c>
    </row>
    <row r="1534" spans="1:18" ht="29.85" customHeight="1" x14ac:dyDescent="0.45">
      <c r="A1534" s="30">
        <v>47</v>
      </c>
      <c r="B1534" s="30"/>
      <c r="C1534" s="30"/>
      <c r="D1534" s="30"/>
      <c r="E1534" s="30"/>
      <c r="F1534" s="30"/>
      <c r="G1534" s="30"/>
      <c r="H1534" s="30"/>
      <c r="I1534" s="30"/>
      <c r="J1534" s="30"/>
      <c r="K1534" s="30"/>
      <c r="L1534" s="30"/>
      <c r="M1534" s="30"/>
      <c r="N1534" s="30" t="str" cm="1">
        <f t="array" ref="N1534">Main_Log_Status(Main_Log[[#This Row],[Carrier]],Main_Log[[#This Row],[Net Weight]])</f>
        <v/>
      </c>
      <c r="O1534" s="30"/>
      <c r="P153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34" s="30"/>
      <c r="R1534" s="30" t="str" cm="1">
        <f t="array" ref="R1534">Main_Log_Ref(Main_Log[[#This Row],[Carrier]])</f>
        <v/>
      </c>
    </row>
    <row r="1535" spans="1:18" ht="29.85" customHeight="1" x14ac:dyDescent="0.45">
      <c r="A1535" s="30">
        <v>48</v>
      </c>
      <c r="B1535" s="30"/>
      <c r="C1535" s="30"/>
      <c r="D1535" s="30"/>
      <c r="E1535" s="30"/>
      <c r="F1535" s="30"/>
      <c r="G1535" s="30"/>
      <c r="H1535" s="30"/>
      <c r="I1535" s="30"/>
      <c r="J1535" s="30"/>
      <c r="K1535" s="30"/>
      <c r="L1535" s="30"/>
      <c r="M1535" s="30"/>
      <c r="N1535" s="30" t="str" cm="1">
        <f t="array" ref="N1535">Main_Log_Status(Main_Log[[#This Row],[Carrier]],Main_Log[[#This Row],[Net Weight]])</f>
        <v/>
      </c>
      <c r="O1535" s="30"/>
      <c r="P153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35" s="30"/>
      <c r="R1535" s="30" t="str" cm="1">
        <f t="array" ref="R1535">Main_Log_Ref(Main_Log[[#This Row],[Carrier]])</f>
        <v/>
      </c>
    </row>
    <row r="1536" spans="1:18" ht="29.85" customHeight="1" x14ac:dyDescent="0.45">
      <c r="A1536" s="30">
        <v>49</v>
      </c>
      <c r="B1536" s="30"/>
      <c r="C1536" s="30"/>
      <c r="D1536" s="30"/>
      <c r="E1536" s="30"/>
      <c r="F1536" s="30"/>
      <c r="G1536" s="30"/>
      <c r="H1536" s="30"/>
      <c r="I1536" s="30"/>
      <c r="J1536" s="30"/>
      <c r="K1536" s="30"/>
      <c r="L1536" s="30"/>
      <c r="M1536" s="30"/>
      <c r="N1536" s="30" t="str" cm="1">
        <f t="array" ref="N1536">Main_Log_Status(Main_Log[[#This Row],[Carrier]],Main_Log[[#This Row],[Net Weight]])</f>
        <v/>
      </c>
      <c r="O1536" s="30"/>
      <c r="P153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36" s="30"/>
      <c r="R1536" s="30" t="str" cm="1">
        <f t="array" ref="R1536">Main_Log_Ref(Main_Log[[#This Row],[Carrier]])</f>
        <v/>
      </c>
    </row>
    <row r="1537" spans="1:18" ht="29.85" customHeight="1" x14ac:dyDescent="0.45">
      <c r="A1537" s="30">
        <v>50</v>
      </c>
      <c r="B1537" s="30"/>
      <c r="C1537" s="30"/>
      <c r="D1537" s="30"/>
      <c r="E1537" s="30"/>
      <c r="F1537" s="30"/>
      <c r="G1537" s="30"/>
      <c r="H1537" s="30"/>
      <c r="I1537" s="30"/>
      <c r="J1537" s="30"/>
      <c r="K1537" s="30"/>
      <c r="L1537" s="30"/>
      <c r="M1537" s="30"/>
      <c r="N1537" s="30" t="str" cm="1">
        <f t="array" ref="N1537">Main_Log_Status(Main_Log[[#This Row],[Carrier]],Main_Log[[#This Row],[Net Weight]])</f>
        <v/>
      </c>
      <c r="O1537" s="30"/>
      <c r="P153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37" s="30"/>
      <c r="R1537" s="30" t="str" cm="1">
        <f t="array" ref="R1537">Main_Log_Ref(Main_Log[[#This Row],[Carrier]])</f>
        <v/>
      </c>
    </row>
    <row r="1538" spans="1:18" ht="29.85" customHeight="1" x14ac:dyDescent="0.45">
      <c r="A1538" s="30">
        <v>51</v>
      </c>
      <c r="B1538" s="30"/>
      <c r="C1538" s="30"/>
      <c r="D1538" s="30"/>
      <c r="E1538" s="30"/>
      <c r="F1538" s="30"/>
      <c r="G1538" s="30"/>
      <c r="H1538" s="30"/>
      <c r="I1538" s="30"/>
      <c r="J1538" s="30"/>
      <c r="K1538" s="30"/>
      <c r="L1538" s="30"/>
      <c r="M1538" s="30"/>
      <c r="N1538" s="30" t="str" cm="1">
        <f t="array" ref="N1538">Main_Log_Status(Main_Log[[#This Row],[Carrier]],Main_Log[[#This Row],[Net Weight]])</f>
        <v/>
      </c>
      <c r="O1538" s="30"/>
      <c r="P153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38" s="30"/>
      <c r="R1538" s="30" t="str" cm="1">
        <f t="array" ref="R1538">Main_Log_Ref(Main_Log[[#This Row],[Carrier]])</f>
        <v/>
      </c>
    </row>
    <row r="1539" spans="1:18" ht="29.85" customHeight="1" x14ac:dyDescent="0.45">
      <c r="A1539" s="30">
        <v>52</v>
      </c>
      <c r="B1539" s="30"/>
      <c r="C1539" s="30"/>
      <c r="D1539" s="30"/>
      <c r="E1539" s="30"/>
      <c r="F1539" s="30"/>
      <c r="G1539" s="30"/>
      <c r="H1539" s="30"/>
      <c r="I1539" s="30"/>
      <c r="J1539" s="30"/>
      <c r="K1539" s="30"/>
      <c r="L1539" s="30"/>
      <c r="M1539" s="30"/>
      <c r="N1539" s="30" t="str" cm="1">
        <f t="array" ref="N1539">Main_Log_Status(Main_Log[[#This Row],[Carrier]],Main_Log[[#This Row],[Net Weight]])</f>
        <v/>
      </c>
      <c r="O1539" s="30"/>
      <c r="P153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39" s="30"/>
      <c r="R1539" s="30" t="str" cm="1">
        <f t="array" ref="R1539">Main_Log_Ref(Main_Log[[#This Row],[Carrier]])</f>
        <v/>
      </c>
    </row>
    <row r="1540" spans="1:18" ht="29.85" customHeight="1" x14ac:dyDescent="0.45">
      <c r="A1540" s="30">
        <v>53</v>
      </c>
      <c r="B1540" s="30"/>
      <c r="C1540" s="30"/>
      <c r="D1540" s="30"/>
      <c r="E1540" s="30"/>
      <c r="F1540" s="30"/>
      <c r="G1540" s="30"/>
      <c r="H1540" s="30"/>
      <c r="I1540" s="30"/>
      <c r="J1540" s="30"/>
      <c r="K1540" s="30"/>
      <c r="L1540" s="30"/>
      <c r="M1540" s="30"/>
      <c r="N1540" s="30" t="str" cm="1">
        <f t="array" ref="N1540">Main_Log_Status(Main_Log[[#This Row],[Carrier]],Main_Log[[#This Row],[Net Weight]])</f>
        <v/>
      </c>
      <c r="O1540" s="30"/>
      <c r="P154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40" s="30"/>
      <c r="R1540" s="30" t="str" cm="1">
        <f t="array" ref="R1540">Main_Log_Ref(Main_Log[[#This Row],[Carrier]])</f>
        <v/>
      </c>
    </row>
    <row r="1541" spans="1:18" ht="29.85" customHeight="1" x14ac:dyDescent="0.45">
      <c r="A1541" s="30">
        <v>54</v>
      </c>
      <c r="B1541" s="30"/>
      <c r="C1541" s="30"/>
      <c r="D1541" s="30"/>
      <c r="E1541" s="30"/>
      <c r="F1541" s="30"/>
      <c r="G1541" s="30"/>
      <c r="H1541" s="30"/>
      <c r="I1541" s="30"/>
      <c r="J1541" s="30"/>
      <c r="K1541" s="30"/>
      <c r="L1541" s="30"/>
      <c r="M1541" s="30"/>
      <c r="N1541" s="30" t="str" cm="1">
        <f t="array" ref="N1541">Main_Log_Status(Main_Log[[#This Row],[Carrier]],Main_Log[[#This Row],[Net Weight]])</f>
        <v/>
      </c>
      <c r="O1541" s="30"/>
      <c r="P154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41" s="30"/>
      <c r="R1541" s="30" t="str" cm="1">
        <f t="array" ref="R1541">Main_Log_Ref(Main_Log[[#This Row],[Carrier]])</f>
        <v/>
      </c>
    </row>
    <row r="1542" spans="1:18" ht="29.85" customHeight="1" x14ac:dyDescent="0.45">
      <c r="A1542" s="30">
        <v>55</v>
      </c>
      <c r="B1542" s="30"/>
      <c r="C1542" s="30"/>
      <c r="D1542" s="30"/>
      <c r="E1542" s="30"/>
      <c r="F1542" s="30"/>
      <c r="G1542" s="30"/>
      <c r="H1542" s="30"/>
      <c r="I1542" s="30"/>
      <c r="J1542" s="30"/>
      <c r="K1542" s="30"/>
      <c r="L1542" s="30"/>
      <c r="M1542" s="30"/>
      <c r="N1542" s="30" t="str" cm="1">
        <f t="array" ref="N1542">Main_Log_Status(Main_Log[[#This Row],[Carrier]],Main_Log[[#This Row],[Net Weight]])</f>
        <v/>
      </c>
      <c r="O1542" s="30"/>
      <c r="P154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42" s="30"/>
      <c r="R1542" s="30" t="str" cm="1">
        <f t="array" ref="R1542">Main_Log_Ref(Main_Log[[#This Row],[Carrier]])</f>
        <v/>
      </c>
    </row>
    <row r="1543" spans="1:18" ht="29.85" customHeight="1" x14ac:dyDescent="0.45">
      <c r="A1543" s="30">
        <v>56</v>
      </c>
      <c r="B1543" s="30"/>
      <c r="C1543" s="30"/>
      <c r="D1543" s="30"/>
      <c r="E1543" s="30"/>
      <c r="F1543" s="30"/>
      <c r="G1543" s="30"/>
      <c r="H1543" s="30"/>
      <c r="I1543" s="30"/>
      <c r="J1543" s="30"/>
      <c r="K1543" s="30"/>
      <c r="L1543" s="30"/>
      <c r="M1543" s="30"/>
      <c r="N1543" s="30" t="str" cm="1">
        <f t="array" ref="N1543">Main_Log_Status(Main_Log[[#This Row],[Carrier]],Main_Log[[#This Row],[Net Weight]])</f>
        <v/>
      </c>
      <c r="O1543" s="30"/>
      <c r="P154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43" s="30"/>
      <c r="R1543" s="30" t="str" cm="1">
        <f t="array" ref="R1543">Main_Log_Ref(Main_Log[[#This Row],[Carrier]])</f>
        <v/>
      </c>
    </row>
    <row r="1544" spans="1:18" ht="29.85" customHeight="1" x14ac:dyDescent="0.45">
      <c r="A1544" s="30">
        <v>57</v>
      </c>
      <c r="B1544" s="30"/>
      <c r="C1544" s="30"/>
      <c r="D1544" s="30"/>
      <c r="E1544" s="30"/>
      <c r="F1544" s="30"/>
      <c r="G1544" s="30"/>
      <c r="H1544" s="30"/>
      <c r="I1544" s="30"/>
      <c r="J1544" s="30"/>
      <c r="K1544" s="30"/>
      <c r="L1544" s="30"/>
      <c r="M1544" s="30"/>
      <c r="N1544" s="30" t="str" cm="1">
        <f t="array" ref="N1544">Main_Log_Status(Main_Log[[#This Row],[Carrier]],Main_Log[[#This Row],[Net Weight]])</f>
        <v/>
      </c>
      <c r="O1544" s="30"/>
      <c r="P154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44" s="30"/>
      <c r="R1544" s="30" t="str" cm="1">
        <f t="array" ref="R1544">Main_Log_Ref(Main_Log[[#This Row],[Carrier]])</f>
        <v/>
      </c>
    </row>
    <row r="1545" spans="1:18" ht="29.85" customHeight="1" x14ac:dyDescent="0.45">
      <c r="A1545" s="30">
        <v>58</v>
      </c>
      <c r="B1545" s="30"/>
      <c r="C1545" s="30"/>
      <c r="D1545" s="30"/>
      <c r="E1545" s="30"/>
      <c r="F1545" s="30"/>
      <c r="G1545" s="30"/>
      <c r="H1545" s="30"/>
      <c r="I1545" s="30"/>
      <c r="J1545" s="30"/>
      <c r="K1545" s="30"/>
      <c r="L1545" s="30"/>
      <c r="M1545" s="30"/>
      <c r="N1545" s="30" t="str" cm="1">
        <f t="array" ref="N1545">Main_Log_Status(Main_Log[[#This Row],[Carrier]],Main_Log[[#This Row],[Net Weight]])</f>
        <v/>
      </c>
      <c r="O1545" s="30"/>
      <c r="P154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45" s="30"/>
      <c r="R1545" s="30" t="str" cm="1">
        <f t="array" ref="R1545">Main_Log_Ref(Main_Log[[#This Row],[Carrier]])</f>
        <v/>
      </c>
    </row>
    <row r="1546" spans="1:18" ht="29.85" customHeight="1" x14ac:dyDescent="0.45">
      <c r="A1546" s="30">
        <v>59</v>
      </c>
      <c r="B1546" s="30"/>
      <c r="C1546" s="30"/>
      <c r="D1546" s="30"/>
      <c r="E1546" s="30"/>
      <c r="F1546" s="30"/>
      <c r="G1546" s="30"/>
      <c r="H1546" s="30"/>
      <c r="I1546" s="30"/>
      <c r="J1546" s="30"/>
      <c r="K1546" s="30"/>
      <c r="L1546" s="30"/>
      <c r="M1546" s="30"/>
      <c r="N1546" s="30" t="str" cm="1">
        <f t="array" ref="N1546">Main_Log_Status(Main_Log[[#This Row],[Carrier]],Main_Log[[#This Row],[Net Weight]])</f>
        <v/>
      </c>
      <c r="O1546" s="30"/>
      <c r="P154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46" s="30"/>
      <c r="R1546" s="30" t="str" cm="1">
        <f t="array" ref="R1546">Main_Log_Ref(Main_Log[[#This Row],[Carrier]])</f>
        <v/>
      </c>
    </row>
    <row r="1547" spans="1:18" ht="29.85" customHeight="1" x14ac:dyDescent="0.45">
      <c r="A1547" s="30">
        <v>60</v>
      </c>
      <c r="B1547" s="30"/>
      <c r="C1547" s="30"/>
      <c r="D1547" s="30"/>
      <c r="E1547" s="30"/>
      <c r="F1547" s="30"/>
      <c r="G1547" s="30"/>
      <c r="H1547" s="30"/>
      <c r="I1547" s="30"/>
      <c r="J1547" s="30"/>
      <c r="K1547" s="30"/>
      <c r="L1547" s="30"/>
      <c r="M1547" s="30"/>
      <c r="N1547" s="30" t="str" cm="1">
        <f t="array" ref="N1547">Main_Log_Status(Main_Log[[#This Row],[Carrier]],Main_Log[[#This Row],[Net Weight]])</f>
        <v/>
      </c>
      <c r="O1547" s="30"/>
      <c r="P154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47" s="30"/>
      <c r="R1547" s="30" t="str" cm="1">
        <f t="array" ref="R1547">Main_Log_Ref(Main_Log[[#This Row],[Carrier]])</f>
        <v/>
      </c>
    </row>
    <row r="1548" spans="1:18" ht="29.85" customHeight="1" x14ac:dyDescent="0.45">
      <c r="A1548" s="30">
        <v>61</v>
      </c>
      <c r="B1548" s="30"/>
      <c r="C1548" s="30"/>
      <c r="D1548" s="30"/>
      <c r="E1548" s="30"/>
      <c r="F1548" s="30"/>
      <c r="G1548" s="30"/>
      <c r="H1548" s="30"/>
      <c r="I1548" s="30"/>
      <c r="J1548" s="30"/>
      <c r="K1548" s="30"/>
      <c r="L1548" s="30"/>
      <c r="M1548" s="30"/>
      <c r="N1548" s="30" t="str" cm="1">
        <f t="array" ref="N1548">Main_Log_Status(Main_Log[[#This Row],[Carrier]],Main_Log[[#This Row],[Net Weight]])</f>
        <v/>
      </c>
      <c r="O1548" s="30"/>
      <c r="P154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48" s="30"/>
      <c r="R1548" s="30" t="str" cm="1">
        <f t="array" ref="R1548">Main_Log_Ref(Main_Log[[#This Row],[Carrier]])</f>
        <v/>
      </c>
    </row>
    <row r="1549" spans="1:18" ht="29.85" customHeight="1" x14ac:dyDescent="0.45">
      <c r="A1549" s="30">
        <v>62</v>
      </c>
      <c r="B1549" s="30"/>
      <c r="C1549" s="30"/>
      <c r="D1549" s="30"/>
      <c r="E1549" s="30"/>
      <c r="F1549" s="30"/>
      <c r="G1549" s="30"/>
      <c r="H1549" s="30"/>
      <c r="I1549" s="30"/>
      <c r="J1549" s="30"/>
      <c r="K1549" s="30"/>
      <c r="L1549" s="30"/>
      <c r="M1549" s="30"/>
      <c r="N1549" s="30" t="str" cm="1">
        <f t="array" ref="N1549">Main_Log_Status(Main_Log[[#This Row],[Carrier]],Main_Log[[#This Row],[Net Weight]])</f>
        <v/>
      </c>
      <c r="O1549" s="30"/>
      <c r="P154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49" s="30"/>
      <c r="R1549" s="30" t="str" cm="1">
        <f t="array" ref="R1549">Main_Log_Ref(Main_Log[[#This Row],[Carrier]])</f>
        <v/>
      </c>
    </row>
    <row r="1550" spans="1:18" ht="29.85" customHeight="1" x14ac:dyDescent="0.45">
      <c r="A1550" s="30">
        <v>63</v>
      </c>
      <c r="B1550" s="30"/>
      <c r="C1550" s="30"/>
      <c r="D1550" s="30"/>
      <c r="E1550" s="30"/>
      <c r="F1550" s="30"/>
      <c r="G1550" s="30"/>
      <c r="H1550" s="30"/>
      <c r="I1550" s="30"/>
      <c r="J1550" s="30"/>
      <c r="K1550" s="30"/>
      <c r="L1550" s="30"/>
      <c r="M1550" s="30"/>
      <c r="N1550" s="30" t="str" cm="1">
        <f t="array" ref="N1550">Main_Log_Status(Main_Log[[#This Row],[Carrier]],Main_Log[[#This Row],[Net Weight]])</f>
        <v/>
      </c>
      <c r="O1550" s="30"/>
      <c r="P155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50" s="30"/>
      <c r="R1550" s="30" t="str" cm="1">
        <f t="array" ref="R1550">Main_Log_Ref(Main_Log[[#This Row],[Carrier]])</f>
        <v/>
      </c>
    </row>
    <row r="1551" spans="1:18" ht="29.85" customHeight="1" x14ac:dyDescent="0.45">
      <c r="A1551" s="30">
        <v>64</v>
      </c>
      <c r="B1551" s="30"/>
      <c r="C1551" s="30"/>
      <c r="D1551" s="30"/>
      <c r="E1551" s="30"/>
      <c r="F1551" s="30"/>
      <c r="G1551" s="30"/>
      <c r="H1551" s="30"/>
      <c r="I1551" s="30"/>
      <c r="J1551" s="30"/>
      <c r="K1551" s="30"/>
      <c r="L1551" s="30"/>
      <c r="M1551" s="30"/>
      <c r="N1551" s="30" t="str" cm="1">
        <f t="array" ref="N1551">Main_Log_Status(Main_Log[[#This Row],[Carrier]],Main_Log[[#This Row],[Net Weight]])</f>
        <v/>
      </c>
      <c r="O1551" s="30"/>
      <c r="P155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51" s="30"/>
      <c r="R1551" s="30" t="str" cm="1">
        <f t="array" ref="R1551">Main_Log_Ref(Main_Log[[#This Row],[Carrier]])</f>
        <v/>
      </c>
    </row>
    <row r="1552" spans="1:18" ht="29.85" customHeight="1" x14ac:dyDescent="0.45">
      <c r="A1552" s="30">
        <v>65</v>
      </c>
      <c r="B1552" s="30"/>
      <c r="C1552" s="30"/>
      <c r="D1552" s="30"/>
      <c r="E1552" s="30"/>
      <c r="F1552" s="30"/>
      <c r="G1552" s="30"/>
      <c r="H1552" s="30"/>
      <c r="I1552" s="30"/>
      <c r="J1552" s="30"/>
      <c r="K1552" s="30"/>
      <c r="L1552" s="30"/>
      <c r="M1552" s="30"/>
      <c r="N1552" s="30" t="str" cm="1">
        <f t="array" ref="N1552">Main_Log_Status(Main_Log[[#This Row],[Carrier]],Main_Log[[#This Row],[Net Weight]])</f>
        <v/>
      </c>
      <c r="O1552" s="30"/>
      <c r="P155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52" s="30"/>
      <c r="R1552" s="30" t="str" cm="1">
        <f t="array" ref="R1552">Main_Log_Ref(Main_Log[[#This Row],[Carrier]])</f>
        <v/>
      </c>
    </row>
    <row r="1553" spans="1:18" ht="29.85" customHeight="1" x14ac:dyDescent="0.45">
      <c r="A1553" s="30">
        <v>66</v>
      </c>
      <c r="B1553" s="30"/>
      <c r="C1553" s="30"/>
      <c r="D1553" s="30"/>
      <c r="E1553" s="30"/>
      <c r="F1553" s="30"/>
      <c r="G1553" s="30"/>
      <c r="H1553" s="30"/>
      <c r="I1553" s="30"/>
      <c r="J1553" s="30"/>
      <c r="K1553" s="30"/>
      <c r="L1553" s="30"/>
      <c r="M1553" s="30"/>
      <c r="N1553" s="30" t="str" cm="1">
        <f t="array" ref="N1553">Main_Log_Status(Main_Log[[#This Row],[Carrier]],Main_Log[[#This Row],[Net Weight]])</f>
        <v/>
      </c>
      <c r="O1553" s="30"/>
      <c r="P155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53" s="30"/>
      <c r="R1553" s="30" t="str" cm="1">
        <f t="array" ref="R1553">Main_Log_Ref(Main_Log[[#This Row],[Carrier]])</f>
        <v/>
      </c>
    </row>
    <row r="1554" spans="1:18" ht="29.85" customHeight="1" x14ac:dyDescent="0.45">
      <c r="A1554" s="30">
        <v>67</v>
      </c>
      <c r="B1554" s="30"/>
      <c r="C1554" s="30"/>
      <c r="D1554" s="30"/>
      <c r="E1554" s="30"/>
      <c r="F1554" s="30"/>
      <c r="G1554" s="30"/>
      <c r="H1554" s="30"/>
      <c r="I1554" s="30"/>
      <c r="J1554" s="30"/>
      <c r="K1554" s="30"/>
      <c r="L1554" s="30"/>
      <c r="M1554" s="30"/>
      <c r="N1554" s="30" t="str" cm="1">
        <f t="array" ref="N1554">Main_Log_Status(Main_Log[[#This Row],[Carrier]],Main_Log[[#This Row],[Net Weight]])</f>
        <v/>
      </c>
      <c r="O1554" s="30"/>
      <c r="P155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54" s="30"/>
      <c r="R1554" s="30" t="str" cm="1">
        <f t="array" ref="R1554">Main_Log_Ref(Main_Log[[#This Row],[Carrier]])</f>
        <v/>
      </c>
    </row>
    <row r="1555" spans="1:18" ht="29.85" customHeight="1" x14ac:dyDescent="0.45">
      <c r="A1555" s="30">
        <v>68</v>
      </c>
      <c r="B1555" s="30"/>
      <c r="C1555" s="30"/>
      <c r="D1555" s="30"/>
      <c r="E1555" s="30"/>
      <c r="F1555" s="30"/>
      <c r="G1555" s="30"/>
      <c r="H1555" s="30"/>
      <c r="I1555" s="30"/>
      <c r="J1555" s="30"/>
      <c r="K1555" s="30"/>
      <c r="L1555" s="30"/>
      <c r="M1555" s="30"/>
      <c r="N1555" s="30" t="str" cm="1">
        <f t="array" ref="N1555">Main_Log_Status(Main_Log[[#This Row],[Carrier]],Main_Log[[#This Row],[Net Weight]])</f>
        <v/>
      </c>
      <c r="O1555" s="30"/>
      <c r="P155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55" s="30"/>
      <c r="R1555" s="30" t="str" cm="1">
        <f t="array" ref="R1555">Main_Log_Ref(Main_Log[[#This Row],[Carrier]])</f>
        <v/>
      </c>
    </row>
    <row r="1556" spans="1:18" ht="29.85" customHeight="1" x14ac:dyDescent="0.45">
      <c r="A1556" s="30">
        <v>69</v>
      </c>
      <c r="B1556" s="30"/>
      <c r="C1556" s="30"/>
      <c r="D1556" s="30"/>
      <c r="E1556" s="30"/>
      <c r="F1556" s="30"/>
      <c r="G1556" s="30"/>
      <c r="H1556" s="30"/>
      <c r="I1556" s="30"/>
      <c r="J1556" s="30"/>
      <c r="K1556" s="30"/>
      <c r="L1556" s="30"/>
      <c r="M1556" s="30"/>
      <c r="N1556" s="30" t="str" cm="1">
        <f t="array" ref="N1556">Main_Log_Status(Main_Log[[#This Row],[Carrier]],Main_Log[[#This Row],[Net Weight]])</f>
        <v/>
      </c>
      <c r="O1556" s="30"/>
      <c r="P155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56" s="30"/>
      <c r="R1556" s="30" t="str" cm="1">
        <f t="array" ref="R1556">Main_Log_Ref(Main_Log[[#This Row],[Carrier]])</f>
        <v/>
      </c>
    </row>
    <row r="1557" spans="1:18" ht="29.85" customHeight="1" x14ac:dyDescent="0.45">
      <c r="A1557" s="30">
        <v>70</v>
      </c>
      <c r="B1557" s="30"/>
      <c r="C1557" s="30"/>
      <c r="D1557" s="30"/>
      <c r="E1557" s="30"/>
      <c r="F1557" s="30"/>
      <c r="G1557" s="30"/>
      <c r="H1557" s="30"/>
      <c r="I1557" s="30"/>
      <c r="J1557" s="30"/>
      <c r="K1557" s="30"/>
      <c r="L1557" s="30"/>
      <c r="M1557" s="30"/>
      <c r="N1557" s="30" t="str" cm="1">
        <f t="array" ref="N1557">Main_Log_Status(Main_Log[[#This Row],[Carrier]],Main_Log[[#This Row],[Net Weight]])</f>
        <v/>
      </c>
      <c r="O1557" s="30"/>
      <c r="P155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57" s="30"/>
      <c r="R1557" s="30" t="str" cm="1">
        <f t="array" ref="R1557">Main_Log_Ref(Main_Log[[#This Row],[Carrier]])</f>
        <v/>
      </c>
    </row>
    <row r="1558" spans="1:18" ht="29.85" customHeight="1" x14ac:dyDescent="0.45">
      <c r="A1558" s="30">
        <v>71</v>
      </c>
      <c r="B1558" s="30"/>
      <c r="C1558" s="30"/>
      <c r="D1558" s="30"/>
      <c r="E1558" s="30"/>
      <c r="F1558" s="30"/>
      <c r="G1558" s="30"/>
      <c r="H1558" s="30"/>
      <c r="I1558" s="30"/>
      <c r="J1558" s="30"/>
      <c r="K1558" s="30"/>
      <c r="L1558" s="30"/>
      <c r="M1558" s="30"/>
      <c r="N1558" s="30" t="str" cm="1">
        <f t="array" ref="N1558">Main_Log_Status(Main_Log[[#This Row],[Carrier]],Main_Log[[#This Row],[Net Weight]])</f>
        <v/>
      </c>
      <c r="O1558" s="30"/>
      <c r="P155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58" s="30"/>
      <c r="R1558" s="30" t="str" cm="1">
        <f t="array" ref="R1558">Main_Log_Ref(Main_Log[[#This Row],[Carrier]])</f>
        <v/>
      </c>
    </row>
    <row r="1559" spans="1:18" ht="29.85" customHeight="1" x14ac:dyDescent="0.45">
      <c r="A1559" s="30">
        <v>72</v>
      </c>
      <c r="B1559" s="30"/>
      <c r="C1559" s="30"/>
      <c r="D1559" s="30"/>
      <c r="E1559" s="30"/>
      <c r="F1559" s="30"/>
      <c r="G1559" s="30"/>
      <c r="H1559" s="30"/>
      <c r="I1559" s="30"/>
      <c r="J1559" s="30"/>
      <c r="K1559" s="30"/>
      <c r="L1559" s="30"/>
      <c r="M1559" s="30"/>
      <c r="N1559" s="30" t="str" cm="1">
        <f t="array" ref="N1559">Main_Log_Status(Main_Log[[#This Row],[Carrier]],Main_Log[[#This Row],[Net Weight]])</f>
        <v/>
      </c>
      <c r="O1559" s="30"/>
      <c r="P155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59" s="30"/>
      <c r="R1559" s="30" t="str" cm="1">
        <f t="array" ref="R1559">Main_Log_Ref(Main_Log[[#This Row],[Carrier]])</f>
        <v/>
      </c>
    </row>
    <row r="1560" spans="1:18" ht="29.85" customHeight="1" x14ac:dyDescent="0.45">
      <c r="A1560" s="30">
        <v>73</v>
      </c>
      <c r="B1560" s="30"/>
      <c r="C1560" s="30"/>
      <c r="D1560" s="30"/>
      <c r="E1560" s="30"/>
      <c r="F1560" s="30"/>
      <c r="G1560" s="30"/>
      <c r="H1560" s="30"/>
      <c r="I1560" s="30"/>
      <c r="J1560" s="30"/>
      <c r="K1560" s="30"/>
      <c r="L1560" s="30"/>
      <c r="M1560" s="30"/>
      <c r="N1560" s="30" t="str" cm="1">
        <f t="array" ref="N1560">Main_Log_Status(Main_Log[[#This Row],[Carrier]],Main_Log[[#This Row],[Net Weight]])</f>
        <v/>
      </c>
      <c r="O1560" s="30"/>
      <c r="P156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60" s="30"/>
      <c r="R1560" s="30" t="str" cm="1">
        <f t="array" ref="R1560">Main_Log_Ref(Main_Log[[#This Row],[Carrier]])</f>
        <v/>
      </c>
    </row>
    <row r="1561" spans="1:18" ht="29.85" customHeight="1" x14ac:dyDescent="0.45">
      <c r="A1561" s="30">
        <v>74</v>
      </c>
      <c r="B1561" s="30"/>
      <c r="C1561" s="30"/>
      <c r="D1561" s="30"/>
      <c r="E1561" s="30"/>
      <c r="F1561" s="30"/>
      <c r="G1561" s="30"/>
      <c r="H1561" s="30"/>
      <c r="I1561" s="30"/>
      <c r="J1561" s="30"/>
      <c r="K1561" s="30"/>
      <c r="L1561" s="30"/>
      <c r="M1561" s="30"/>
      <c r="N1561" s="30" t="str" cm="1">
        <f t="array" ref="N1561">Main_Log_Status(Main_Log[[#This Row],[Carrier]],Main_Log[[#This Row],[Net Weight]])</f>
        <v/>
      </c>
      <c r="O1561" s="30"/>
      <c r="P156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61" s="30"/>
      <c r="R1561" s="30" t="str" cm="1">
        <f t="array" ref="R1561">Main_Log_Ref(Main_Log[[#This Row],[Carrier]])</f>
        <v/>
      </c>
    </row>
    <row r="1562" spans="1:18" ht="29.85" customHeight="1" x14ac:dyDescent="0.45">
      <c r="A1562" s="30">
        <v>75</v>
      </c>
      <c r="B1562" s="30"/>
      <c r="C1562" s="30"/>
      <c r="D1562" s="30"/>
      <c r="E1562" s="30"/>
      <c r="F1562" s="30"/>
      <c r="G1562" s="30"/>
      <c r="H1562" s="30"/>
      <c r="I1562" s="30"/>
      <c r="J1562" s="30"/>
      <c r="K1562" s="30"/>
      <c r="L1562" s="30"/>
      <c r="M1562" s="30"/>
      <c r="N1562" s="30" t="str" cm="1">
        <f t="array" ref="N1562">Main_Log_Status(Main_Log[[#This Row],[Carrier]],Main_Log[[#This Row],[Net Weight]])</f>
        <v/>
      </c>
      <c r="O1562" s="30"/>
      <c r="P156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62" s="30"/>
      <c r="R1562" s="30" t="str" cm="1">
        <f t="array" ref="R1562">Main_Log_Ref(Main_Log[[#This Row],[Carrier]])</f>
        <v/>
      </c>
    </row>
    <row r="1563" spans="1:18" ht="29.85" customHeight="1" x14ac:dyDescent="0.45">
      <c r="A1563" s="30">
        <v>76</v>
      </c>
      <c r="B1563" s="30"/>
      <c r="C1563" s="30"/>
      <c r="D1563" s="30"/>
      <c r="E1563" s="30"/>
      <c r="F1563" s="30"/>
      <c r="G1563" s="30"/>
      <c r="H1563" s="30"/>
      <c r="I1563" s="30"/>
      <c r="J1563" s="30"/>
      <c r="K1563" s="30"/>
      <c r="L1563" s="30"/>
      <c r="M1563" s="30"/>
      <c r="N1563" s="30" t="str" cm="1">
        <f t="array" ref="N1563">Main_Log_Status(Main_Log[[#This Row],[Carrier]],Main_Log[[#This Row],[Net Weight]])</f>
        <v/>
      </c>
      <c r="O1563" s="30"/>
      <c r="P156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63" s="30"/>
      <c r="R1563" s="30" t="str" cm="1">
        <f t="array" ref="R1563">Main_Log_Ref(Main_Log[[#This Row],[Carrier]])</f>
        <v/>
      </c>
    </row>
    <row r="1564" spans="1:18" ht="29.85" customHeight="1" x14ac:dyDescent="0.45">
      <c r="A1564" s="30">
        <v>77</v>
      </c>
      <c r="B1564" s="30"/>
      <c r="C1564" s="30"/>
      <c r="D1564" s="30"/>
      <c r="E1564" s="30"/>
      <c r="F1564" s="30"/>
      <c r="G1564" s="30"/>
      <c r="H1564" s="30"/>
      <c r="I1564" s="30"/>
      <c r="J1564" s="30"/>
      <c r="K1564" s="30"/>
      <c r="L1564" s="30"/>
      <c r="M1564" s="30"/>
      <c r="N1564" s="30" t="str" cm="1">
        <f t="array" ref="N1564">Main_Log_Status(Main_Log[[#This Row],[Carrier]],Main_Log[[#This Row],[Net Weight]])</f>
        <v/>
      </c>
      <c r="O1564" s="30"/>
      <c r="P156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64" s="30"/>
      <c r="R1564" s="30" t="str" cm="1">
        <f t="array" ref="R1564">Main_Log_Ref(Main_Log[[#This Row],[Carrier]])</f>
        <v/>
      </c>
    </row>
    <row r="1565" spans="1:18" ht="29.85" customHeight="1" x14ac:dyDescent="0.45">
      <c r="A1565" s="30">
        <v>78</v>
      </c>
      <c r="B1565" s="30"/>
      <c r="C1565" s="30"/>
      <c r="D1565" s="30"/>
      <c r="E1565" s="30"/>
      <c r="F1565" s="30"/>
      <c r="G1565" s="30"/>
      <c r="H1565" s="30"/>
      <c r="I1565" s="30"/>
      <c r="J1565" s="30"/>
      <c r="K1565" s="30"/>
      <c r="L1565" s="30"/>
      <c r="M1565" s="30"/>
      <c r="N1565" s="30" t="str" cm="1">
        <f t="array" ref="N1565">Main_Log_Status(Main_Log[[#This Row],[Carrier]],Main_Log[[#This Row],[Net Weight]])</f>
        <v/>
      </c>
      <c r="O1565" s="30"/>
      <c r="P156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65" s="30"/>
      <c r="R1565" s="30" t="str" cm="1">
        <f t="array" ref="R1565">Main_Log_Ref(Main_Log[[#This Row],[Carrier]])</f>
        <v/>
      </c>
    </row>
    <row r="1566" spans="1:18" ht="29.85" customHeight="1" x14ac:dyDescent="0.45">
      <c r="A1566" s="30">
        <v>79</v>
      </c>
      <c r="B1566" s="30"/>
      <c r="C1566" s="30"/>
      <c r="D1566" s="30"/>
      <c r="E1566" s="30"/>
      <c r="F1566" s="30"/>
      <c r="G1566" s="30"/>
      <c r="H1566" s="30"/>
      <c r="I1566" s="30"/>
      <c r="J1566" s="30"/>
      <c r="K1566" s="30"/>
      <c r="L1566" s="30"/>
      <c r="M1566" s="30"/>
      <c r="N1566" s="30" t="str" cm="1">
        <f t="array" ref="N1566">Main_Log_Status(Main_Log[[#This Row],[Carrier]],Main_Log[[#This Row],[Net Weight]])</f>
        <v/>
      </c>
      <c r="O1566" s="30"/>
      <c r="P156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66" s="30"/>
      <c r="R1566" s="30" t="str" cm="1">
        <f t="array" ref="R1566">Main_Log_Ref(Main_Log[[#This Row],[Carrier]])</f>
        <v/>
      </c>
    </row>
    <row r="1567" spans="1:18" ht="29.85" customHeight="1" x14ac:dyDescent="0.45">
      <c r="A1567" s="30">
        <v>80</v>
      </c>
      <c r="B1567" s="30"/>
      <c r="C1567" s="30"/>
      <c r="D1567" s="30"/>
      <c r="E1567" s="30"/>
      <c r="F1567" s="30"/>
      <c r="G1567" s="30"/>
      <c r="H1567" s="30"/>
      <c r="I1567" s="30"/>
      <c r="J1567" s="30"/>
      <c r="K1567" s="30"/>
      <c r="L1567" s="30"/>
      <c r="M1567" s="30"/>
      <c r="N1567" s="30" t="str" cm="1">
        <f t="array" ref="N1567">Main_Log_Status(Main_Log[[#This Row],[Carrier]],Main_Log[[#This Row],[Net Weight]])</f>
        <v/>
      </c>
      <c r="O1567" s="30"/>
      <c r="P156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67" s="30"/>
      <c r="R1567" s="30" t="str" cm="1">
        <f t="array" ref="R1567">Main_Log_Ref(Main_Log[[#This Row],[Carrier]])</f>
        <v/>
      </c>
    </row>
    <row r="1568" spans="1:18" ht="29.85" customHeight="1" x14ac:dyDescent="0.45">
      <c r="A1568" s="30">
        <v>81</v>
      </c>
      <c r="B1568" s="30"/>
      <c r="C1568" s="30"/>
      <c r="D1568" s="30"/>
      <c r="E1568" s="30"/>
      <c r="F1568" s="30"/>
      <c r="G1568" s="30"/>
      <c r="H1568" s="30"/>
      <c r="I1568" s="30"/>
      <c r="J1568" s="30"/>
      <c r="K1568" s="30"/>
      <c r="L1568" s="30"/>
      <c r="M1568" s="30"/>
      <c r="N1568" s="30" t="str" cm="1">
        <f t="array" ref="N1568">Main_Log_Status(Main_Log[[#This Row],[Carrier]],Main_Log[[#This Row],[Net Weight]])</f>
        <v/>
      </c>
      <c r="O1568" s="30"/>
      <c r="P156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68" s="30"/>
      <c r="R1568" s="30" t="str" cm="1">
        <f t="array" ref="R1568">Main_Log_Ref(Main_Log[[#This Row],[Carrier]])</f>
        <v/>
      </c>
    </row>
    <row r="1569" spans="1:18" ht="29.85" customHeight="1" x14ac:dyDescent="0.45">
      <c r="A1569" s="30">
        <v>82</v>
      </c>
      <c r="B1569" s="30"/>
      <c r="C1569" s="30"/>
      <c r="D1569" s="30"/>
      <c r="E1569" s="30"/>
      <c r="F1569" s="30"/>
      <c r="G1569" s="30"/>
      <c r="H1569" s="30"/>
      <c r="I1569" s="30"/>
      <c r="J1569" s="30"/>
      <c r="K1569" s="30"/>
      <c r="L1569" s="30"/>
      <c r="M1569" s="30"/>
      <c r="N1569" s="30" t="str" cm="1">
        <f t="array" ref="N1569">Main_Log_Status(Main_Log[[#This Row],[Carrier]],Main_Log[[#This Row],[Net Weight]])</f>
        <v/>
      </c>
      <c r="O1569" s="30"/>
      <c r="P156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69" s="30"/>
      <c r="R1569" s="30" t="str" cm="1">
        <f t="array" ref="R1569">Main_Log_Ref(Main_Log[[#This Row],[Carrier]])</f>
        <v/>
      </c>
    </row>
    <row r="1570" spans="1:18" ht="29.85" customHeight="1" x14ac:dyDescent="0.45">
      <c r="A1570" s="30">
        <v>83</v>
      </c>
      <c r="B1570" s="30"/>
      <c r="C1570" s="30"/>
      <c r="D1570" s="30"/>
      <c r="E1570" s="30"/>
      <c r="F1570" s="30"/>
      <c r="G1570" s="30"/>
      <c r="H1570" s="30"/>
      <c r="I1570" s="30"/>
      <c r="J1570" s="30"/>
      <c r="K1570" s="30"/>
      <c r="L1570" s="30"/>
      <c r="M1570" s="30"/>
      <c r="N1570" s="30" t="str" cm="1">
        <f t="array" ref="N1570">Main_Log_Status(Main_Log[[#This Row],[Carrier]],Main_Log[[#This Row],[Net Weight]])</f>
        <v/>
      </c>
      <c r="O1570" s="30"/>
      <c r="P157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70" s="30"/>
      <c r="R1570" s="30" t="str" cm="1">
        <f t="array" ref="R1570">Main_Log_Ref(Main_Log[[#This Row],[Carrier]])</f>
        <v/>
      </c>
    </row>
    <row r="1571" spans="1:18" ht="29.85" customHeight="1" x14ac:dyDescent="0.45">
      <c r="A1571" s="30">
        <v>84</v>
      </c>
      <c r="B1571" s="30"/>
      <c r="C1571" s="30"/>
      <c r="D1571" s="30"/>
      <c r="E1571" s="30"/>
      <c r="F1571" s="30"/>
      <c r="G1571" s="30"/>
      <c r="H1571" s="30"/>
      <c r="I1571" s="30"/>
      <c r="J1571" s="30"/>
      <c r="K1571" s="30"/>
      <c r="L1571" s="30"/>
      <c r="M1571" s="30"/>
      <c r="N1571" s="30" t="str" cm="1">
        <f t="array" ref="N1571">Main_Log_Status(Main_Log[[#This Row],[Carrier]],Main_Log[[#This Row],[Net Weight]])</f>
        <v/>
      </c>
      <c r="O1571" s="30"/>
      <c r="P157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71" s="30"/>
      <c r="R1571" s="30" t="str" cm="1">
        <f t="array" ref="R1571">Main_Log_Ref(Main_Log[[#This Row],[Carrier]])</f>
        <v/>
      </c>
    </row>
    <row r="1572" spans="1:18" ht="29.85" customHeight="1" x14ac:dyDescent="0.45">
      <c r="A1572" s="30">
        <v>85</v>
      </c>
      <c r="B1572" s="30"/>
      <c r="C1572" s="30"/>
      <c r="D1572" s="30"/>
      <c r="E1572" s="30"/>
      <c r="F1572" s="30"/>
      <c r="G1572" s="30"/>
      <c r="H1572" s="30"/>
      <c r="I1572" s="30"/>
      <c r="J1572" s="30"/>
      <c r="K1572" s="30"/>
      <c r="L1572" s="30"/>
      <c r="M1572" s="30"/>
      <c r="N1572" s="30" t="str" cm="1">
        <f t="array" ref="N1572">Main_Log_Status(Main_Log[[#This Row],[Carrier]],Main_Log[[#This Row],[Net Weight]])</f>
        <v/>
      </c>
      <c r="O1572" s="30"/>
      <c r="P157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72" s="30"/>
      <c r="R1572" s="30" t="str" cm="1">
        <f t="array" ref="R1572">Main_Log_Ref(Main_Log[[#This Row],[Carrier]])</f>
        <v/>
      </c>
    </row>
    <row r="1573" spans="1:18" ht="29.85" customHeight="1" x14ac:dyDescent="0.45">
      <c r="A1573" s="30">
        <v>86</v>
      </c>
      <c r="B1573" s="30"/>
      <c r="C1573" s="30"/>
      <c r="D1573" s="30"/>
      <c r="E1573" s="30"/>
      <c r="F1573" s="30"/>
      <c r="G1573" s="30"/>
      <c r="H1573" s="30"/>
      <c r="I1573" s="30"/>
      <c r="J1573" s="30"/>
      <c r="K1573" s="30"/>
      <c r="L1573" s="30"/>
      <c r="M1573" s="30"/>
      <c r="N1573" s="30" t="str" cm="1">
        <f t="array" ref="N1573">Main_Log_Status(Main_Log[[#This Row],[Carrier]],Main_Log[[#This Row],[Net Weight]])</f>
        <v/>
      </c>
      <c r="O1573" s="30"/>
      <c r="P157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73" s="30"/>
      <c r="R1573" s="30" t="str" cm="1">
        <f t="array" ref="R1573">Main_Log_Ref(Main_Log[[#This Row],[Carrier]])</f>
        <v/>
      </c>
    </row>
    <row r="1574" spans="1:18" ht="29.85" customHeight="1" x14ac:dyDescent="0.45">
      <c r="A1574" s="30">
        <v>87</v>
      </c>
      <c r="B1574" s="30"/>
      <c r="C1574" s="30"/>
      <c r="D1574" s="30"/>
      <c r="E1574" s="30"/>
      <c r="F1574" s="30"/>
      <c r="G1574" s="30"/>
      <c r="H1574" s="30"/>
      <c r="I1574" s="30"/>
      <c r="J1574" s="30"/>
      <c r="K1574" s="30"/>
      <c r="L1574" s="30"/>
      <c r="M1574" s="30"/>
      <c r="N1574" s="30" t="str" cm="1">
        <f t="array" ref="N1574">Main_Log_Status(Main_Log[[#This Row],[Carrier]],Main_Log[[#This Row],[Net Weight]])</f>
        <v/>
      </c>
      <c r="O1574" s="30"/>
      <c r="P157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74" s="30"/>
      <c r="R1574" s="30" t="str" cm="1">
        <f t="array" ref="R1574">Main_Log_Ref(Main_Log[[#This Row],[Carrier]])</f>
        <v/>
      </c>
    </row>
    <row r="1575" spans="1:18" ht="29.85" customHeight="1" x14ac:dyDescent="0.45">
      <c r="A1575" s="30">
        <v>88</v>
      </c>
      <c r="B1575" s="30"/>
      <c r="C1575" s="30"/>
      <c r="D1575" s="30"/>
      <c r="E1575" s="30"/>
      <c r="F1575" s="30"/>
      <c r="G1575" s="30"/>
      <c r="H1575" s="30"/>
      <c r="I1575" s="30"/>
      <c r="J1575" s="30"/>
      <c r="K1575" s="30"/>
      <c r="L1575" s="30"/>
      <c r="M1575" s="30"/>
      <c r="N1575" s="30" t="str" cm="1">
        <f t="array" ref="N1575">Main_Log_Status(Main_Log[[#This Row],[Carrier]],Main_Log[[#This Row],[Net Weight]])</f>
        <v/>
      </c>
      <c r="O1575" s="30"/>
      <c r="P157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75" s="30"/>
      <c r="R1575" s="30" t="str" cm="1">
        <f t="array" ref="R1575">Main_Log_Ref(Main_Log[[#This Row],[Carrier]])</f>
        <v/>
      </c>
    </row>
    <row r="1576" spans="1:18" ht="29.85" customHeight="1" x14ac:dyDescent="0.45">
      <c r="A1576" s="30">
        <v>89</v>
      </c>
      <c r="B1576" s="30"/>
      <c r="C1576" s="30"/>
      <c r="D1576" s="30"/>
      <c r="E1576" s="30"/>
      <c r="F1576" s="30"/>
      <c r="G1576" s="30"/>
      <c r="H1576" s="30"/>
      <c r="I1576" s="30"/>
      <c r="J1576" s="30"/>
      <c r="K1576" s="30"/>
      <c r="L1576" s="30"/>
      <c r="M1576" s="30"/>
      <c r="N1576" s="30" t="str" cm="1">
        <f t="array" ref="N1576">Main_Log_Status(Main_Log[[#This Row],[Carrier]],Main_Log[[#This Row],[Net Weight]])</f>
        <v/>
      </c>
      <c r="O1576" s="30"/>
      <c r="P157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76" s="30"/>
      <c r="R1576" s="30" t="str" cm="1">
        <f t="array" ref="R1576">Main_Log_Ref(Main_Log[[#This Row],[Carrier]])</f>
        <v/>
      </c>
    </row>
    <row r="1577" spans="1:18" ht="29.85" customHeight="1" x14ac:dyDescent="0.45">
      <c r="A1577" s="30">
        <v>90</v>
      </c>
      <c r="B1577" s="30"/>
      <c r="C1577" s="30"/>
      <c r="D1577" s="30"/>
      <c r="E1577" s="30"/>
      <c r="F1577" s="30"/>
      <c r="G1577" s="30"/>
      <c r="H1577" s="30"/>
      <c r="I1577" s="30"/>
      <c r="J1577" s="30"/>
      <c r="K1577" s="30"/>
      <c r="L1577" s="30"/>
      <c r="M1577" s="30"/>
      <c r="N1577" s="30" t="str" cm="1">
        <f t="array" ref="N1577">Main_Log_Status(Main_Log[[#This Row],[Carrier]],Main_Log[[#This Row],[Net Weight]])</f>
        <v/>
      </c>
      <c r="O1577" s="30"/>
      <c r="P157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77" s="30"/>
      <c r="R1577" s="30" t="str" cm="1">
        <f t="array" ref="R1577">Main_Log_Ref(Main_Log[[#This Row],[Carrier]])</f>
        <v/>
      </c>
    </row>
    <row r="1578" spans="1:18" ht="29.85" customHeight="1" x14ac:dyDescent="0.45">
      <c r="A1578" s="30">
        <v>91</v>
      </c>
      <c r="B1578" s="30"/>
      <c r="C1578" s="30"/>
      <c r="D1578" s="30"/>
      <c r="E1578" s="30"/>
      <c r="F1578" s="30"/>
      <c r="G1578" s="30"/>
      <c r="H1578" s="30"/>
      <c r="I1578" s="30"/>
      <c r="J1578" s="30"/>
      <c r="K1578" s="30"/>
      <c r="L1578" s="30"/>
      <c r="M1578" s="30"/>
      <c r="N1578" s="30" t="str" cm="1">
        <f t="array" ref="N1578">Main_Log_Status(Main_Log[[#This Row],[Carrier]],Main_Log[[#This Row],[Net Weight]])</f>
        <v/>
      </c>
      <c r="O1578" s="30"/>
      <c r="P157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78" s="30"/>
      <c r="R1578" s="30" t="str" cm="1">
        <f t="array" ref="R1578">Main_Log_Ref(Main_Log[[#This Row],[Carrier]])</f>
        <v/>
      </c>
    </row>
    <row r="1579" spans="1:18" ht="29.85" customHeight="1" x14ac:dyDescent="0.45">
      <c r="A1579" s="30">
        <v>92</v>
      </c>
      <c r="B1579" s="30"/>
      <c r="C1579" s="30"/>
      <c r="D1579" s="30"/>
      <c r="E1579" s="30"/>
      <c r="F1579" s="30"/>
      <c r="G1579" s="30"/>
      <c r="H1579" s="30"/>
      <c r="I1579" s="30"/>
      <c r="J1579" s="30"/>
      <c r="K1579" s="30"/>
      <c r="L1579" s="30"/>
      <c r="M1579" s="30"/>
      <c r="N1579" s="30" t="str" cm="1">
        <f t="array" ref="N1579">Main_Log_Status(Main_Log[[#This Row],[Carrier]],Main_Log[[#This Row],[Net Weight]])</f>
        <v/>
      </c>
      <c r="O1579" s="30"/>
      <c r="P157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79" s="30"/>
      <c r="R1579" s="30" t="str" cm="1">
        <f t="array" ref="R1579">Main_Log_Ref(Main_Log[[#This Row],[Carrier]])</f>
        <v/>
      </c>
    </row>
    <row r="1580" spans="1:18" ht="29.85" customHeight="1" x14ac:dyDescent="0.45">
      <c r="A1580" s="30">
        <v>93</v>
      </c>
      <c r="B1580" s="30"/>
      <c r="C1580" s="30"/>
      <c r="D1580" s="30"/>
      <c r="E1580" s="30"/>
      <c r="F1580" s="30"/>
      <c r="G1580" s="30"/>
      <c r="H1580" s="30"/>
      <c r="I1580" s="30"/>
      <c r="J1580" s="30"/>
      <c r="K1580" s="30"/>
      <c r="L1580" s="30"/>
      <c r="M1580" s="30"/>
      <c r="N1580" s="30" t="str" cm="1">
        <f t="array" ref="N1580">Main_Log_Status(Main_Log[[#This Row],[Carrier]],Main_Log[[#This Row],[Net Weight]])</f>
        <v/>
      </c>
      <c r="O1580" s="30"/>
      <c r="P158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80" s="30"/>
      <c r="R1580" s="30" t="str" cm="1">
        <f t="array" ref="R1580">Main_Log_Ref(Main_Log[[#This Row],[Carrier]])</f>
        <v/>
      </c>
    </row>
    <row r="1581" spans="1:18" ht="29.85" customHeight="1" x14ac:dyDescent="0.45">
      <c r="A1581" s="30">
        <v>94</v>
      </c>
      <c r="B1581" s="30"/>
      <c r="C1581" s="30"/>
      <c r="D1581" s="30"/>
      <c r="E1581" s="30"/>
      <c r="F1581" s="30"/>
      <c r="G1581" s="30"/>
      <c r="H1581" s="30"/>
      <c r="I1581" s="30"/>
      <c r="J1581" s="30"/>
      <c r="K1581" s="30"/>
      <c r="L1581" s="30"/>
      <c r="M1581" s="30"/>
      <c r="N1581" s="30" t="str" cm="1">
        <f t="array" ref="N1581">Main_Log_Status(Main_Log[[#This Row],[Carrier]],Main_Log[[#This Row],[Net Weight]])</f>
        <v/>
      </c>
      <c r="O1581" s="30"/>
      <c r="P158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81" s="30"/>
      <c r="R1581" s="30" t="str" cm="1">
        <f t="array" ref="R1581">Main_Log_Ref(Main_Log[[#This Row],[Carrier]])</f>
        <v/>
      </c>
    </row>
    <row r="1582" spans="1:18" ht="29.85" customHeight="1" x14ac:dyDescent="0.45">
      <c r="A1582" s="30">
        <v>95</v>
      </c>
      <c r="B1582" s="30"/>
      <c r="C1582" s="30"/>
      <c r="D1582" s="30"/>
      <c r="E1582" s="30"/>
      <c r="F1582" s="30"/>
      <c r="G1582" s="30"/>
      <c r="H1582" s="30"/>
      <c r="I1582" s="30"/>
      <c r="J1582" s="30"/>
      <c r="K1582" s="30"/>
      <c r="L1582" s="30"/>
      <c r="M1582" s="30"/>
      <c r="N1582" s="30" t="str" cm="1">
        <f t="array" ref="N1582">Main_Log_Status(Main_Log[[#This Row],[Carrier]],Main_Log[[#This Row],[Net Weight]])</f>
        <v/>
      </c>
      <c r="O1582" s="30"/>
      <c r="P158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82" s="30"/>
      <c r="R1582" s="30" t="str" cm="1">
        <f t="array" ref="R1582">Main_Log_Ref(Main_Log[[#This Row],[Carrier]])</f>
        <v/>
      </c>
    </row>
    <row r="1583" spans="1:18" ht="29.85" customHeight="1" x14ac:dyDescent="0.45">
      <c r="A1583" s="30">
        <v>96</v>
      </c>
      <c r="B1583" s="30"/>
      <c r="C1583" s="30"/>
      <c r="D1583" s="30"/>
      <c r="E1583" s="30"/>
      <c r="F1583" s="30"/>
      <c r="G1583" s="30"/>
      <c r="H1583" s="30"/>
      <c r="I1583" s="30"/>
      <c r="J1583" s="30"/>
      <c r="K1583" s="30"/>
      <c r="L1583" s="30"/>
      <c r="M1583" s="30"/>
      <c r="N1583" s="30" t="str" cm="1">
        <f t="array" ref="N1583">Main_Log_Status(Main_Log[[#This Row],[Carrier]],Main_Log[[#This Row],[Net Weight]])</f>
        <v/>
      </c>
      <c r="O1583" s="30"/>
      <c r="P158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83" s="30"/>
      <c r="R1583" s="30" t="str" cm="1">
        <f t="array" ref="R1583">Main_Log_Ref(Main_Log[[#This Row],[Carrier]])</f>
        <v/>
      </c>
    </row>
    <row r="1584" spans="1:18" ht="29.85" customHeight="1" x14ac:dyDescent="0.45">
      <c r="A1584" s="30">
        <v>97</v>
      </c>
      <c r="B1584" s="30"/>
      <c r="C1584" s="30"/>
      <c r="D1584" s="30"/>
      <c r="E1584" s="30"/>
      <c r="F1584" s="30"/>
      <c r="G1584" s="30"/>
      <c r="H1584" s="30"/>
      <c r="I1584" s="30"/>
      <c r="J1584" s="30"/>
      <c r="K1584" s="30"/>
      <c r="L1584" s="30"/>
      <c r="M1584" s="30"/>
      <c r="N1584" s="30" t="str" cm="1">
        <f t="array" ref="N1584">Main_Log_Status(Main_Log[[#This Row],[Carrier]],Main_Log[[#This Row],[Net Weight]])</f>
        <v/>
      </c>
      <c r="O1584" s="30"/>
      <c r="P158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84" s="30"/>
      <c r="R1584" s="30" t="str" cm="1">
        <f t="array" ref="R1584">Main_Log_Ref(Main_Log[[#This Row],[Carrier]])</f>
        <v/>
      </c>
    </row>
    <row r="1585" spans="1:18" ht="29.85" customHeight="1" x14ac:dyDescent="0.45">
      <c r="A1585" s="30">
        <v>98</v>
      </c>
      <c r="B1585" s="30"/>
      <c r="C1585" s="30"/>
      <c r="D1585" s="30"/>
      <c r="E1585" s="30"/>
      <c r="F1585" s="30"/>
      <c r="G1585" s="30"/>
      <c r="H1585" s="30"/>
      <c r="I1585" s="30"/>
      <c r="J1585" s="30"/>
      <c r="K1585" s="30"/>
      <c r="L1585" s="30"/>
      <c r="M1585" s="30"/>
      <c r="N1585" s="30" t="str" cm="1">
        <f t="array" ref="N1585">Main_Log_Status(Main_Log[[#This Row],[Carrier]],Main_Log[[#This Row],[Net Weight]])</f>
        <v/>
      </c>
      <c r="O1585" s="30"/>
      <c r="P158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85" s="30"/>
      <c r="R1585" s="30" t="str" cm="1">
        <f t="array" ref="R1585">Main_Log_Ref(Main_Log[[#This Row],[Carrier]])</f>
        <v/>
      </c>
    </row>
    <row r="1586" spans="1:18" ht="29.85" customHeight="1" x14ac:dyDescent="0.45">
      <c r="A1586" s="30">
        <v>99</v>
      </c>
      <c r="B1586" s="30"/>
      <c r="C1586" s="30"/>
      <c r="D1586" s="30"/>
      <c r="E1586" s="30"/>
      <c r="F1586" s="30"/>
      <c r="G1586" s="30"/>
      <c r="H1586" s="30"/>
      <c r="I1586" s="30"/>
      <c r="J1586" s="30"/>
      <c r="K1586" s="30"/>
      <c r="L1586" s="30"/>
      <c r="M1586" s="30"/>
      <c r="N1586" s="30" t="str" cm="1">
        <f t="array" ref="N1586">Main_Log_Status(Main_Log[[#This Row],[Carrier]],Main_Log[[#This Row],[Net Weight]])</f>
        <v/>
      </c>
      <c r="O1586" s="30"/>
      <c r="P158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86" s="30"/>
      <c r="R1586" s="30" t="str" cm="1">
        <f t="array" ref="R1586">Main_Log_Ref(Main_Log[[#This Row],[Carrier]])</f>
        <v/>
      </c>
    </row>
    <row r="1587" spans="1:18" ht="29.85" customHeight="1" x14ac:dyDescent="0.45">
      <c r="A1587" s="30">
        <v>1</v>
      </c>
      <c r="B1587" s="30"/>
      <c r="C1587" s="30"/>
      <c r="D1587" s="30"/>
      <c r="E1587" s="30"/>
      <c r="F1587" s="30"/>
      <c r="G1587" s="30"/>
      <c r="H1587" s="30"/>
      <c r="I1587" s="30"/>
      <c r="J1587" s="30"/>
      <c r="K1587" s="30"/>
      <c r="L1587" s="30"/>
      <c r="M1587" s="30"/>
      <c r="N1587" s="30" t="str" cm="1">
        <f t="array" ref="N1587">Main_Log_Status(Main_Log[[#This Row],[Carrier]],Main_Log[[#This Row],[Net Weight]])</f>
        <v/>
      </c>
      <c r="O1587" s="30"/>
      <c r="P158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87" s="30"/>
      <c r="R1587" s="30" t="str" cm="1">
        <f t="array" ref="R1587">Main_Log_Ref(Main_Log[[#This Row],[Carrier]])</f>
        <v/>
      </c>
    </row>
    <row r="1588" spans="1:18" ht="29.85" customHeight="1" x14ac:dyDescent="0.45">
      <c r="A1588" s="30">
        <v>2</v>
      </c>
      <c r="B1588" s="30"/>
      <c r="C1588" s="30"/>
      <c r="D1588" s="30"/>
      <c r="E1588" s="30"/>
      <c r="F1588" s="30"/>
      <c r="G1588" s="30"/>
      <c r="H1588" s="30"/>
      <c r="I1588" s="30"/>
      <c r="J1588" s="30"/>
      <c r="K1588" s="30"/>
      <c r="L1588" s="30"/>
      <c r="M1588" s="30"/>
      <c r="N1588" s="30" t="str" cm="1">
        <f t="array" ref="N1588">Main_Log_Status(Main_Log[[#This Row],[Carrier]],Main_Log[[#This Row],[Net Weight]])</f>
        <v/>
      </c>
      <c r="O1588" s="30"/>
      <c r="P158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88" s="30"/>
      <c r="R1588" s="30" t="str" cm="1">
        <f t="array" ref="R1588">Main_Log_Ref(Main_Log[[#This Row],[Carrier]])</f>
        <v/>
      </c>
    </row>
    <row r="1589" spans="1:18" ht="29.85" customHeight="1" x14ac:dyDescent="0.45">
      <c r="A1589" s="30">
        <v>3</v>
      </c>
      <c r="B1589" s="30"/>
      <c r="C1589" s="30"/>
      <c r="D1589" s="30"/>
      <c r="E1589" s="30"/>
      <c r="F1589" s="30"/>
      <c r="G1589" s="30"/>
      <c r="H1589" s="30"/>
      <c r="I1589" s="30"/>
      <c r="J1589" s="30"/>
      <c r="K1589" s="30"/>
      <c r="L1589" s="30"/>
      <c r="M1589" s="30"/>
      <c r="N1589" s="30" t="str" cm="1">
        <f t="array" ref="N1589">Main_Log_Status(Main_Log[[#This Row],[Carrier]],Main_Log[[#This Row],[Net Weight]])</f>
        <v/>
      </c>
      <c r="O1589" s="30"/>
      <c r="P158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89" s="30"/>
      <c r="R1589" s="30" t="str" cm="1">
        <f t="array" ref="R1589">Main_Log_Ref(Main_Log[[#This Row],[Carrier]])</f>
        <v/>
      </c>
    </row>
    <row r="1590" spans="1:18" ht="29.85" customHeight="1" x14ac:dyDescent="0.45">
      <c r="A1590" s="30">
        <v>4</v>
      </c>
      <c r="B1590" s="30"/>
      <c r="C1590" s="30"/>
      <c r="D1590" s="30"/>
      <c r="E1590" s="30"/>
      <c r="F1590" s="30"/>
      <c r="G1590" s="30"/>
      <c r="H1590" s="30"/>
      <c r="I1590" s="30"/>
      <c r="J1590" s="30"/>
      <c r="K1590" s="30"/>
      <c r="L1590" s="30"/>
      <c r="M1590" s="30"/>
      <c r="N1590" s="30" t="str" cm="1">
        <f t="array" ref="N1590">Main_Log_Status(Main_Log[[#This Row],[Carrier]],Main_Log[[#This Row],[Net Weight]])</f>
        <v/>
      </c>
      <c r="O1590" s="30"/>
      <c r="P159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90" s="30"/>
      <c r="R1590" s="30" t="str" cm="1">
        <f t="array" ref="R1590">Main_Log_Ref(Main_Log[[#This Row],[Carrier]])</f>
        <v/>
      </c>
    </row>
    <row r="1591" spans="1:18" ht="29.85" customHeight="1" x14ac:dyDescent="0.45">
      <c r="A1591" s="30">
        <v>5</v>
      </c>
      <c r="B1591" s="30"/>
      <c r="C1591" s="30"/>
      <c r="D1591" s="30"/>
      <c r="E1591" s="30"/>
      <c r="F1591" s="30"/>
      <c r="G1591" s="30"/>
      <c r="H1591" s="30"/>
      <c r="I1591" s="30"/>
      <c r="J1591" s="30"/>
      <c r="K1591" s="30"/>
      <c r="L1591" s="30"/>
      <c r="M1591" s="30"/>
      <c r="N1591" s="30" t="str" cm="1">
        <f t="array" ref="N1591">Main_Log_Status(Main_Log[[#This Row],[Carrier]],Main_Log[[#This Row],[Net Weight]])</f>
        <v/>
      </c>
      <c r="O1591" s="30"/>
      <c r="P159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91" s="30"/>
      <c r="R1591" s="30" t="str" cm="1">
        <f t="array" ref="R1591">Main_Log_Ref(Main_Log[[#This Row],[Carrier]])</f>
        <v/>
      </c>
    </row>
    <row r="1592" spans="1:18" ht="29.85" customHeight="1" x14ac:dyDescent="0.45">
      <c r="A1592" s="30">
        <v>6</v>
      </c>
      <c r="B1592" s="30"/>
      <c r="C1592" s="30"/>
      <c r="D1592" s="30"/>
      <c r="E1592" s="30"/>
      <c r="F1592" s="30"/>
      <c r="G1592" s="30"/>
      <c r="H1592" s="30"/>
      <c r="I1592" s="30"/>
      <c r="J1592" s="30"/>
      <c r="K1592" s="30"/>
      <c r="L1592" s="30"/>
      <c r="M1592" s="30"/>
      <c r="N1592" s="30" t="str" cm="1">
        <f t="array" ref="N1592">Main_Log_Status(Main_Log[[#This Row],[Carrier]],Main_Log[[#This Row],[Net Weight]])</f>
        <v/>
      </c>
      <c r="O1592" s="30"/>
      <c r="P159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92" s="30"/>
      <c r="R1592" s="30" t="str" cm="1">
        <f t="array" ref="R1592">Main_Log_Ref(Main_Log[[#This Row],[Carrier]])</f>
        <v/>
      </c>
    </row>
    <row r="1593" spans="1:18" ht="29.85" customHeight="1" x14ac:dyDescent="0.45">
      <c r="A1593" s="30">
        <v>7</v>
      </c>
      <c r="B1593" s="30"/>
      <c r="C1593" s="30"/>
      <c r="D1593" s="30"/>
      <c r="E1593" s="30"/>
      <c r="F1593" s="30"/>
      <c r="G1593" s="30"/>
      <c r="H1593" s="30"/>
      <c r="I1593" s="30"/>
      <c r="J1593" s="30"/>
      <c r="K1593" s="30"/>
      <c r="L1593" s="30"/>
      <c r="M1593" s="30"/>
      <c r="N1593" s="30" t="str" cm="1">
        <f t="array" ref="N1593">Main_Log_Status(Main_Log[[#This Row],[Carrier]],Main_Log[[#This Row],[Net Weight]])</f>
        <v/>
      </c>
      <c r="O1593" s="30"/>
      <c r="P159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93" s="30"/>
      <c r="R1593" s="30" t="str" cm="1">
        <f t="array" ref="R1593">Main_Log_Ref(Main_Log[[#This Row],[Carrier]])</f>
        <v/>
      </c>
    </row>
    <row r="1594" spans="1:18" ht="29.85" customHeight="1" x14ac:dyDescent="0.45">
      <c r="A1594" s="30">
        <v>8</v>
      </c>
      <c r="B1594" s="30"/>
      <c r="C1594" s="30"/>
      <c r="D1594" s="30"/>
      <c r="E1594" s="30"/>
      <c r="F1594" s="30"/>
      <c r="G1594" s="30"/>
      <c r="H1594" s="30"/>
      <c r="I1594" s="30"/>
      <c r="J1594" s="30"/>
      <c r="K1594" s="30"/>
      <c r="L1594" s="30"/>
      <c r="M1594" s="30"/>
      <c r="N1594" s="30" t="str" cm="1">
        <f t="array" ref="N1594">Main_Log_Status(Main_Log[[#This Row],[Carrier]],Main_Log[[#This Row],[Net Weight]])</f>
        <v/>
      </c>
      <c r="O1594" s="30"/>
      <c r="P159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94" s="30"/>
      <c r="R1594" s="30" t="str" cm="1">
        <f t="array" ref="R1594">Main_Log_Ref(Main_Log[[#This Row],[Carrier]])</f>
        <v/>
      </c>
    </row>
    <row r="1595" spans="1:18" ht="29.85" customHeight="1" x14ac:dyDescent="0.45">
      <c r="A1595" s="30">
        <v>9</v>
      </c>
      <c r="B1595" s="30"/>
      <c r="C1595" s="30"/>
      <c r="D1595" s="30"/>
      <c r="E1595" s="30"/>
      <c r="F1595" s="30"/>
      <c r="G1595" s="30"/>
      <c r="H1595" s="30"/>
      <c r="I1595" s="30"/>
      <c r="J1595" s="30"/>
      <c r="K1595" s="30"/>
      <c r="L1595" s="30"/>
      <c r="M1595" s="30"/>
      <c r="N1595" s="30" t="str" cm="1">
        <f t="array" ref="N1595">Main_Log_Status(Main_Log[[#This Row],[Carrier]],Main_Log[[#This Row],[Net Weight]])</f>
        <v/>
      </c>
      <c r="O1595" s="30"/>
      <c r="P159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95" s="30"/>
      <c r="R1595" s="30" t="str" cm="1">
        <f t="array" ref="R1595">Main_Log_Ref(Main_Log[[#This Row],[Carrier]])</f>
        <v/>
      </c>
    </row>
    <row r="1596" spans="1:18" ht="29.85" customHeight="1" x14ac:dyDescent="0.45">
      <c r="A1596" s="30">
        <v>10</v>
      </c>
      <c r="B1596" s="30"/>
      <c r="C1596" s="30"/>
      <c r="D1596" s="30"/>
      <c r="E1596" s="30"/>
      <c r="F1596" s="30"/>
      <c r="G1596" s="30"/>
      <c r="H1596" s="30"/>
      <c r="I1596" s="30"/>
      <c r="J1596" s="30"/>
      <c r="K1596" s="30"/>
      <c r="L1596" s="30"/>
      <c r="M1596" s="30"/>
      <c r="N1596" s="30" t="str" cm="1">
        <f t="array" ref="N1596">Main_Log_Status(Main_Log[[#This Row],[Carrier]],Main_Log[[#This Row],[Net Weight]])</f>
        <v/>
      </c>
      <c r="O1596" s="30"/>
      <c r="P159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96" s="30"/>
      <c r="R1596" s="30" t="str" cm="1">
        <f t="array" ref="R1596">Main_Log_Ref(Main_Log[[#This Row],[Carrier]])</f>
        <v/>
      </c>
    </row>
    <row r="1597" spans="1:18" ht="29.85" customHeight="1" x14ac:dyDescent="0.45">
      <c r="A1597" s="30">
        <v>11</v>
      </c>
      <c r="B1597" s="30"/>
      <c r="C1597" s="30"/>
      <c r="D1597" s="30"/>
      <c r="E1597" s="30"/>
      <c r="F1597" s="30"/>
      <c r="G1597" s="30"/>
      <c r="H1597" s="30"/>
      <c r="I1597" s="30"/>
      <c r="J1597" s="30"/>
      <c r="K1597" s="30"/>
      <c r="L1597" s="30"/>
      <c r="M1597" s="30"/>
      <c r="N1597" s="30" t="str" cm="1">
        <f t="array" ref="N1597">Main_Log_Status(Main_Log[[#This Row],[Carrier]],Main_Log[[#This Row],[Net Weight]])</f>
        <v/>
      </c>
      <c r="O1597" s="30"/>
      <c r="P159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97" s="30"/>
      <c r="R1597" s="30" t="str" cm="1">
        <f t="array" ref="R1597">Main_Log_Ref(Main_Log[[#This Row],[Carrier]])</f>
        <v/>
      </c>
    </row>
    <row r="1598" spans="1:18" ht="29.85" customHeight="1" x14ac:dyDescent="0.45">
      <c r="A1598" s="30">
        <v>12</v>
      </c>
      <c r="B1598" s="30"/>
      <c r="C1598" s="30"/>
      <c r="D1598" s="30"/>
      <c r="E1598" s="30"/>
      <c r="F1598" s="30"/>
      <c r="G1598" s="30"/>
      <c r="H1598" s="30"/>
      <c r="I1598" s="30"/>
      <c r="J1598" s="30"/>
      <c r="K1598" s="30"/>
      <c r="L1598" s="30"/>
      <c r="M1598" s="30"/>
      <c r="N1598" s="30" t="str" cm="1">
        <f t="array" ref="N1598">Main_Log_Status(Main_Log[[#This Row],[Carrier]],Main_Log[[#This Row],[Net Weight]])</f>
        <v/>
      </c>
      <c r="O1598" s="30"/>
      <c r="P159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98" s="30"/>
      <c r="R1598" s="30" t="str" cm="1">
        <f t="array" ref="R1598">Main_Log_Ref(Main_Log[[#This Row],[Carrier]])</f>
        <v/>
      </c>
    </row>
    <row r="1599" spans="1:18" ht="29.85" customHeight="1" x14ac:dyDescent="0.45">
      <c r="A1599" s="30">
        <v>13</v>
      </c>
      <c r="B1599" s="30"/>
      <c r="C1599" s="30"/>
      <c r="D1599" s="30"/>
      <c r="E1599" s="30"/>
      <c r="F1599" s="30"/>
      <c r="G1599" s="30"/>
      <c r="H1599" s="30"/>
      <c r="I1599" s="30"/>
      <c r="J1599" s="30"/>
      <c r="K1599" s="30"/>
      <c r="L1599" s="30"/>
      <c r="M1599" s="30"/>
      <c r="N1599" s="30" t="str" cm="1">
        <f t="array" ref="N1599">Main_Log_Status(Main_Log[[#This Row],[Carrier]],Main_Log[[#This Row],[Net Weight]])</f>
        <v/>
      </c>
      <c r="O1599" s="30"/>
      <c r="P159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599" s="30"/>
      <c r="R1599" s="30" t="str" cm="1">
        <f t="array" ref="R1599">Main_Log_Ref(Main_Log[[#This Row],[Carrier]])</f>
        <v/>
      </c>
    </row>
    <row r="1600" spans="1:18" ht="29.85" customHeight="1" x14ac:dyDescent="0.45">
      <c r="A1600" s="30">
        <v>14</v>
      </c>
      <c r="B1600" s="30"/>
      <c r="C1600" s="30"/>
      <c r="D1600" s="30"/>
      <c r="E1600" s="30"/>
      <c r="F1600" s="30"/>
      <c r="G1600" s="30"/>
      <c r="H1600" s="30"/>
      <c r="I1600" s="30"/>
      <c r="J1600" s="30"/>
      <c r="K1600" s="30"/>
      <c r="L1600" s="30"/>
      <c r="M1600" s="30"/>
      <c r="N1600" s="30" t="str" cm="1">
        <f t="array" ref="N1600">Main_Log_Status(Main_Log[[#This Row],[Carrier]],Main_Log[[#This Row],[Net Weight]])</f>
        <v/>
      </c>
      <c r="O1600" s="30"/>
      <c r="P160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00" s="30"/>
      <c r="R1600" s="30" t="str" cm="1">
        <f t="array" ref="R1600">Main_Log_Ref(Main_Log[[#This Row],[Carrier]])</f>
        <v/>
      </c>
    </row>
    <row r="1601" spans="1:18" ht="29.85" customHeight="1" x14ac:dyDescent="0.45">
      <c r="A1601" s="30">
        <v>15</v>
      </c>
      <c r="B1601" s="30"/>
      <c r="C1601" s="30"/>
      <c r="D1601" s="30"/>
      <c r="E1601" s="30"/>
      <c r="F1601" s="30"/>
      <c r="G1601" s="30"/>
      <c r="H1601" s="30"/>
      <c r="I1601" s="30"/>
      <c r="J1601" s="30"/>
      <c r="K1601" s="30"/>
      <c r="L1601" s="30"/>
      <c r="M1601" s="30"/>
      <c r="N1601" s="30" t="str" cm="1">
        <f t="array" ref="N1601">Main_Log_Status(Main_Log[[#This Row],[Carrier]],Main_Log[[#This Row],[Net Weight]])</f>
        <v/>
      </c>
      <c r="O1601" s="30"/>
      <c r="P160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01" s="30"/>
      <c r="R1601" s="30" t="str" cm="1">
        <f t="array" ref="R1601">Main_Log_Ref(Main_Log[[#This Row],[Carrier]])</f>
        <v/>
      </c>
    </row>
    <row r="1602" spans="1:18" ht="29.85" customHeight="1" x14ac:dyDescent="0.45">
      <c r="A1602" s="30">
        <v>16</v>
      </c>
      <c r="B1602" s="30"/>
      <c r="C1602" s="30"/>
      <c r="D1602" s="30"/>
      <c r="E1602" s="30"/>
      <c r="F1602" s="30"/>
      <c r="G1602" s="30"/>
      <c r="H1602" s="30"/>
      <c r="I1602" s="30"/>
      <c r="J1602" s="30"/>
      <c r="K1602" s="30"/>
      <c r="L1602" s="30"/>
      <c r="M1602" s="30"/>
      <c r="N1602" s="30" t="str" cm="1">
        <f t="array" ref="N1602">Main_Log_Status(Main_Log[[#This Row],[Carrier]],Main_Log[[#This Row],[Net Weight]])</f>
        <v/>
      </c>
      <c r="O1602" s="30"/>
      <c r="P160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02" s="30"/>
      <c r="R1602" s="30" t="str" cm="1">
        <f t="array" ref="R1602">Main_Log_Ref(Main_Log[[#This Row],[Carrier]])</f>
        <v/>
      </c>
    </row>
    <row r="1603" spans="1:18" ht="29.85" customHeight="1" x14ac:dyDescent="0.45">
      <c r="A1603" s="30">
        <v>17</v>
      </c>
      <c r="B1603" s="30"/>
      <c r="C1603" s="30"/>
      <c r="D1603" s="30"/>
      <c r="E1603" s="30"/>
      <c r="F1603" s="30"/>
      <c r="G1603" s="30"/>
      <c r="H1603" s="30"/>
      <c r="I1603" s="30"/>
      <c r="J1603" s="30"/>
      <c r="K1603" s="30"/>
      <c r="L1603" s="30"/>
      <c r="M1603" s="30"/>
      <c r="N1603" s="30" t="str" cm="1">
        <f t="array" ref="N1603">Main_Log_Status(Main_Log[[#This Row],[Carrier]],Main_Log[[#This Row],[Net Weight]])</f>
        <v/>
      </c>
      <c r="O1603" s="30"/>
      <c r="P160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03" s="30"/>
      <c r="R1603" s="30" t="str" cm="1">
        <f t="array" ref="R1603">Main_Log_Ref(Main_Log[[#This Row],[Carrier]])</f>
        <v/>
      </c>
    </row>
    <row r="1604" spans="1:18" ht="29.85" customHeight="1" x14ac:dyDescent="0.45">
      <c r="A1604" s="30">
        <v>18</v>
      </c>
      <c r="B1604" s="30"/>
      <c r="C1604" s="30"/>
      <c r="D1604" s="30"/>
      <c r="E1604" s="30"/>
      <c r="F1604" s="30"/>
      <c r="G1604" s="30"/>
      <c r="H1604" s="30"/>
      <c r="I1604" s="30"/>
      <c r="J1604" s="30"/>
      <c r="K1604" s="30"/>
      <c r="L1604" s="30"/>
      <c r="M1604" s="30"/>
      <c r="N1604" s="30" t="str" cm="1">
        <f t="array" ref="N1604">Main_Log_Status(Main_Log[[#This Row],[Carrier]],Main_Log[[#This Row],[Net Weight]])</f>
        <v/>
      </c>
      <c r="O1604" s="30"/>
      <c r="P160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04" s="30"/>
      <c r="R1604" s="30" t="str" cm="1">
        <f t="array" ref="R1604">Main_Log_Ref(Main_Log[[#This Row],[Carrier]])</f>
        <v/>
      </c>
    </row>
    <row r="1605" spans="1:18" ht="29.85" customHeight="1" x14ac:dyDescent="0.45">
      <c r="A1605" s="30">
        <v>19</v>
      </c>
      <c r="B1605" s="30"/>
      <c r="C1605" s="30"/>
      <c r="D1605" s="30"/>
      <c r="E1605" s="30"/>
      <c r="F1605" s="30"/>
      <c r="G1605" s="30"/>
      <c r="H1605" s="30"/>
      <c r="I1605" s="30"/>
      <c r="J1605" s="30"/>
      <c r="K1605" s="30"/>
      <c r="L1605" s="30"/>
      <c r="M1605" s="30"/>
      <c r="N1605" s="30" t="str" cm="1">
        <f t="array" ref="N1605">Main_Log_Status(Main_Log[[#This Row],[Carrier]],Main_Log[[#This Row],[Net Weight]])</f>
        <v/>
      </c>
      <c r="O1605" s="30"/>
      <c r="P160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05" s="30"/>
      <c r="R1605" s="30" t="str" cm="1">
        <f t="array" ref="R1605">Main_Log_Ref(Main_Log[[#This Row],[Carrier]])</f>
        <v/>
      </c>
    </row>
    <row r="1606" spans="1:18" ht="29.85" customHeight="1" x14ac:dyDescent="0.45">
      <c r="A1606" s="30">
        <v>20</v>
      </c>
      <c r="B1606" s="30"/>
      <c r="C1606" s="30"/>
      <c r="D1606" s="30"/>
      <c r="E1606" s="30"/>
      <c r="F1606" s="30"/>
      <c r="G1606" s="30"/>
      <c r="H1606" s="30"/>
      <c r="I1606" s="30"/>
      <c r="J1606" s="30"/>
      <c r="K1606" s="30"/>
      <c r="L1606" s="30"/>
      <c r="M1606" s="30"/>
      <c r="N1606" s="30" t="str" cm="1">
        <f t="array" ref="N1606">Main_Log_Status(Main_Log[[#This Row],[Carrier]],Main_Log[[#This Row],[Net Weight]])</f>
        <v/>
      </c>
      <c r="O1606" s="30"/>
      <c r="P160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06" s="30"/>
      <c r="R1606" s="30" t="str" cm="1">
        <f t="array" ref="R1606">Main_Log_Ref(Main_Log[[#This Row],[Carrier]])</f>
        <v/>
      </c>
    </row>
    <row r="1607" spans="1:18" ht="29.85" customHeight="1" x14ac:dyDescent="0.45">
      <c r="A1607" s="30">
        <v>21</v>
      </c>
      <c r="B1607" s="30"/>
      <c r="C1607" s="30"/>
      <c r="D1607" s="30"/>
      <c r="E1607" s="30"/>
      <c r="F1607" s="30"/>
      <c r="G1607" s="30"/>
      <c r="H1607" s="30"/>
      <c r="I1607" s="30"/>
      <c r="J1607" s="30"/>
      <c r="K1607" s="30"/>
      <c r="L1607" s="30"/>
      <c r="M1607" s="30"/>
      <c r="N1607" s="30" t="str" cm="1">
        <f t="array" ref="N1607">Main_Log_Status(Main_Log[[#This Row],[Carrier]],Main_Log[[#This Row],[Net Weight]])</f>
        <v/>
      </c>
      <c r="O1607" s="30"/>
      <c r="P160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07" s="30"/>
      <c r="R1607" s="30" t="str" cm="1">
        <f t="array" ref="R1607">Main_Log_Ref(Main_Log[[#This Row],[Carrier]])</f>
        <v/>
      </c>
    </row>
    <row r="1608" spans="1:18" ht="29.85" customHeight="1" x14ac:dyDescent="0.45">
      <c r="A1608" s="30">
        <v>22</v>
      </c>
      <c r="B1608" s="30"/>
      <c r="C1608" s="30"/>
      <c r="D1608" s="30"/>
      <c r="E1608" s="30"/>
      <c r="F1608" s="30"/>
      <c r="G1608" s="30"/>
      <c r="H1608" s="30"/>
      <c r="I1608" s="30"/>
      <c r="J1608" s="30"/>
      <c r="K1608" s="30"/>
      <c r="L1608" s="30"/>
      <c r="M1608" s="30"/>
      <c r="N1608" s="30" t="str" cm="1">
        <f t="array" ref="N1608">Main_Log_Status(Main_Log[[#This Row],[Carrier]],Main_Log[[#This Row],[Net Weight]])</f>
        <v/>
      </c>
      <c r="O1608" s="30"/>
      <c r="P160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08" s="30"/>
      <c r="R1608" s="30" t="str" cm="1">
        <f t="array" ref="R1608">Main_Log_Ref(Main_Log[[#This Row],[Carrier]])</f>
        <v/>
      </c>
    </row>
    <row r="1609" spans="1:18" ht="29.85" customHeight="1" x14ac:dyDescent="0.45">
      <c r="A1609" s="30">
        <v>23</v>
      </c>
      <c r="B1609" s="30"/>
      <c r="C1609" s="30"/>
      <c r="D1609" s="30"/>
      <c r="E1609" s="30"/>
      <c r="F1609" s="30"/>
      <c r="G1609" s="30"/>
      <c r="H1609" s="30"/>
      <c r="I1609" s="30"/>
      <c r="J1609" s="30"/>
      <c r="K1609" s="30"/>
      <c r="L1609" s="30"/>
      <c r="M1609" s="30"/>
      <c r="N1609" s="30" t="str" cm="1">
        <f t="array" ref="N1609">Main_Log_Status(Main_Log[[#This Row],[Carrier]],Main_Log[[#This Row],[Net Weight]])</f>
        <v/>
      </c>
      <c r="O1609" s="30"/>
      <c r="P160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09" s="30"/>
      <c r="R1609" s="30" t="str" cm="1">
        <f t="array" ref="R1609">Main_Log_Ref(Main_Log[[#This Row],[Carrier]])</f>
        <v/>
      </c>
    </row>
    <row r="1610" spans="1:18" ht="29.85" customHeight="1" x14ac:dyDescent="0.45">
      <c r="A1610" s="30">
        <v>24</v>
      </c>
      <c r="B1610" s="30"/>
      <c r="C1610" s="30"/>
      <c r="D1610" s="30"/>
      <c r="E1610" s="30"/>
      <c r="F1610" s="30"/>
      <c r="G1610" s="30"/>
      <c r="H1610" s="30"/>
      <c r="I1610" s="30"/>
      <c r="J1610" s="30"/>
      <c r="K1610" s="30"/>
      <c r="L1610" s="30"/>
      <c r="M1610" s="30"/>
      <c r="N1610" s="30" t="str" cm="1">
        <f t="array" ref="N1610">Main_Log_Status(Main_Log[[#This Row],[Carrier]],Main_Log[[#This Row],[Net Weight]])</f>
        <v/>
      </c>
      <c r="O1610" s="30"/>
      <c r="P161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10" s="30"/>
      <c r="R1610" s="30" t="str" cm="1">
        <f t="array" ref="R1610">Main_Log_Ref(Main_Log[[#This Row],[Carrier]])</f>
        <v/>
      </c>
    </row>
    <row r="1611" spans="1:18" ht="29.85" customHeight="1" x14ac:dyDescent="0.45">
      <c r="A1611" s="30">
        <v>25</v>
      </c>
      <c r="B1611" s="30"/>
      <c r="C1611" s="30"/>
      <c r="D1611" s="30"/>
      <c r="E1611" s="30"/>
      <c r="F1611" s="30"/>
      <c r="G1611" s="30"/>
      <c r="H1611" s="30"/>
      <c r="I1611" s="30"/>
      <c r="J1611" s="30"/>
      <c r="K1611" s="30"/>
      <c r="L1611" s="30"/>
      <c r="M1611" s="30"/>
      <c r="N1611" s="30" t="str" cm="1">
        <f t="array" ref="N1611">Main_Log_Status(Main_Log[[#This Row],[Carrier]],Main_Log[[#This Row],[Net Weight]])</f>
        <v/>
      </c>
      <c r="O1611" s="30"/>
      <c r="P161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11" s="30"/>
      <c r="R1611" s="30" t="str" cm="1">
        <f t="array" ref="R1611">Main_Log_Ref(Main_Log[[#This Row],[Carrier]])</f>
        <v/>
      </c>
    </row>
    <row r="1612" spans="1:18" ht="29.85" customHeight="1" x14ac:dyDescent="0.45">
      <c r="A1612" s="30">
        <v>26</v>
      </c>
      <c r="B1612" s="30"/>
      <c r="C1612" s="30"/>
      <c r="D1612" s="30"/>
      <c r="E1612" s="30"/>
      <c r="F1612" s="30"/>
      <c r="G1612" s="30"/>
      <c r="H1612" s="30"/>
      <c r="I1612" s="30"/>
      <c r="J1612" s="30"/>
      <c r="K1612" s="30"/>
      <c r="L1612" s="30"/>
      <c r="M1612" s="30"/>
      <c r="N1612" s="30" t="str" cm="1">
        <f t="array" ref="N1612">Main_Log_Status(Main_Log[[#This Row],[Carrier]],Main_Log[[#This Row],[Net Weight]])</f>
        <v/>
      </c>
      <c r="O1612" s="30"/>
      <c r="P161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12" s="30"/>
      <c r="R1612" s="30" t="str" cm="1">
        <f t="array" ref="R1612">Main_Log_Ref(Main_Log[[#This Row],[Carrier]])</f>
        <v/>
      </c>
    </row>
    <row r="1613" spans="1:18" ht="29.85" customHeight="1" x14ac:dyDescent="0.45">
      <c r="A1613" s="30">
        <v>27</v>
      </c>
      <c r="B1613" s="30"/>
      <c r="C1613" s="30"/>
      <c r="D1613" s="30"/>
      <c r="E1613" s="30"/>
      <c r="F1613" s="30"/>
      <c r="G1613" s="30"/>
      <c r="H1613" s="30"/>
      <c r="I1613" s="30"/>
      <c r="J1613" s="30"/>
      <c r="K1613" s="30"/>
      <c r="L1613" s="30"/>
      <c r="M1613" s="30"/>
      <c r="N1613" s="30" t="str" cm="1">
        <f t="array" ref="N1613">Main_Log_Status(Main_Log[[#This Row],[Carrier]],Main_Log[[#This Row],[Net Weight]])</f>
        <v/>
      </c>
      <c r="O1613" s="30"/>
      <c r="P161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13" s="30"/>
      <c r="R1613" s="30" t="str" cm="1">
        <f t="array" ref="R1613">Main_Log_Ref(Main_Log[[#This Row],[Carrier]])</f>
        <v/>
      </c>
    </row>
    <row r="1614" spans="1:18" ht="29.85" customHeight="1" x14ac:dyDescent="0.45">
      <c r="A1614" s="30">
        <v>28</v>
      </c>
      <c r="B1614" s="30"/>
      <c r="C1614" s="30"/>
      <c r="D1614" s="30"/>
      <c r="E1614" s="30"/>
      <c r="F1614" s="30"/>
      <c r="G1614" s="30"/>
      <c r="H1614" s="30"/>
      <c r="I1614" s="30"/>
      <c r="J1614" s="30"/>
      <c r="K1614" s="30"/>
      <c r="L1614" s="30"/>
      <c r="M1614" s="30"/>
      <c r="N1614" s="30" t="str" cm="1">
        <f t="array" ref="N1614">Main_Log_Status(Main_Log[[#This Row],[Carrier]],Main_Log[[#This Row],[Net Weight]])</f>
        <v/>
      </c>
      <c r="O1614" s="30"/>
      <c r="P161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14" s="30"/>
      <c r="R1614" s="30" t="str" cm="1">
        <f t="array" ref="R1614">Main_Log_Ref(Main_Log[[#This Row],[Carrier]])</f>
        <v/>
      </c>
    </row>
    <row r="1615" spans="1:18" ht="29.85" customHeight="1" x14ac:dyDescent="0.45">
      <c r="A1615" s="30">
        <v>29</v>
      </c>
      <c r="B1615" s="30"/>
      <c r="C1615" s="30"/>
      <c r="D1615" s="30"/>
      <c r="E1615" s="30"/>
      <c r="F1615" s="30"/>
      <c r="G1615" s="30"/>
      <c r="H1615" s="30"/>
      <c r="I1615" s="30"/>
      <c r="J1615" s="30"/>
      <c r="K1615" s="30"/>
      <c r="L1615" s="30"/>
      <c r="M1615" s="30"/>
      <c r="N1615" s="30" t="str" cm="1">
        <f t="array" ref="N1615">Main_Log_Status(Main_Log[[#This Row],[Carrier]],Main_Log[[#This Row],[Net Weight]])</f>
        <v/>
      </c>
      <c r="O1615" s="30"/>
      <c r="P161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15" s="30"/>
      <c r="R1615" s="30" t="str" cm="1">
        <f t="array" ref="R1615">Main_Log_Ref(Main_Log[[#This Row],[Carrier]])</f>
        <v/>
      </c>
    </row>
    <row r="1616" spans="1:18" ht="29.85" customHeight="1" x14ac:dyDescent="0.45">
      <c r="A1616" s="30">
        <v>30</v>
      </c>
      <c r="B1616" s="30"/>
      <c r="C1616" s="30"/>
      <c r="D1616" s="30"/>
      <c r="E1616" s="30"/>
      <c r="F1616" s="30"/>
      <c r="G1616" s="30"/>
      <c r="H1616" s="30"/>
      <c r="I1616" s="30"/>
      <c r="J1616" s="30"/>
      <c r="K1616" s="30"/>
      <c r="L1616" s="30"/>
      <c r="M1616" s="30"/>
      <c r="N1616" s="30" t="str" cm="1">
        <f t="array" ref="N1616">Main_Log_Status(Main_Log[[#This Row],[Carrier]],Main_Log[[#This Row],[Net Weight]])</f>
        <v/>
      </c>
      <c r="O1616" s="30"/>
      <c r="P161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16" s="30"/>
      <c r="R1616" s="30" t="str" cm="1">
        <f t="array" ref="R1616">Main_Log_Ref(Main_Log[[#This Row],[Carrier]])</f>
        <v/>
      </c>
    </row>
    <row r="1617" spans="1:18" ht="29.85" customHeight="1" x14ac:dyDescent="0.45">
      <c r="A1617" s="30">
        <v>31</v>
      </c>
      <c r="B1617" s="30"/>
      <c r="C1617" s="30"/>
      <c r="D1617" s="30"/>
      <c r="E1617" s="30"/>
      <c r="F1617" s="30"/>
      <c r="G1617" s="30"/>
      <c r="H1617" s="30"/>
      <c r="I1617" s="30"/>
      <c r="J1617" s="30"/>
      <c r="K1617" s="30"/>
      <c r="L1617" s="30"/>
      <c r="M1617" s="30"/>
      <c r="N1617" s="30" t="str" cm="1">
        <f t="array" ref="N1617">Main_Log_Status(Main_Log[[#This Row],[Carrier]],Main_Log[[#This Row],[Net Weight]])</f>
        <v/>
      </c>
      <c r="O1617" s="30"/>
      <c r="P161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17" s="30"/>
      <c r="R1617" s="30" t="str" cm="1">
        <f t="array" ref="R1617">Main_Log_Ref(Main_Log[[#This Row],[Carrier]])</f>
        <v/>
      </c>
    </row>
    <row r="1618" spans="1:18" ht="29.85" customHeight="1" x14ac:dyDescent="0.45">
      <c r="A1618" s="30">
        <v>32</v>
      </c>
      <c r="B1618" s="30"/>
      <c r="C1618" s="30"/>
      <c r="D1618" s="30"/>
      <c r="E1618" s="30"/>
      <c r="F1618" s="30"/>
      <c r="G1618" s="30"/>
      <c r="H1618" s="30"/>
      <c r="I1618" s="30"/>
      <c r="J1618" s="30"/>
      <c r="K1618" s="30"/>
      <c r="L1618" s="30"/>
      <c r="M1618" s="30"/>
      <c r="N1618" s="30" t="str" cm="1">
        <f t="array" ref="N1618">Main_Log_Status(Main_Log[[#This Row],[Carrier]],Main_Log[[#This Row],[Net Weight]])</f>
        <v/>
      </c>
      <c r="O1618" s="30"/>
      <c r="P161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18" s="30"/>
      <c r="R1618" s="30" t="str" cm="1">
        <f t="array" ref="R1618">Main_Log_Ref(Main_Log[[#This Row],[Carrier]])</f>
        <v/>
      </c>
    </row>
    <row r="1619" spans="1:18" ht="29.85" customHeight="1" x14ac:dyDescent="0.45">
      <c r="A1619" s="30">
        <v>33</v>
      </c>
      <c r="B1619" s="30"/>
      <c r="C1619" s="30"/>
      <c r="D1619" s="30"/>
      <c r="E1619" s="30"/>
      <c r="F1619" s="30"/>
      <c r="G1619" s="30"/>
      <c r="H1619" s="30"/>
      <c r="I1619" s="30"/>
      <c r="J1619" s="30"/>
      <c r="K1619" s="30"/>
      <c r="L1619" s="30"/>
      <c r="M1619" s="30"/>
      <c r="N1619" s="30" t="str" cm="1">
        <f t="array" ref="N1619">Main_Log_Status(Main_Log[[#This Row],[Carrier]],Main_Log[[#This Row],[Net Weight]])</f>
        <v/>
      </c>
      <c r="O1619" s="30"/>
      <c r="P161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19" s="30"/>
      <c r="R1619" s="30" t="str" cm="1">
        <f t="array" ref="R1619">Main_Log_Ref(Main_Log[[#This Row],[Carrier]])</f>
        <v/>
      </c>
    </row>
    <row r="1620" spans="1:18" ht="29.85" customHeight="1" x14ac:dyDescent="0.45">
      <c r="A1620" s="30">
        <v>34</v>
      </c>
      <c r="B1620" s="30"/>
      <c r="C1620" s="30"/>
      <c r="D1620" s="30"/>
      <c r="E1620" s="30"/>
      <c r="F1620" s="30"/>
      <c r="G1620" s="30"/>
      <c r="H1620" s="30"/>
      <c r="I1620" s="30"/>
      <c r="J1620" s="30"/>
      <c r="K1620" s="30"/>
      <c r="L1620" s="30"/>
      <c r="M1620" s="30"/>
      <c r="N1620" s="30" t="str" cm="1">
        <f t="array" ref="N1620">Main_Log_Status(Main_Log[[#This Row],[Carrier]],Main_Log[[#This Row],[Net Weight]])</f>
        <v/>
      </c>
      <c r="O1620" s="30"/>
      <c r="P162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20" s="30"/>
      <c r="R1620" s="30" t="str" cm="1">
        <f t="array" ref="R1620">Main_Log_Ref(Main_Log[[#This Row],[Carrier]])</f>
        <v/>
      </c>
    </row>
    <row r="1621" spans="1:18" ht="29.85" customHeight="1" x14ac:dyDescent="0.45">
      <c r="A1621" s="30">
        <v>35</v>
      </c>
      <c r="B1621" s="30"/>
      <c r="C1621" s="30"/>
      <c r="D1621" s="30"/>
      <c r="E1621" s="30"/>
      <c r="F1621" s="30"/>
      <c r="G1621" s="30"/>
      <c r="H1621" s="30"/>
      <c r="I1621" s="30"/>
      <c r="J1621" s="30"/>
      <c r="K1621" s="30"/>
      <c r="L1621" s="30"/>
      <c r="M1621" s="30"/>
      <c r="N1621" s="30" t="str" cm="1">
        <f t="array" ref="N1621">Main_Log_Status(Main_Log[[#This Row],[Carrier]],Main_Log[[#This Row],[Net Weight]])</f>
        <v/>
      </c>
      <c r="O1621" s="30"/>
      <c r="P162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21" s="30"/>
      <c r="R1621" s="30" t="str" cm="1">
        <f t="array" ref="R1621">Main_Log_Ref(Main_Log[[#This Row],[Carrier]])</f>
        <v/>
      </c>
    </row>
    <row r="1622" spans="1:18" ht="29.85" customHeight="1" x14ac:dyDescent="0.45">
      <c r="A1622" s="30">
        <v>36</v>
      </c>
      <c r="B1622" s="30"/>
      <c r="C1622" s="30"/>
      <c r="D1622" s="30"/>
      <c r="E1622" s="30"/>
      <c r="F1622" s="30"/>
      <c r="G1622" s="30"/>
      <c r="H1622" s="30"/>
      <c r="I1622" s="30"/>
      <c r="J1622" s="30"/>
      <c r="K1622" s="30"/>
      <c r="L1622" s="30"/>
      <c r="M1622" s="30"/>
      <c r="N1622" s="30" t="str" cm="1">
        <f t="array" ref="N1622">Main_Log_Status(Main_Log[[#This Row],[Carrier]],Main_Log[[#This Row],[Net Weight]])</f>
        <v/>
      </c>
      <c r="O1622" s="30"/>
      <c r="P162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22" s="30"/>
      <c r="R1622" s="30" t="str" cm="1">
        <f t="array" ref="R1622">Main_Log_Ref(Main_Log[[#This Row],[Carrier]])</f>
        <v/>
      </c>
    </row>
    <row r="1623" spans="1:18" ht="29.85" customHeight="1" x14ac:dyDescent="0.45">
      <c r="A1623" s="30">
        <v>37</v>
      </c>
      <c r="B1623" s="30"/>
      <c r="C1623" s="30"/>
      <c r="D1623" s="30"/>
      <c r="E1623" s="30"/>
      <c r="F1623" s="30"/>
      <c r="G1623" s="30"/>
      <c r="H1623" s="30"/>
      <c r="I1623" s="30"/>
      <c r="J1623" s="30"/>
      <c r="K1623" s="30"/>
      <c r="L1623" s="30"/>
      <c r="M1623" s="30"/>
      <c r="N1623" s="30" t="str" cm="1">
        <f t="array" ref="N1623">Main_Log_Status(Main_Log[[#This Row],[Carrier]],Main_Log[[#This Row],[Net Weight]])</f>
        <v/>
      </c>
      <c r="O1623" s="30"/>
      <c r="P162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23" s="30"/>
      <c r="R1623" s="30" t="str" cm="1">
        <f t="array" ref="R1623">Main_Log_Ref(Main_Log[[#This Row],[Carrier]])</f>
        <v/>
      </c>
    </row>
    <row r="1624" spans="1:18" ht="29.85" customHeight="1" x14ac:dyDescent="0.45">
      <c r="A1624" s="30">
        <v>38</v>
      </c>
      <c r="B1624" s="30"/>
      <c r="C1624" s="30"/>
      <c r="D1624" s="30"/>
      <c r="E1624" s="30"/>
      <c r="F1624" s="30"/>
      <c r="G1624" s="30"/>
      <c r="H1624" s="30"/>
      <c r="I1624" s="30"/>
      <c r="J1624" s="30"/>
      <c r="K1624" s="30"/>
      <c r="L1624" s="30"/>
      <c r="M1624" s="30"/>
      <c r="N1624" s="30" t="str" cm="1">
        <f t="array" ref="N1624">Main_Log_Status(Main_Log[[#This Row],[Carrier]],Main_Log[[#This Row],[Net Weight]])</f>
        <v/>
      </c>
      <c r="O1624" s="30"/>
      <c r="P162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24" s="30"/>
      <c r="R1624" s="30" t="str" cm="1">
        <f t="array" ref="R1624">Main_Log_Ref(Main_Log[[#This Row],[Carrier]])</f>
        <v/>
      </c>
    </row>
    <row r="1625" spans="1:18" ht="29.85" customHeight="1" x14ac:dyDescent="0.45">
      <c r="A1625" s="30">
        <v>39</v>
      </c>
      <c r="B1625" s="30"/>
      <c r="C1625" s="30"/>
      <c r="D1625" s="30"/>
      <c r="E1625" s="30"/>
      <c r="F1625" s="30"/>
      <c r="G1625" s="30"/>
      <c r="H1625" s="30"/>
      <c r="I1625" s="30"/>
      <c r="J1625" s="30"/>
      <c r="K1625" s="30"/>
      <c r="L1625" s="30"/>
      <c r="M1625" s="30"/>
      <c r="N1625" s="30" t="str" cm="1">
        <f t="array" ref="N1625">Main_Log_Status(Main_Log[[#This Row],[Carrier]],Main_Log[[#This Row],[Net Weight]])</f>
        <v/>
      </c>
      <c r="O1625" s="30"/>
      <c r="P162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25" s="30"/>
      <c r="R1625" s="30" t="str" cm="1">
        <f t="array" ref="R1625">Main_Log_Ref(Main_Log[[#This Row],[Carrier]])</f>
        <v/>
      </c>
    </row>
    <row r="1626" spans="1:18" ht="29.85" customHeight="1" x14ac:dyDescent="0.45">
      <c r="A1626" s="30">
        <v>40</v>
      </c>
      <c r="B1626" s="30"/>
      <c r="C1626" s="30"/>
      <c r="D1626" s="30"/>
      <c r="E1626" s="30"/>
      <c r="F1626" s="30"/>
      <c r="G1626" s="30"/>
      <c r="H1626" s="30"/>
      <c r="I1626" s="30"/>
      <c r="J1626" s="30"/>
      <c r="K1626" s="30"/>
      <c r="L1626" s="30"/>
      <c r="M1626" s="30"/>
      <c r="N1626" s="30" t="str" cm="1">
        <f t="array" ref="N1626">Main_Log_Status(Main_Log[[#This Row],[Carrier]],Main_Log[[#This Row],[Net Weight]])</f>
        <v/>
      </c>
      <c r="O1626" s="30"/>
      <c r="P162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26" s="30"/>
      <c r="R1626" s="30" t="str" cm="1">
        <f t="array" ref="R1626">Main_Log_Ref(Main_Log[[#This Row],[Carrier]])</f>
        <v/>
      </c>
    </row>
    <row r="1627" spans="1:18" ht="29.85" customHeight="1" x14ac:dyDescent="0.45">
      <c r="A1627" s="30">
        <v>41</v>
      </c>
      <c r="B1627" s="30"/>
      <c r="C1627" s="30"/>
      <c r="D1627" s="30"/>
      <c r="E1627" s="30"/>
      <c r="F1627" s="30"/>
      <c r="G1627" s="30"/>
      <c r="H1627" s="30"/>
      <c r="I1627" s="30"/>
      <c r="J1627" s="30"/>
      <c r="K1627" s="30"/>
      <c r="L1627" s="30"/>
      <c r="M1627" s="30"/>
      <c r="N1627" s="30" t="str" cm="1">
        <f t="array" ref="N1627">Main_Log_Status(Main_Log[[#This Row],[Carrier]],Main_Log[[#This Row],[Net Weight]])</f>
        <v/>
      </c>
      <c r="O1627" s="30"/>
      <c r="P162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27" s="30"/>
      <c r="R1627" s="30" t="str" cm="1">
        <f t="array" ref="R1627">Main_Log_Ref(Main_Log[[#This Row],[Carrier]])</f>
        <v/>
      </c>
    </row>
    <row r="1628" spans="1:18" ht="29.85" customHeight="1" x14ac:dyDescent="0.45">
      <c r="A1628" s="30">
        <v>42</v>
      </c>
      <c r="B1628" s="30"/>
      <c r="C1628" s="30"/>
      <c r="D1628" s="30"/>
      <c r="E1628" s="30"/>
      <c r="F1628" s="30"/>
      <c r="G1628" s="30"/>
      <c r="H1628" s="30"/>
      <c r="I1628" s="30"/>
      <c r="J1628" s="30"/>
      <c r="K1628" s="30"/>
      <c r="L1628" s="30"/>
      <c r="M1628" s="30"/>
      <c r="N1628" s="30" t="str" cm="1">
        <f t="array" ref="N1628">Main_Log_Status(Main_Log[[#This Row],[Carrier]],Main_Log[[#This Row],[Net Weight]])</f>
        <v/>
      </c>
      <c r="O1628" s="30"/>
      <c r="P162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28" s="30"/>
      <c r="R1628" s="30" t="str" cm="1">
        <f t="array" ref="R1628">Main_Log_Ref(Main_Log[[#This Row],[Carrier]])</f>
        <v/>
      </c>
    </row>
    <row r="1629" spans="1:18" ht="29.85" customHeight="1" x14ac:dyDescent="0.45">
      <c r="A1629" s="30">
        <v>43</v>
      </c>
      <c r="B1629" s="30"/>
      <c r="C1629" s="30"/>
      <c r="D1629" s="30"/>
      <c r="E1629" s="30"/>
      <c r="F1629" s="30"/>
      <c r="G1629" s="30"/>
      <c r="H1629" s="30"/>
      <c r="I1629" s="30"/>
      <c r="J1629" s="30"/>
      <c r="K1629" s="30"/>
      <c r="L1629" s="30"/>
      <c r="M1629" s="30"/>
      <c r="N1629" s="30" t="str" cm="1">
        <f t="array" ref="N1629">Main_Log_Status(Main_Log[[#This Row],[Carrier]],Main_Log[[#This Row],[Net Weight]])</f>
        <v/>
      </c>
      <c r="O1629" s="30"/>
      <c r="P162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29" s="30"/>
      <c r="R1629" s="30" t="str" cm="1">
        <f t="array" ref="R1629">Main_Log_Ref(Main_Log[[#This Row],[Carrier]])</f>
        <v/>
      </c>
    </row>
    <row r="1630" spans="1:18" ht="29.85" customHeight="1" x14ac:dyDescent="0.45">
      <c r="A1630" s="30">
        <v>44</v>
      </c>
      <c r="B1630" s="30"/>
      <c r="C1630" s="30"/>
      <c r="D1630" s="30"/>
      <c r="E1630" s="30"/>
      <c r="F1630" s="30"/>
      <c r="G1630" s="30"/>
      <c r="H1630" s="30"/>
      <c r="I1630" s="30"/>
      <c r="J1630" s="30"/>
      <c r="K1630" s="30"/>
      <c r="L1630" s="30"/>
      <c r="M1630" s="30"/>
      <c r="N1630" s="30" t="str" cm="1">
        <f t="array" ref="N1630">Main_Log_Status(Main_Log[[#This Row],[Carrier]],Main_Log[[#This Row],[Net Weight]])</f>
        <v/>
      </c>
      <c r="O1630" s="30"/>
      <c r="P163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30" s="30"/>
      <c r="R1630" s="30" t="str" cm="1">
        <f t="array" ref="R1630">Main_Log_Ref(Main_Log[[#This Row],[Carrier]])</f>
        <v/>
      </c>
    </row>
    <row r="1631" spans="1:18" ht="29.85" customHeight="1" x14ac:dyDescent="0.45">
      <c r="A1631" s="30">
        <v>45</v>
      </c>
      <c r="B1631" s="30"/>
      <c r="C1631" s="30"/>
      <c r="D1631" s="30"/>
      <c r="E1631" s="30"/>
      <c r="F1631" s="30"/>
      <c r="G1631" s="30"/>
      <c r="H1631" s="30"/>
      <c r="I1631" s="30"/>
      <c r="J1631" s="30"/>
      <c r="K1631" s="30"/>
      <c r="L1631" s="30"/>
      <c r="M1631" s="30"/>
      <c r="N1631" s="30" t="str" cm="1">
        <f t="array" ref="N1631">Main_Log_Status(Main_Log[[#This Row],[Carrier]],Main_Log[[#This Row],[Net Weight]])</f>
        <v/>
      </c>
      <c r="O1631" s="30"/>
      <c r="P163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31" s="30"/>
      <c r="R1631" s="30" t="str" cm="1">
        <f t="array" ref="R1631">Main_Log_Ref(Main_Log[[#This Row],[Carrier]])</f>
        <v/>
      </c>
    </row>
    <row r="1632" spans="1:18" ht="29.85" customHeight="1" x14ac:dyDescent="0.45">
      <c r="A1632" s="30">
        <v>46</v>
      </c>
      <c r="B1632" s="30"/>
      <c r="C1632" s="30"/>
      <c r="D1632" s="30"/>
      <c r="E1632" s="30"/>
      <c r="F1632" s="30"/>
      <c r="G1632" s="30"/>
      <c r="H1632" s="30"/>
      <c r="I1632" s="30"/>
      <c r="J1632" s="30"/>
      <c r="K1632" s="30"/>
      <c r="L1632" s="30"/>
      <c r="M1632" s="30"/>
      <c r="N1632" s="30" t="str" cm="1">
        <f t="array" ref="N1632">Main_Log_Status(Main_Log[[#This Row],[Carrier]],Main_Log[[#This Row],[Net Weight]])</f>
        <v/>
      </c>
      <c r="O1632" s="30"/>
      <c r="P163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32" s="30"/>
      <c r="R1632" s="30" t="str" cm="1">
        <f t="array" ref="R1632">Main_Log_Ref(Main_Log[[#This Row],[Carrier]])</f>
        <v/>
      </c>
    </row>
    <row r="1633" spans="1:18" ht="29.85" customHeight="1" x14ac:dyDescent="0.45">
      <c r="A1633" s="30">
        <v>47</v>
      </c>
      <c r="B1633" s="30"/>
      <c r="C1633" s="30"/>
      <c r="D1633" s="30"/>
      <c r="E1633" s="30"/>
      <c r="F1633" s="30"/>
      <c r="G1633" s="30"/>
      <c r="H1633" s="30"/>
      <c r="I1633" s="30"/>
      <c r="J1633" s="30"/>
      <c r="K1633" s="30"/>
      <c r="L1633" s="30"/>
      <c r="M1633" s="30"/>
      <c r="N1633" s="30" t="str" cm="1">
        <f t="array" ref="N1633">Main_Log_Status(Main_Log[[#This Row],[Carrier]],Main_Log[[#This Row],[Net Weight]])</f>
        <v/>
      </c>
      <c r="O1633" s="30"/>
      <c r="P163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33" s="30"/>
      <c r="R1633" s="30" t="str" cm="1">
        <f t="array" ref="R1633">Main_Log_Ref(Main_Log[[#This Row],[Carrier]])</f>
        <v/>
      </c>
    </row>
    <row r="1634" spans="1:18" ht="29.85" customHeight="1" x14ac:dyDescent="0.45">
      <c r="A1634" s="30">
        <v>48</v>
      </c>
      <c r="B1634" s="30"/>
      <c r="C1634" s="30"/>
      <c r="D1634" s="30"/>
      <c r="E1634" s="30"/>
      <c r="F1634" s="30"/>
      <c r="G1634" s="30"/>
      <c r="H1634" s="30"/>
      <c r="I1634" s="30"/>
      <c r="J1634" s="30"/>
      <c r="K1634" s="30"/>
      <c r="L1634" s="30"/>
      <c r="M1634" s="30"/>
      <c r="N1634" s="30" t="str" cm="1">
        <f t="array" ref="N1634">Main_Log_Status(Main_Log[[#This Row],[Carrier]],Main_Log[[#This Row],[Net Weight]])</f>
        <v/>
      </c>
      <c r="O1634" s="30"/>
      <c r="P163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34" s="30"/>
      <c r="R1634" s="30" t="str" cm="1">
        <f t="array" ref="R1634">Main_Log_Ref(Main_Log[[#This Row],[Carrier]])</f>
        <v/>
      </c>
    </row>
    <row r="1635" spans="1:18" ht="29.85" customHeight="1" x14ac:dyDescent="0.45">
      <c r="A1635" s="30">
        <v>49</v>
      </c>
      <c r="B1635" s="30"/>
      <c r="C1635" s="30"/>
      <c r="D1635" s="30"/>
      <c r="E1635" s="30"/>
      <c r="F1635" s="30"/>
      <c r="G1635" s="30"/>
      <c r="H1635" s="30"/>
      <c r="I1635" s="30"/>
      <c r="J1635" s="30"/>
      <c r="K1635" s="30"/>
      <c r="L1635" s="30"/>
      <c r="M1635" s="30"/>
      <c r="N1635" s="30" t="str" cm="1">
        <f t="array" ref="N1635">Main_Log_Status(Main_Log[[#This Row],[Carrier]],Main_Log[[#This Row],[Net Weight]])</f>
        <v/>
      </c>
      <c r="O1635" s="30"/>
      <c r="P163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35" s="30"/>
      <c r="R1635" s="30" t="str" cm="1">
        <f t="array" ref="R1635">Main_Log_Ref(Main_Log[[#This Row],[Carrier]])</f>
        <v/>
      </c>
    </row>
    <row r="1636" spans="1:18" ht="29.85" customHeight="1" x14ac:dyDescent="0.45">
      <c r="A1636" s="30">
        <v>50</v>
      </c>
      <c r="B1636" s="30"/>
      <c r="C1636" s="30"/>
      <c r="D1636" s="30"/>
      <c r="E1636" s="30"/>
      <c r="F1636" s="30"/>
      <c r="G1636" s="30"/>
      <c r="H1636" s="30"/>
      <c r="I1636" s="30"/>
      <c r="J1636" s="30"/>
      <c r="K1636" s="30"/>
      <c r="L1636" s="30"/>
      <c r="M1636" s="30"/>
      <c r="N1636" s="30" t="str" cm="1">
        <f t="array" ref="N1636">Main_Log_Status(Main_Log[[#This Row],[Carrier]],Main_Log[[#This Row],[Net Weight]])</f>
        <v/>
      </c>
      <c r="O1636" s="30"/>
      <c r="P163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36" s="30"/>
      <c r="R1636" s="30" t="str" cm="1">
        <f t="array" ref="R1636">Main_Log_Ref(Main_Log[[#This Row],[Carrier]])</f>
        <v/>
      </c>
    </row>
    <row r="1637" spans="1:18" ht="29.85" customHeight="1" x14ac:dyDescent="0.45">
      <c r="A1637" s="30">
        <v>51</v>
      </c>
      <c r="B1637" s="30"/>
      <c r="C1637" s="30"/>
      <c r="D1637" s="30"/>
      <c r="E1637" s="30"/>
      <c r="F1637" s="30"/>
      <c r="G1637" s="30"/>
      <c r="H1637" s="30"/>
      <c r="I1637" s="30"/>
      <c r="J1637" s="30"/>
      <c r="K1637" s="30"/>
      <c r="L1637" s="30"/>
      <c r="M1637" s="30"/>
      <c r="N1637" s="30" t="str" cm="1">
        <f t="array" ref="N1637">Main_Log_Status(Main_Log[[#This Row],[Carrier]],Main_Log[[#This Row],[Net Weight]])</f>
        <v/>
      </c>
      <c r="O1637" s="30"/>
      <c r="P163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37" s="30"/>
      <c r="R1637" s="30" t="str" cm="1">
        <f t="array" ref="R1637">Main_Log_Ref(Main_Log[[#This Row],[Carrier]])</f>
        <v/>
      </c>
    </row>
    <row r="1638" spans="1:18" ht="29.85" customHeight="1" x14ac:dyDescent="0.45">
      <c r="A1638" s="30">
        <v>52</v>
      </c>
      <c r="B1638" s="30"/>
      <c r="C1638" s="30"/>
      <c r="D1638" s="30"/>
      <c r="E1638" s="30"/>
      <c r="F1638" s="30"/>
      <c r="G1638" s="30"/>
      <c r="H1638" s="30"/>
      <c r="I1638" s="30"/>
      <c r="J1638" s="30"/>
      <c r="K1638" s="30"/>
      <c r="L1638" s="30"/>
      <c r="M1638" s="30"/>
      <c r="N1638" s="30" t="str" cm="1">
        <f t="array" ref="N1638">Main_Log_Status(Main_Log[[#This Row],[Carrier]],Main_Log[[#This Row],[Net Weight]])</f>
        <v/>
      </c>
      <c r="O1638" s="30"/>
      <c r="P163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38" s="30"/>
      <c r="R1638" s="30" t="str" cm="1">
        <f t="array" ref="R1638">Main_Log_Ref(Main_Log[[#This Row],[Carrier]])</f>
        <v/>
      </c>
    </row>
    <row r="1639" spans="1:18" ht="29.85" customHeight="1" x14ac:dyDescent="0.45">
      <c r="A1639" s="30">
        <v>53</v>
      </c>
      <c r="B1639" s="30"/>
      <c r="C1639" s="30"/>
      <c r="D1639" s="30"/>
      <c r="E1639" s="30"/>
      <c r="F1639" s="30"/>
      <c r="G1639" s="30"/>
      <c r="H1639" s="30"/>
      <c r="I1639" s="30"/>
      <c r="J1639" s="30"/>
      <c r="K1639" s="30"/>
      <c r="L1639" s="30"/>
      <c r="M1639" s="30"/>
      <c r="N1639" s="30" t="str" cm="1">
        <f t="array" ref="N1639">Main_Log_Status(Main_Log[[#This Row],[Carrier]],Main_Log[[#This Row],[Net Weight]])</f>
        <v/>
      </c>
      <c r="O1639" s="30"/>
      <c r="P163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39" s="30"/>
      <c r="R1639" s="30" t="str" cm="1">
        <f t="array" ref="R1639">Main_Log_Ref(Main_Log[[#This Row],[Carrier]])</f>
        <v/>
      </c>
    </row>
    <row r="1640" spans="1:18" ht="29.85" customHeight="1" x14ac:dyDescent="0.45">
      <c r="A1640" s="30">
        <v>54</v>
      </c>
      <c r="B1640" s="30"/>
      <c r="C1640" s="30"/>
      <c r="D1640" s="30"/>
      <c r="E1640" s="30"/>
      <c r="F1640" s="30"/>
      <c r="G1640" s="30"/>
      <c r="H1640" s="30"/>
      <c r="I1640" s="30"/>
      <c r="J1640" s="30"/>
      <c r="K1640" s="30"/>
      <c r="L1640" s="30"/>
      <c r="M1640" s="30"/>
      <c r="N1640" s="30" t="str" cm="1">
        <f t="array" ref="N1640">Main_Log_Status(Main_Log[[#This Row],[Carrier]],Main_Log[[#This Row],[Net Weight]])</f>
        <v/>
      </c>
      <c r="O1640" s="30"/>
      <c r="P164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40" s="30"/>
      <c r="R1640" s="30" t="str" cm="1">
        <f t="array" ref="R1640">Main_Log_Ref(Main_Log[[#This Row],[Carrier]])</f>
        <v/>
      </c>
    </row>
    <row r="1641" spans="1:18" ht="29.85" customHeight="1" x14ac:dyDescent="0.45">
      <c r="A1641" s="30">
        <v>55</v>
      </c>
      <c r="B1641" s="30"/>
      <c r="C1641" s="30"/>
      <c r="D1641" s="30"/>
      <c r="E1641" s="30"/>
      <c r="F1641" s="30"/>
      <c r="G1641" s="30"/>
      <c r="H1641" s="30"/>
      <c r="I1641" s="30"/>
      <c r="J1641" s="30"/>
      <c r="K1641" s="30"/>
      <c r="L1641" s="30"/>
      <c r="M1641" s="30"/>
      <c r="N1641" s="30" t="str" cm="1">
        <f t="array" ref="N1641">Main_Log_Status(Main_Log[[#This Row],[Carrier]],Main_Log[[#This Row],[Net Weight]])</f>
        <v/>
      </c>
      <c r="O1641" s="30"/>
      <c r="P164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41" s="30"/>
      <c r="R1641" s="30" t="str" cm="1">
        <f t="array" ref="R1641">Main_Log_Ref(Main_Log[[#This Row],[Carrier]])</f>
        <v/>
      </c>
    </row>
    <row r="1642" spans="1:18" ht="29.85" customHeight="1" x14ac:dyDescent="0.45">
      <c r="A1642" s="30">
        <v>56</v>
      </c>
      <c r="B1642" s="30"/>
      <c r="C1642" s="30"/>
      <c r="D1642" s="30"/>
      <c r="E1642" s="30"/>
      <c r="F1642" s="30"/>
      <c r="G1642" s="30"/>
      <c r="H1642" s="30"/>
      <c r="I1642" s="30"/>
      <c r="J1642" s="30"/>
      <c r="K1642" s="30"/>
      <c r="L1642" s="30"/>
      <c r="M1642" s="30"/>
      <c r="N1642" s="30" t="str" cm="1">
        <f t="array" ref="N1642">Main_Log_Status(Main_Log[[#This Row],[Carrier]],Main_Log[[#This Row],[Net Weight]])</f>
        <v/>
      </c>
      <c r="O1642" s="30"/>
      <c r="P164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42" s="30"/>
      <c r="R1642" s="30" t="str" cm="1">
        <f t="array" ref="R1642">Main_Log_Ref(Main_Log[[#This Row],[Carrier]])</f>
        <v/>
      </c>
    </row>
    <row r="1643" spans="1:18" ht="29.85" customHeight="1" x14ac:dyDescent="0.45">
      <c r="A1643" s="30">
        <v>57</v>
      </c>
      <c r="B1643" s="30"/>
      <c r="C1643" s="30"/>
      <c r="D1643" s="30"/>
      <c r="E1643" s="30"/>
      <c r="F1643" s="30"/>
      <c r="G1643" s="30"/>
      <c r="H1643" s="30"/>
      <c r="I1643" s="30"/>
      <c r="J1643" s="30"/>
      <c r="K1643" s="30"/>
      <c r="L1643" s="30"/>
      <c r="M1643" s="30"/>
      <c r="N1643" s="30" t="str" cm="1">
        <f t="array" ref="N1643">Main_Log_Status(Main_Log[[#This Row],[Carrier]],Main_Log[[#This Row],[Net Weight]])</f>
        <v/>
      </c>
      <c r="O1643" s="30"/>
      <c r="P164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43" s="30"/>
      <c r="R1643" s="30" t="str" cm="1">
        <f t="array" ref="R1643">Main_Log_Ref(Main_Log[[#This Row],[Carrier]])</f>
        <v/>
      </c>
    </row>
    <row r="1644" spans="1:18" ht="29.85" customHeight="1" x14ac:dyDescent="0.45">
      <c r="A1644" s="30">
        <v>58</v>
      </c>
      <c r="B1644" s="30"/>
      <c r="C1644" s="30"/>
      <c r="D1644" s="30"/>
      <c r="E1644" s="30"/>
      <c r="F1644" s="30"/>
      <c r="G1644" s="30"/>
      <c r="H1644" s="30"/>
      <c r="I1644" s="30"/>
      <c r="J1644" s="30"/>
      <c r="K1644" s="30"/>
      <c r="L1644" s="30"/>
      <c r="M1644" s="30"/>
      <c r="N1644" s="30" t="str" cm="1">
        <f t="array" ref="N1644">Main_Log_Status(Main_Log[[#This Row],[Carrier]],Main_Log[[#This Row],[Net Weight]])</f>
        <v/>
      </c>
      <c r="O1644" s="30"/>
      <c r="P164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44" s="30"/>
      <c r="R1644" s="30" t="str" cm="1">
        <f t="array" ref="R1644">Main_Log_Ref(Main_Log[[#This Row],[Carrier]])</f>
        <v/>
      </c>
    </row>
    <row r="1645" spans="1:18" ht="29.85" customHeight="1" x14ac:dyDescent="0.45">
      <c r="A1645" s="30">
        <v>59</v>
      </c>
      <c r="B1645" s="30"/>
      <c r="C1645" s="30"/>
      <c r="D1645" s="30"/>
      <c r="E1645" s="30"/>
      <c r="F1645" s="30"/>
      <c r="G1645" s="30"/>
      <c r="H1645" s="30"/>
      <c r="I1645" s="30"/>
      <c r="J1645" s="30"/>
      <c r="K1645" s="30"/>
      <c r="L1645" s="30"/>
      <c r="M1645" s="30"/>
      <c r="N1645" s="30" t="str" cm="1">
        <f t="array" ref="N1645">Main_Log_Status(Main_Log[[#This Row],[Carrier]],Main_Log[[#This Row],[Net Weight]])</f>
        <v/>
      </c>
      <c r="O1645" s="30"/>
      <c r="P164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45" s="30"/>
      <c r="R1645" s="30" t="str" cm="1">
        <f t="array" ref="R1645">Main_Log_Ref(Main_Log[[#This Row],[Carrier]])</f>
        <v/>
      </c>
    </row>
    <row r="1646" spans="1:18" ht="29.85" customHeight="1" x14ac:dyDescent="0.45">
      <c r="A1646" s="30">
        <v>60</v>
      </c>
      <c r="B1646" s="30"/>
      <c r="C1646" s="30"/>
      <c r="D1646" s="30"/>
      <c r="E1646" s="30"/>
      <c r="F1646" s="30"/>
      <c r="G1646" s="30"/>
      <c r="H1646" s="30"/>
      <c r="I1646" s="30"/>
      <c r="J1646" s="30"/>
      <c r="K1646" s="30"/>
      <c r="L1646" s="30"/>
      <c r="M1646" s="30"/>
      <c r="N1646" s="30" t="str" cm="1">
        <f t="array" ref="N1646">Main_Log_Status(Main_Log[[#This Row],[Carrier]],Main_Log[[#This Row],[Net Weight]])</f>
        <v/>
      </c>
      <c r="O1646" s="30"/>
      <c r="P164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46" s="30"/>
      <c r="R1646" s="30" t="str" cm="1">
        <f t="array" ref="R1646">Main_Log_Ref(Main_Log[[#This Row],[Carrier]])</f>
        <v/>
      </c>
    </row>
    <row r="1647" spans="1:18" ht="29.85" customHeight="1" x14ac:dyDescent="0.45">
      <c r="A1647" s="30">
        <v>61</v>
      </c>
      <c r="B1647" s="30"/>
      <c r="C1647" s="30"/>
      <c r="D1647" s="30"/>
      <c r="E1647" s="30"/>
      <c r="F1647" s="30"/>
      <c r="G1647" s="30"/>
      <c r="H1647" s="30"/>
      <c r="I1647" s="30"/>
      <c r="J1647" s="30"/>
      <c r="K1647" s="30"/>
      <c r="L1647" s="30"/>
      <c r="M1647" s="30"/>
      <c r="N1647" s="30" t="str" cm="1">
        <f t="array" ref="N1647">Main_Log_Status(Main_Log[[#This Row],[Carrier]],Main_Log[[#This Row],[Net Weight]])</f>
        <v/>
      </c>
      <c r="O1647" s="30"/>
      <c r="P164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47" s="30"/>
      <c r="R1647" s="30" t="str" cm="1">
        <f t="array" ref="R1647">Main_Log_Ref(Main_Log[[#This Row],[Carrier]])</f>
        <v/>
      </c>
    </row>
    <row r="1648" spans="1:18" ht="29.85" customHeight="1" x14ac:dyDescent="0.45">
      <c r="A1648" s="30">
        <v>62</v>
      </c>
      <c r="B1648" s="30"/>
      <c r="C1648" s="30"/>
      <c r="D1648" s="30"/>
      <c r="E1648" s="30"/>
      <c r="F1648" s="30"/>
      <c r="G1648" s="30"/>
      <c r="H1648" s="30"/>
      <c r="I1648" s="30"/>
      <c r="J1648" s="30"/>
      <c r="K1648" s="30"/>
      <c r="L1648" s="30"/>
      <c r="M1648" s="30"/>
      <c r="N1648" s="30" t="str" cm="1">
        <f t="array" ref="N1648">Main_Log_Status(Main_Log[[#This Row],[Carrier]],Main_Log[[#This Row],[Net Weight]])</f>
        <v/>
      </c>
      <c r="O1648" s="30"/>
      <c r="P164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48" s="30"/>
      <c r="R1648" s="30" t="str" cm="1">
        <f t="array" ref="R1648">Main_Log_Ref(Main_Log[[#This Row],[Carrier]])</f>
        <v/>
      </c>
    </row>
    <row r="1649" spans="1:18" ht="29.85" customHeight="1" x14ac:dyDescent="0.45">
      <c r="A1649" s="30">
        <v>63</v>
      </c>
      <c r="B1649" s="30"/>
      <c r="C1649" s="30"/>
      <c r="D1649" s="30"/>
      <c r="E1649" s="30"/>
      <c r="F1649" s="30"/>
      <c r="G1649" s="30"/>
      <c r="H1649" s="30"/>
      <c r="I1649" s="30"/>
      <c r="J1649" s="30"/>
      <c r="K1649" s="30"/>
      <c r="L1649" s="30"/>
      <c r="M1649" s="30"/>
      <c r="N1649" s="30" t="str" cm="1">
        <f t="array" ref="N1649">Main_Log_Status(Main_Log[[#This Row],[Carrier]],Main_Log[[#This Row],[Net Weight]])</f>
        <v/>
      </c>
      <c r="O1649" s="30"/>
      <c r="P164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49" s="30"/>
      <c r="R1649" s="30" t="str" cm="1">
        <f t="array" ref="R1649">Main_Log_Ref(Main_Log[[#This Row],[Carrier]])</f>
        <v/>
      </c>
    </row>
    <row r="1650" spans="1:18" ht="29.85" customHeight="1" x14ac:dyDescent="0.45">
      <c r="A1650" s="30">
        <v>64</v>
      </c>
      <c r="B1650" s="30"/>
      <c r="C1650" s="30"/>
      <c r="D1650" s="30"/>
      <c r="E1650" s="30"/>
      <c r="F1650" s="30"/>
      <c r="G1650" s="30"/>
      <c r="H1650" s="30"/>
      <c r="I1650" s="30"/>
      <c r="J1650" s="30"/>
      <c r="K1650" s="30"/>
      <c r="L1650" s="30"/>
      <c r="M1650" s="30"/>
      <c r="N1650" s="30" t="str" cm="1">
        <f t="array" ref="N1650">Main_Log_Status(Main_Log[[#This Row],[Carrier]],Main_Log[[#This Row],[Net Weight]])</f>
        <v/>
      </c>
      <c r="O1650" s="30"/>
      <c r="P165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50" s="30"/>
      <c r="R1650" s="30" t="str" cm="1">
        <f t="array" ref="R1650">Main_Log_Ref(Main_Log[[#This Row],[Carrier]])</f>
        <v/>
      </c>
    </row>
    <row r="1651" spans="1:18" ht="29.85" customHeight="1" x14ac:dyDescent="0.45">
      <c r="A1651" s="30">
        <v>65</v>
      </c>
      <c r="B1651" s="30"/>
      <c r="C1651" s="30"/>
      <c r="D1651" s="30"/>
      <c r="E1651" s="30"/>
      <c r="F1651" s="30"/>
      <c r="G1651" s="30"/>
      <c r="H1651" s="30"/>
      <c r="I1651" s="30"/>
      <c r="J1651" s="30"/>
      <c r="K1651" s="30"/>
      <c r="L1651" s="30"/>
      <c r="M1651" s="30"/>
      <c r="N1651" s="30" t="str" cm="1">
        <f t="array" ref="N1651">Main_Log_Status(Main_Log[[#This Row],[Carrier]],Main_Log[[#This Row],[Net Weight]])</f>
        <v/>
      </c>
      <c r="O1651" s="30"/>
      <c r="P165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51" s="30"/>
      <c r="R1651" s="30" t="str" cm="1">
        <f t="array" ref="R1651">Main_Log_Ref(Main_Log[[#This Row],[Carrier]])</f>
        <v/>
      </c>
    </row>
    <row r="1652" spans="1:18" ht="29.85" customHeight="1" x14ac:dyDescent="0.45">
      <c r="A1652" s="30">
        <v>66</v>
      </c>
      <c r="B1652" s="30"/>
      <c r="C1652" s="30"/>
      <c r="D1652" s="30"/>
      <c r="E1652" s="30"/>
      <c r="F1652" s="30"/>
      <c r="G1652" s="30"/>
      <c r="H1652" s="30"/>
      <c r="I1652" s="30"/>
      <c r="J1652" s="30"/>
      <c r="K1652" s="30"/>
      <c r="L1652" s="30"/>
      <c r="M1652" s="30"/>
      <c r="N1652" s="30" t="str" cm="1">
        <f t="array" ref="N1652">Main_Log_Status(Main_Log[[#This Row],[Carrier]],Main_Log[[#This Row],[Net Weight]])</f>
        <v/>
      </c>
      <c r="O1652" s="30"/>
      <c r="P165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52" s="30"/>
      <c r="R1652" s="30" t="str" cm="1">
        <f t="array" ref="R1652">Main_Log_Ref(Main_Log[[#This Row],[Carrier]])</f>
        <v/>
      </c>
    </row>
    <row r="1653" spans="1:18" ht="29.85" customHeight="1" x14ac:dyDescent="0.45">
      <c r="A1653" s="30">
        <v>67</v>
      </c>
      <c r="B1653" s="30"/>
      <c r="C1653" s="30"/>
      <c r="D1653" s="30"/>
      <c r="E1653" s="30"/>
      <c r="F1653" s="30"/>
      <c r="G1653" s="30"/>
      <c r="H1653" s="30"/>
      <c r="I1653" s="30"/>
      <c r="J1653" s="30"/>
      <c r="K1653" s="30"/>
      <c r="L1653" s="30"/>
      <c r="M1653" s="30"/>
      <c r="N1653" s="30" t="str" cm="1">
        <f t="array" ref="N1653">Main_Log_Status(Main_Log[[#This Row],[Carrier]],Main_Log[[#This Row],[Net Weight]])</f>
        <v/>
      </c>
      <c r="O1653" s="30"/>
      <c r="P165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53" s="30"/>
      <c r="R1653" s="30" t="str" cm="1">
        <f t="array" ref="R1653">Main_Log_Ref(Main_Log[[#This Row],[Carrier]])</f>
        <v/>
      </c>
    </row>
    <row r="1654" spans="1:18" ht="29.85" customHeight="1" x14ac:dyDescent="0.45">
      <c r="A1654" s="30">
        <v>68</v>
      </c>
      <c r="B1654" s="30"/>
      <c r="C1654" s="30"/>
      <c r="D1654" s="30"/>
      <c r="E1654" s="30"/>
      <c r="F1654" s="30"/>
      <c r="G1654" s="30"/>
      <c r="H1654" s="30"/>
      <c r="I1654" s="30"/>
      <c r="J1654" s="30"/>
      <c r="K1654" s="30"/>
      <c r="L1654" s="30"/>
      <c r="M1654" s="30"/>
      <c r="N1654" s="30" t="str" cm="1">
        <f t="array" ref="N1654">Main_Log_Status(Main_Log[[#This Row],[Carrier]],Main_Log[[#This Row],[Net Weight]])</f>
        <v/>
      </c>
      <c r="O1654" s="30"/>
      <c r="P165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54" s="30"/>
      <c r="R1654" s="30" t="str" cm="1">
        <f t="array" ref="R1654">Main_Log_Ref(Main_Log[[#This Row],[Carrier]])</f>
        <v/>
      </c>
    </row>
    <row r="1655" spans="1:18" ht="29.85" customHeight="1" x14ac:dyDescent="0.45">
      <c r="A1655" s="30">
        <v>69</v>
      </c>
      <c r="B1655" s="30"/>
      <c r="C1655" s="30"/>
      <c r="D1655" s="30"/>
      <c r="E1655" s="30"/>
      <c r="F1655" s="30"/>
      <c r="G1655" s="30"/>
      <c r="H1655" s="30"/>
      <c r="I1655" s="30"/>
      <c r="J1655" s="30"/>
      <c r="K1655" s="30"/>
      <c r="L1655" s="30"/>
      <c r="M1655" s="30"/>
      <c r="N1655" s="30" t="str" cm="1">
        <f t="array" ref="N1655">Main_Log_Status(Main_Log[[#This Row],[Carrier]],Main_Log[[#This Row],[Net Weight]])</f>
        <v/>
      </c>
      <c r="O1655" s="30"/>
      <c r="P165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55" s="30"/>
      <c r="R1655" s="30" t="str" cm="1">
        <f t="array" ref="R1655">Main_Log_Ref(Main_Log[[#This Row],[Carrier]])</f>
        <v/>
      </c>
    </row>
    <row r="1656" spans="1:18" ht="29.85" customHeight="1" x14ac:dyDescent="0.45">
      <c r="A1656" s="30">
        <v>70</v>
      </c>
      <c r="B1656" s="30"/>
      <c r="C1656" s="30"/>
      <c r="D1656" s="30"/>
      <c r="E1656" s="30"/>
      <c r="F1656" s="30"/>
      <c r="G1656" s="30"/>
      <c r="H1656" s="30"/>
      <c r="I1656" s="30"/>
      <c r="J1656" s="30"/>
      <c r="K1656" s="30"/>
      <c r="L1656" s="30"/>
      <c r="M1656" s="30"/>
      <c r="N1656" s="30" t="str" cm="1">
        <f t="array" ref="N1656">Main_Log_Status(Main_Log[[#This Row],[Carrier]],Main_Log[[#This Row],[Net Weight]])</f>
        <v/>
      </c>
      <c r="O1656" s="30"/>
      <c r="P165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56" s="30"/>
      <c r="R1656" s="30" t="str" cm="1">
        <f t="array" ref="R1656">Main_Log_Ref(Main_Log[[#This Row],[Carrier]])</f>
        <v/>
      </c>
    </row>
    <row r="1657" spans="1:18" ht="29.85" customHeight="1" x14ac:dyDescent="0.45">
      <c r="A1657" s="30">
        <v>71</v>
      </c>
      <c r="B1657" s="30"/>
      <c r="C1657" s="30"/>
      <c r="D1657" s="30"/>
      <c r="E1657" s="30"/>
      <c r="F1657" s="30"/>
      <c r="G1657" s="30"/>
      <c r="H1657" s="30"/>
      <c r="I1657" s="30"/>
      <c r="J1657" s="30"/>
      <c r="K1657" s="30"/>
      <c r="L1657" s="30"/>
      <c r="M1657" s="30"/>
      <c r="N1657" s="30" t="str" cm="1">
        <f t="array" ref="N1657">Main_Log_Status(Main_Log[[#This Row],[Carrier]],Main_Log[[#This Row],[Net Weight]])</f>
        <v/>
      </c>
      <c r="O1657" s="30"/>
      <c r="P165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57" s="30"/>
      <c r="R1657" s="30" t="str" cm="1">
        <f t="array" ref="R1657">Main_Log_Ref(Main_Log[[#This Row],[Carrier]])</f>
        <v/>
      </c>
    </row>
    <row r="1658" spans="1:18" ht="29.85" customHeight="1" x14ac:dyDescent="0.45">
      <c r="A1658" s="30">
        <v>72</v>
      </c>
      <c r="B1658" s="30"/>
      <c r="C1658" s="30"/>
      <c r="D1658" s="30"/>
      <c r="E1658" s="30"/>
      <c r="F1658" s="30"/>
      <c r="G1658" s="30"/>
      <c r="H1658" s="30"/>
      <c r="I1658" s="30"/>
      <c r="J1658" s="30"/>
      <c r="K1658" s="30"/>
      <c r="L1658" s="30"/>
      <c r="M1658" s="30"/>
      <c r="N1658" s="30" t="str" cm="1">
        <f t="array" ref="N1658">Main_Log_Status(Main_Log[[#This Row],[Carrier]],Main_Log[[#This Row],[Net Weight]])</f>
        <v/>
      </c>
      <c r="O1658" s="30"/>
      <c r="P165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58" s="30"/>
      <c r="R1658" s="30" t="str" cm="1">
        <f t="array" ref="R1658">Main_Log_Ref(Main_Log[[#This Row],[Carrier]])</f>
        <v/>
      </c>
    </row>
    <row r="1659" spans="1:18" ht="29.85" customHeight="1" x14ac:dyDescent="0.45">
      <c r="A1659" s="30">
        <v>73</v>
      </c>
      <c r="B1659" s="30"/>
      <c r="C1659" s="30"/>
      <c r="D1659" s="30"/>
      <c r="E1659" s="30"/>
      <c r="F1659" s="30"/>
      <c r="G1659" s="30"/>
      <c r="H1659" s="30"/>
      <c r="I1659" s="30"/>
      <c r="J1659" s="30"/>
      <c r="K1659" s="30"/>
      <c r="L1659" s="30"/>
      <c r="M1659" s="30"/>
      <c r="N1659" s="30" t="str" cm="1">
        <f t="array" ref="N1659">Main_Log_Status(Main_Log[[#This Row],[Carrier]],Main_Log[[#This Row],[Net Weight]])</f>
        <v/>
      </c>
      <c r="O1659" s="30"/>
      <c r="P165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59" s="30"/>
      <c r="R1659" s="30" t="str" cm="1">
        <f t="array" ref="R1659">Main_Log_Ref(Main_Log[[#This Row],[Carrier]])</f>
        <v/>
      </c>
    </row>
    <row r="1660" spans="1:18" ht="29.85" customHeight="1" x14ac:dyDescent="0.45">
      <c r="A1660" s="30">
        <v>74</v>
      </c>
      <c r="B1660" s="30"/>
      <c r="C1660" s="30"/>
      <c r="D1660" s="30"/>
      <c r="E1660" s="30"/>
      <c r="F1660" s="30"/>
      <c r="G1660" s="30"/>
      <c r="H1660" s="30"/>
      <c r="I1660" s="30"/>
      <c r="J1660" s="30"/>
      <c r="K1660" s="30"/>
      <c r="L1660" s="30"/>
      <c r="M1660" s="30"/>
      <c r="N1660" s="30" t="str" cm="1">
        <f t="array" ref="N1660">Main_Log_Status(Main_Log[[#This Row],[Carrier]],Main_Log[[#This Row],[Net Weight]])</f>
        <v/>
      </c>
      <c r="O1660" s="30"/>
      <c r="P166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60" s="30"/>
      <c r="R1660" s="30" t="str" cm="1">
        <f t="array" ref="R1660">Main_Log_Ref(Main_Log[[#This Row],[Carrier]])</f>
        <v/>
      </c>
    </row>
    <row r="1661" spans="1:18" ht="29.85" customHeight="1" x14ac:dyDescent="0.45">
      <c r="A1661" s="30">
        <v>75</v>
      </c>
      <c r="B1661" s="30"/>
      <c r="C1661" s="30"/>
      <c r="D1661" s="30"/>
      <c r="E1661" s="30"/>
      <c r="F1661" s="30"/>
      <c r="G1661" s="30"/>
      <c r="H1661" s="30"/>
      <c r="I1661" s="30"/>
      <c r="J1661" s="30"/>
      <c r="K1661" s="30"/>
      <c r="L1661" s="30"/>
      <c r="M1661" s="30"/>
      <c r="N1661" s="30" t="str" cm="1">
        <f t="array" ref="N1661">Main_Log_Status(Main_Log[[#This Row],[Carrier]],Main_Log[[#This Row],[Net Weight]])</f>
        <v/>
      </c>
      <c r="O1661" s="30"/>
      <c r="P166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61" s="30"/>
      <c r="R1661" s="30" t="str" cm="1">
        <f t="array" ref="R1661">Main_Log_Ref(Main_Log[[#This Row],[Carrier]])</f>
        <v/>
      </c>
    </row>
    <row r="1662" spans="1:18" ht="29.85" customHeight="1" x14ac:dyDescent="0.45">
      <c r="A1662" s="30">
        <v>76</v>
      </c>
      <c r="B1662" s="30"/>
      <c r="C1662" s="30"/>
      <c r="D1662" s="30"/>
      <c r="E1662" s="30"/>
      <c r="F1662" s="30"/>
      <c r="G1662" s="30"/>
      <c r="H1662" s="30"/>
      <c r="I1662" s="30"/>
      <c r="J1662" s="30"/>
      <c r="K1662" s="30"/>
      <c r="L1662" s="30"/>
      <c r="M1662" s="30"/>
      <c r="N1662" s="30" t="str" cm="1">
        <f t="array" ref="N1662">Main_Log_Status(Main_Log[[#This Row],[Carrier]],Main_Log[[#This Row],[Net Weight]])</f>
        <v/>
      </c>
      <c r="O1662" s="30"/>
      <c r="P166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62" s="30"/>
      <c r="R1662" s="30" t="str" cm="1">
        <f t="array" ref="R1662">Main_Log_Ref(Main_Log[[#This Row],[Carrier]])</f>
        <v/>
      </c>
    </row>
    <row r="1663" spans="1:18" ht="29.85" customHeight="1" x14ac:dyDescent="0.45">
      <c r="A1663" s="30">
        <v>77</v>
      </c>
      <c r="B1663" s="30"/>
      <c r="C1663" s="30"/>
      <c r="D1663" s="30"/>
      <c r="E1663" s="30"/>
      <c r="F1663" s="30"/>
      <c r="G1663" s="30"/>
      <c r="H1663" s="30"/>
      <c r="I1663" s="30"/>
      <c r="J1663" s="30"/>
      <c r="K1663" s="30"/>
      <c r="L1663" s="30"/>
      <c r="M1663" s="30"/>
      <c r="N1663" s="30" t="str" cm="1">
        <f t="array" ref="N1663">Main_Log_Status(Main_Log[[#This Row],[Carrier]],Main_Log[[#This Row],[Net Weight]])</f>
        <v/>
      </c>
      <c r="O1663" s="30"/>
      <c r="P166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63" s="30"/>
      <c r="R1663" s="30" t="str" cm="1">
        <f t="array" ref="R1663">Main_Log_Ref(Main_Log[[#This Row],[Carrier]])</f>
        <v/>
      </c>
    </row>
    <row r="1664" spans="1:18" ht="29.85" customHeight="1" x14ac:dyDescent="0.45">
      <c r="A1664" s="30">
        <v>78</v>
      </c>
      <c r="B1664" s="30"/>
      <c r="C1664" s="30"/>
      <c r="D1664" s="30"/>
      <c r="E1664" s="30"/>
      <c r="F1664" s="30"/>
      <c r="G1664" s="30"/>
      <c r="H1664" s="30"/>
      <c r="I1664" s="30"/>
      <c r="J1664" s="30"/>
      <c r="K1664" s="30"/>
      <c r="L1664" s="30"/>
      <c r="M1664" s="30"/>
      <c r="N1664" s="30" t="str" cm="1">
        <f t="array" ref="N1664">Main_Log_Status(Main_Log[[#This Row],[Carrier]],Main_Log[[#This Row],[Net Weight]])</f>
        <v/>
      </c>
      <c r="O1664" s="30"/>
      <c r="P166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64" s="30"/>
      <c r="R1664" s="30" t="str" cm="1">
        <f t="array" ref="R1664">Main_Log_Ref(Main_Log[[#This Row],[Carrier]])</f>
        <v/>
      </c>
    </row>
    <row r="1665" spans="1:18" ht="29.85" customHeight="1" x14ac:dyDescent="0.45">
      <c r="A1665" s="30">
        <v>79</v>
      </c>
      <c r="B1665" s="30"/>
      <c r="C1665" s="30"/>
      <c r="D1665" s="30"/>
      <c r="E1665" s="30"/>
      <c r="F1665" s="30"/>
      <c r="G1665" s="30"/>
      <c r="H1665" s="30"/>
      <c r="I1665" s="30"/>
      <c r="J1665" s="30"/>
      <c r="K1665" s="30"/>
      <c r="L1665" s="30"/>
      <c r="M1665" s="30"/>
      <c r="N1665" s="30" t="str" cm="1">
        <f t="array" ref="N1665">Main_Log_Status(Main_Log[[#This Row],[Carrier]],Main_Log[[#This Row],[Net Weight]])</f>
        <v/>
      </c>
      <c r="O1665" s="30"/>
      <c r="P166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65" s="30"/>
      <c r="R1665" s="30" t="str" cm="1">
        <f t="array" ref="R1665">Main_Log_Ref(Main_Log[[#This Row],[Carrier]])</f>
        <v/>
      </c>
    </row>
    <row r="1666" spans="1:18" ht="29.85" customHeight="1" x14ac:dyDescent="0.45">
      <c r="A1666" s="30">
        <v>80</v>
      </c>
      <c r="B1666" s="30"/>
      <c r="C1666" s="30"/>
      <c r="D1666" s="30"/>
      <c r="E1666" s="30"/>
      <c r="F1666" s="30"/>
      <c r="G1666" s="30"/>
      <c r="H1666" s="30"/>
      <c r="I1666" s="30"/>
      <c r="J1666" s="30"/>
      <c r="K1666" s="30"/>
      <c r="L1666" s="30"/>
      <c r="M1666" s="30"/>
      <c r="N1666" s="30" t="str" cm="1">
        <f t="array" ref="N1666">Main_Log_Status(Main_Log[[#This Row],[Carrier]],Main_Log[[#This Row],[Net Weight]])</f>
        <v/>
      </c>
      <c r="O1666" s="30"/>
      <c r="P166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66" s="30"/>
      <c r="R1666" s="30" t="str" cm="1">
        <f t="array" ref="R1666">Main_Log_Ref(Main_Log[[#This Row],[Carrier]])</f>
        <v/>
      </c>
    </row>
    <row r="1667" spans="1:18" ht="29.85" customHeight="1" x14ac:dyDescent="0.45">
      <c r="A1667" s="30">
        <v>81</v>
      </c>
      <c r="B1667" s="30"/>
      <c r="C1667" s="30"/>
      <c r="D1667" s="30"/>
      <c r="E1667" s="30"/>
      <c r="F1667" s="30"/>
      <c r="G1667" s="30"/>
      <c r="H1667" s="30"/>
      <c r="I1667" s="30"/>
      <c r="J1667" s="30"/>
      <c r="K1667" s="30"/>
      <c r="L1667" s="30"/>
      <c r="M1667" s="30"/>
      <c r="N1667" s="30" t="str" cm="1">
        <f t="array" ref="N1667">Main_Log_Status(Main_Log[[#This Row],[Carrier]],Main_Log[[#This Row],[Net Weight]])</f>
        <v/>
      </c>
      <c r="O1667" s="30"/>
      <c r="P166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67" s="30"/>
      <c r="R1667" s="30" t="str" cm="1">
        <f t="array" ref="R1667">Main_Log_Ref(Main_Log[[#This Row],[Carrier]])</f>
        <v/>
      </c>
    </row>
    <row r="1668" spans="1:18" ht="29.85" customHeight="1" x14ac:dyDescent="0.45">
      <c r="A1668" s="30">
        <v>82</v>
      </c>
      <c r="B1668" s="30"/>
      <c r="C1668" s="30"/>
      <c r="D1668" s="30"/>
      <c r="E1668" s="30"/>
      <c r="F1668" s="30"/>
      <c r="G1668" s="30"/>
      <c r="H1668" s="30"/>
      <c r="I1668" s="30"/>
      <c r="J1668" s="30"/>
      <c r="K1668" s="30"/>
      <c r="L1668" s="30"/>
      <c r="M1668" s="30"/>
      <c r="N1668" s="30" t="str" cm="1">
        <f t="array" ref="N1668">Main_Log_Status(Main_Log[[#This Row],[Carrier]],Main_Log[[#This Row],[Net Weight]])</f>
        <v/>
      </c>
      <c r="O1668" s="30"/>
      <c r="P166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68" s="30"/>
      <c r="R1668" s="30" t="str" cm="1">
        <f t="array" ref="R1668">Main_Log_Ref(Main_Log[[#This Row],[Carrier]])</f>
        <v/>
      </c>
    </row>
    <row r="1669" spans="1:18" ht="29.85" customHeight="1" x14ac:dyDescent="0.45">
      <c r="A1669" s="30">
        <v>83</v>
      </c>
      <c r="B1669" s="30"/>
      <c r="C1669" s="30"/>
      <c r="D1669" s="30"/>
      <c r="E1669" s="30"/>
      <c r="F1669" s="30"/>
      <c r="G1669" s="30"/>
      <c r="H1669" s="30"/>
      <c r="I1669" s="30"/>
      <c r="J1669" s="30"/>
      <c r="K1669" s="30"/>
      <c r="L1669" s="30"/>
      <c r="M1669" s="30"/>
      <c r="N1669" s="30" t="str" cm="1">
        <f t="array" ref="N1669">Main_Log_Status(Main_Log[[#This Row],[Carrier]],Main_Log[[#This Row],[Net Weight]])</f>
        <v/>
      </c>
      <c r="O1669" s="30"/>
      <c r="P166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69" s="30"/>
      <c r="R1669" s="30" t="str" cm="1">
        <f t="array" ref="R1669">Main_Log_Ref(Main_Log[[#This Row],[Carrier]])</f>
        <v/>
      </c>
    </row>
    <row r="1670" spans="1:18" ht="29.85" customHeight="1" x14ac:dyDescent="0.45">
      <c r="A1670" s="30">
        <v>84</v>
      </c>
      <c r="B1670" s="30"/>
      <c r="C1670" s="30"/>
      <c r="D1670" s="30"/>
      <c r="E1670" s="30"/>
      <c r="F1670" s="30"/>
      <c r="G1670" s="30"/>
      <c r="H1670" s="30"/>
      <c r="I1670" s="30"/>
      <c r="J1670" s="30"/>
      <c r="K1670" s="30"/>
      <c r="L1670" s="30"/>
      <c r="M1670" s="30"/>
      <c r="N1670" s="30" t="str" cm="1">
        <f t="array" ref="N1670">Main_Log_Status(Main_Log[[#This Row],[Carrier]],Main_Log[[#This Row],[Net Weight]])</f>
        <v/>
      </c>
      <c r="O1670" s="30"/>
      <c r="P167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70" s="30"/>
      <c r="R1670" s="30" t="str" cm="1">
        <f t="array" ref="R1670">Main_Log_Ref(Main_Log[[#This Row],[Carrier]])</f>
        <v/>
      </c>
    </row>
    <row r="1671" spans="1:18" ht="29.85" customHeight="1" x14ac:dyDescent="0.45">
      <c r="A1671" s="30">
        <v>85</v>
      </c>
      <c r="B1671" s="30"/>
      <c r="C1671" s="30"/>
      <c r="D1671" s="30"/>
      <c r="E1671" s="30"/>
      <c r="F1671" s="30"/>
      <c r="G1671" s="30"/>
      <c r="H1671" s="30"/>
      <c r="I1671" s="30"/>
      <c r="J1671" s="30"/>
      <c r="K1671" s="30"/>
      <c r="L1671" s="30"/>
      <c r="M1671" s="30"/>
      <c r="N1671" s="30" t="str" cm="1">
        <f t="array" ref="N1671">Main_Log_Status(Main_Log[[#This Row],[Carrier]],Main_Log[[#This Row],[Net Weight]])</f>
        <v/>
      </c>
      <c r="O1671" s="30"/>
      <c r="P167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71" s="30"/>
      <c r="R1671" s="30" t="str" cm="1">
        <f t="array" ref="R1671">Main_Log_Ref(Main_Log[[#This Row],[Carrier]])</f>
        <v/>
      </c>
    </row>
    <row r="1672" spans="1:18" ht="29.85" customHeight="1" x14ac:dyDescent="0.45">
      <c r="A1672" s="30">
        <v>86</v>
      </c>
      <c r="B1672" s="30"/>
      <c r="C1672" s="30"/>
      <c r="D1672" s="30"/>
      <c r="E1672" s="30"/>
      <c r="F1672" s="30"/>
      <c r="G1672" s="30"/>
      <c r="H1672" s="30"/>
      <c r="I1672" s="30"/>
      <c r="J1672" s="30"/>
      <c r="K1672" s="30"/>
      <c r="L1672" s="30"/>
      <c r="M1672" s="30"/>
      <c r="N1672" s="30" t="str" cm="1">
        <f t="array" ref="N1672">Main_Log_Status(Main_Log[[#This Row],[Carrier]],Main_Log[[#This Row],[Net Weight]])</f>
        <v/>
      </c>
      <c r="O1672" s="30"/>
      <c r="P167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72" s="30"/>
      <c r="R1672" s="30" t="str" cm="1">
        <f t="array" ref="R1672">Main_Log_Ref(Main_Log[[#This Row],[Carrier]])</f>
        <v/>
      </c>
    </row>
    <row r="1673" spans="1:18" ht="29.85" customHeight="1" x14ac:dyDescent="0.45">
      <c r="A1673" s="30">
        <v>87</v>
      </c>
      <c r="B1673" s="30"/>
      <c r="C1673" s="30"/>
      <c r="D1673" s="30"/>
      <c r="E1673" s="30"/>
      <c r="F1673" s="30"/>
      <c r="G1673" s="30"/>
      <c r="H1673" s="30"/>
      <c r="I1673" s="30"/>
      <c r="J1673" s="30"/>
      <c r="K1673" s="30"/>
      <c r="L1673" s="30"/>
      <c r="M1673" s="30"/>
      <c r="N1673" s="30" t="str" cm="1">
        <f t="array" ref="N1673">Main_Log_Status(Main_Log[[#This Row],[Carrier]],Main_Log[[#This Row],[Net Weight]])</f>
        <v/>
      </c>
      <c r="O1673" s="30"/>
      <c r="P167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73" s="30"/>
      <c r="R1673" s="30" t="str" cm="1">
        <f t="array" ref="R1673">Main_Log_Ref(Main_Log[[#This Row],[Carrier]])</f>
        <v/>
      </c>
    </row>
    <row r="1674" spans="1:18" ht="29.85" customHeight="1" x14ac:dyDescent="0.45">
      <c r="A1674" s="30">
        <v>88</v>
      </c>
      <c r="B1674" s="30"/>
      <c r="C1674" s="30"/>
      <c r="D1674" s="30"/>
      <c r="E1674" s="30"/>
      <c r="F1674" s="30"/>
      <c r="G1674" s="30"/>
      <c r="H1674" s="30"/>
      <c r="I1674" s="30"/>
      <c r="J1674" s="30"/>
      <c r="K1674" s="30"/>
      <c r="L1674" s="30"/>
      <c r="M1674" s="30"/>
      <c r="N1674" s="30" t="str" cm="1">
        <f t="array" ref="N1674">Main_Log_Status(Main_Log[[#This Row],[Carrier]],Main_Log[[#This Row],[Net Weight]])</f>
        <v/>
      </c>
      <c r="O1674" s="30"/>
      <c r="P167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74" s="30"/>
      <c r="R1674" s="30" t="str" cm="1">
        <f t="array" ref="R1674">Main_Log_Ref(Main_Log[[#This Row],[Carrier]])</f>
        <v/>
      </c>
    </row>
    <row r="1675" spans="1:18" ht="29.85" customHeight="1" x14ac:dyDescent="0.45">
      <c r="A1675" s="30">
        <v>89</v>
      </c>
      <c r="B1675" s="30"/>
      <c r="C1675" s="30"/>
      <c r="D1675" s="30"/>
      <c r="E1675" s="30"/>
      <c r="F1675" s="30"/>
      <c r="G1675" s="30"/>
      <c r="H1675" s="30"/>
      <c r="I1675" s="30"/>
      <c r="J1675" s="30"/>
      <c r="K1675" s="30"/>
      <c r="L1675" s="30"/>
      <c r="M1675" s="30"/>
      <c r="N1675" s="30" t="str" cm="1">
        <f t="array" ref="N1675">Main_Log_Status(Main_Log[[#This Row],[Carrier]],Main_Log[[#This Row],[Net Weight]])</f>
        <v/>
      </c>
      <c r="O1675" s="30"/>
      <c r="P167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75" s="30"/>
      <c r="R1675" s="30" t="str" cm="1">
        <f t="array" ref="R1675">Main_Log_Ref(Main_Log[[#This Row],[Carrier]])</f>
        <v/>
      </c>
    </row>
    <row r="1676" spans="1:18" ht="29.85" customHeight="1" x14ac:dyDescent="0.45">
      <c r="A1676" s="30">
        <v>90</v>
      </c>
      <c r="B1676" s="30"/>
      <c r="C1676" s="30"/>
      <c r="D1676" s="30"/>
      <c r="E1676" s="30"/>
      <c r="F1676" s="30"/>
      <c r="G1676" s="30"/>
      <c r="H1676" s="30"/>
      <c r="I1676" s="30"/>
      <c r="J1676" s="30"/>
      <c r="K1676" s="30"/>
      <c r="L1676" s="30"/>
      <c r="M1676" s="30"/>
      <c r="N1676" s="30" t="str" cm="1">
        <f t="array" ref="N1676">Main_Log_Status(Main_Log[[#This Row],[Carrier]],Main_Log[[#This Row],[Net Weight]])</f>
        <v/>
      </c>
      <c r="O1676" s="30"/>
      <c r="P167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76" s="30"/>
      <c r="R1676" s="30" t="str" cm="1">
        <f t="array" ref="R1676">Main_Log_Ref(Main_Log[[#This Row],[Carrier]])</f>
        <v/>
      </c>
    </row>
    <row r="1677" spans="1:18" ht="29.85" customHeight="1" x14ac:dyDescent="0.45">
      <c r="A1677" s="30">
        <v>91</v>
      </c>
      <c r="B1677" s="30"/>
      <c r="C1677" s="30"/>
      <c r="D1677" s="30"/>
      <c r="E1677" s="30"/>
      <c r="F1677" s="30"/>
      <c r="G1677" s="30"/>
      <c r="H1677" s="30"/>
      <c r="I1677" s="30"/>
      <c r="J1677" s="30"/>
      <c r="K1677" s="30"/>
      <c r="L1677" s="30"/>
      <c r="M1677" s="30"/>
      <c r="N1677" s="30" t="str" cm="1">
        <f t="array" ref="N1677">Main_Log_Status(Main_Log[[#This Row],[Carrier]],Main_Log[[#This Row],[Net Weight]])</f>
        <v/>
      </c>
      <c r="O1677" s="30"/>
      <c r="P167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77" s="30"/>
      <c r="R1677" s="30" t="str" cm="1">
        <f t="array" ref="R1677">Main_Log_Ref(Main_Log[[#This Row],[Carrier]])</f>
        <v/>
      </c>
    </row>
    <row r="1678" spans="1:18" ht="29.85" customHeight="1" x14ac:dyDescent="0.45">
      <c r="A1678" s="30">
        <v>92</v>
      </c>
      <c r="B1678" s="30"/>
      <c r="C1678" s="30"/>
      <c r="D1678" s="30"/>
      <c r="E1678" s="30"/>
      <c r="F1678" s="30"/>
      <c r="G1678" s="30"/>
      <c r="H1678" s="30"/>
      <c r="I1678" s="30"/>
      <c r="J1678" s="30"/>
      <c r="K1678" s="30"/>
      <c r="L1678" s="30"/>
      <c r="M1678" s="30"/>
      <c r="N1678" s="30" t="str" cm="1">
        <f t="array" ref="N1678">Main_Log_Status(Main_Log[[#This Row],[Carrier]],Main_Log[[#This Row],[Net Weight]])</f>
        <v/>
      </c>
      <c r="O1678" s="30"/>
      <c r="P167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78" s="30"/>
      <c r="R1678" s="30" t="str" cm="1">
        <f t="array" ref="R1678">Main_Log_Ref(Main_Log[[#This Row],[Carrier]])</f>
        <v/>
      </c>
    </row>
    <row r="1679" spans="1:18" ht="29.85" customHeight="1" x14ac:dyDescent="0.45">
      <c r="A1679" s="30">
        <v>93</v>
      </c>
      <c r="B1679" s="30"/>
      <c r="C1679" s="30"/>
      <c r="D1679" s="30"/>
      <c r="E1679" s="30"/>
      <c r="F1679" s="30"/>
      <c r="G1679" s="30"/>
      <c r="H1679" s="30"/>
      <c r="I1679" s="30"/>
      <c r="J1679" s="30"/>
      <c r="K1679" s="30"/>
      <c r="L1679" s="30"/>
      <c r="M1679" s="30"/>
      <c r="N1679" s="30" t="str" cm="1">
        <f t="array" ref="N1679">Main_Log_Status(Main_Log[[#This Row],[Carrier]],Main_Log[[#This Row],[Net Weight]])</f>
        <v/>
      </c>
      <c r="O1679" s="30"/>
      <c r="P167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79" s="30"/>
      <c r="R1679" s="30" t="str" cm="1">
        <f t="array" ref="R1679">Main_Log_Ref(Main_Log[[#This Row],[Carrier]])</f>
        <v/>
      </c>
    </row>
    <row r="1680" spans="1:18" ht="29.85" customHeight="1" x14ac:dyDescent="0.45">
      <c r="A1680" s="30">
        <v>94</v>
      </c>
      <c r="B1680" s="30"/>
      <c r="C1680" s="30"/>
      <c r="D1680" s="30"/>
      <c r="E1680" s="30"/>
      <c r="F1680" s="30"/>
      <c r="G1680" s="30"/>
      <c r="H1680" s="30"/>
      <c r="I1680" s="30"/>
      <c r="J1680" s="30"/>
      <c r="K1680" s="30"/>
      <c r="L1680" s="30"/>
      <c r="M1680" s="30"/>
      <c r="N1680" s="30" t="str" cm="1">
        <f t="array" ref="N1680">Main_Log_Status(Main_Log[[#This Row],[Carrier]],Main_Log[[#This Row],[Net Weight]])</f>
        <v/>
      </c>
      <c r="O1680" s="30"/>
      <c r="P168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80" s="30"/>
      <c r="R1680" s="30" t="str" cm="1">
        <f t="array" ref="R1680">Main_Log_Ref(Main_Log[[#This Row],[Carrier]])</f>
        <v/>
      </c>
    </row>
    <row r="1681" spans="1:18" ht="29.85" customHeight="1" x14ac:dyDescent="0.45">
      <c r="A1681" s="30">
        <v>95</v>
      </c>
      <c r="B1681" s="30"/>
      <c r="C1681" s="30"/>
      <c r="D1681" s="30"/>
      <c r="E1681" s="30"/>
      <c r="F1681" s="30"/>
      <c r="G1681" s="30"/>
      <c r="H1681" s="30"/>
      <c r="I1681" s="30"/>
      <c r="J1681" s="30"/>
      <c r="K1681" s="30"/>
      <c r="L1681" s="30"/>
      <c r="M1681" s="30"/>
      <c r="N1681" s="30" t="str" cm="1">
        <f t="array" ref="N1681">Main_Log_Status(Main_Log[[#This Row],[Carrier]],Main_Log[[#This Row],[Net Weight]])</f>
        <v/>
      </c>
      <c r="O1681" s="30"/>
      <c r="P168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81" s="30"/>
      <c r="R1681" s="30" t="str" cm="1">
        <f t="array" ref="R1681">Main_Log_Ref(Main_Log[[#This Row],[Carrier]])</f>
        <v/>
      </c>
    </row>
    <row r="1682" spans="1:18" ht="29.85" customHeight="1" x14ac:dyDescent="0.45">
      <c r="A1682" s="30">
        <v>96</v>
      </c>
      <c r="B1682" s="30"/>
      <c r="C1682" s="30"/>
      <c r="D1682" s="30"/>
      <c r="E1682" s="30"/>
      <c r="F1682" s="30"/>
      <c r="G1682" s="30"/>
      <c r="H1682" s="30"/>
      <c r="I1682" s="30"/>
      <c r="J1682" s="30"/>
      <c r="K1682" s="30"/>
      <c r="L1682" s="30"/>
      <c r="M1682" s="30"/>
      <c r="N1682" s="30" t="str" cm="1">
        <f t="array" ref="N1682">Main_Log_Status(Main_Log[[#This Row],[Carrier]],Main_Log[[#This Row],[Net Weight]])</f>
        <v/>
      </c>
      <c r="O1682" s="30"/>
      <c r="P168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82" s="30"/>
      <c r="R1682" s="30" t="str" cm="1">
        <f t="array" ref="R1682">Main_Log_Ref(Main_Log[[#This Row],[Carrier]])</f>
        <v/>
      </c>
    </row>
    <row r="1683" spans="1:18" ht="29.85" customHeight="1" x14ac:dyDescent="0.45">
      <c r="A1683" s="30">
        <v>97</v>
      </c>
      <c r="B1683" s="30"/>
      <c r="C1683" s="30"/>
      <c r="D1683" s="30"/>
      <c r="E1683" s="30"/>
      <c r="F1683" s="30"/>
      <c r="G1683" s="30"/>
      <c r="H1683" s="30"/>
      <c r="I1683" s="30"/>
      <c r="J1683" s="30"/>
      <c r="K1683" s="30"/>
      <c r="L1683" s="30"/>
      <c r="M1683" s="30"/>
      <c r="N1683" s="30" t="str" cm="1">
        <f t="array" ref="N1683">Main_Log_Status(Main_Log[[#This Row],[Carrier]],Main_Log[[#This Row],[Net Weight]])</f>
        <v/>
      </c>
      <c r="O1683" s="30"/>
      <c r="P168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83" s="30"/>
      <c r="R1683" s="30" t="str" cm="1">
        <f t="array" ref="R1683">Main_Log_Ref(Main_Log[[#This Row],[Carrier]])</f>
        <v/>
      </c>
    </row>
    <row r="1684" spans="1:18" ht="29.85" customHeight="1" x14ac:dyDescent="0.45">
      <c r="A1684" s="30">
        <v>98</v>
      </c>
      <c r="B1684" s="30"/>
      <c r="C1684" s="30"/>
      <c r="D1684" s="30"/>
      <c r="E1684" s="30"/>
      <c r="F1684" s="30"/>
      <c r="G1684" s="30"/>
      <c r="H1684" s="30"/>
      <c r="I1684" s="30"/>
      <c r="J1684" s="30"/>
      <c r="K1684" s="30"/>
      <c r="L1684" s="30"/>
      <c r="M1684" s="30"/>
      <c r="N1684" s="30" t="str" cm="1">
        <f t="array" ref="N1684">Main_Log_Status(Main_Log[[#This Row],[Carrier]],Main_Log[[#This Row],[Net Weight]])</f>
        <v/>
      </c>
      <c r="O1684" s="30"/>
      <c r="P168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84" s="30"/>
      <c r="R1684" s="30" t="str" cm="1">
        <f t="array" ref="R1684">Main_Log_Ref(Main_Log[[#This Row],[Carrier]])</f>
        <v/>
      </c>
    </row>
    <row r="1685" spans="1:18" ht="29.85" customHeight="1" x14ac:dyDescent="0.45">
      <c r="A1685" s="30">
        <v>99</v>
      </c>
      <c r="B1685" s="30"/>
      <c r="C1685" s="30"/>
      <c r="D1685" s="30"/>
      <c r="E1685" s="30"/>
      <c r="F1685" s="30"/>
      <c r="G1685" s="30"/>
      <c r="H1685" s="30"/>
      <c r="I1685" s="30"/>
      <c r="J1685" s="30"/>
      <c r="K1685" s="30"/>
      <c r="L1685" s="30"/>
      <c r="M1685" s="30"/>
      <c r="N1685" s="30" t="str" cm="1">
        <f t="array" ref="N1685">Main_Log_Status(Main_Log[[#This Row],[Carrier]],Main_Log[[#This Row],[Net Weight]])</f>
        <v/>
      </c>
      <c r="O1685" s="30"/>
      <c r="P168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85" s="30"/>
      <c r="R1685" s="30" t="str" cm="1">
        <f t="array" ref="R1685">Main_Log_Ref(Main_Log[[#This Row],[Carrier]])</f>
        <v/>
      </c>
    </row>
    <row r="1686" spans="1:18" ht="29.85" customHeight="1" x14ac:dyDescent="0.45">
      <c r="A1686" s="30">
        <v>1</v>
      </c>
      <c r="B1686" s="30"/>
      <c r="C1686" s="30"/>
      <c r="D1686" s="30"/>
      <c r="E1686" s="30"/>
      <c r="F1686" s="30"/>
      <c r="G1686" s="30"/>
      <c r="H1686" s="30"/>
      <c r="I1686" s="30"/>
      <c r="J1686" s="30"/>
      <c r="K1686" s="30"/>
      <c r="L1686" s="30"/>
      <c r="M1686" s="30"/>
      <c r="N1686" s="30" t="str" cm="1">
        <f t="array" ref="N1686">Main_Log_Status(Main_Log[[#This Row],[Carrier]],Main_Log[[#This Row],[Net Weight]])</f>
        <v/>
      </c>
      <c r="O1686" s="30"/>
      <c r="P168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86" s="30"/>
      <c r="R1686" s="30" t="str" cm="1">
        <f t="array" ref="R1686">Main_Log_Ref(Main_Log[[#This Row],[Carrier]])</f>
        <v/>
      </c>
    </row>
    <row r="1687" spans="1:18" ht="29.85" customHeight="1" x14ac:dyDescent="0.45">
      <c r="A1687" s="30">
        <v>2</v>
      </c>
      <c r="B1687" s="30"/>
      <c r="C1687" s="30"/>
      <c r="D1687" s="30"/>
      <c r="E1687" s="30"/>
      <c r="F1687" s="30"/>
      <c r="G1687" s="30"/>
      <c r="H1687" s="30"/>
      <c r="I1687" s="30"/>
      <c r="J1687" s="30"/>
      <c r="K1687" s="30"/>
      <c r="L1687" s="30"/>
      <c r="M1687" s="30"/>
      <c r="N1687" s="30" t="str" cm="1">
        <f t="array" ref="N1687">Main_Log_Status(Main_Log[[#This Row],[Carrier]],Main_Log[[#This Row],[Net Weight]])</f>
        <v/>
      </c>
      <c r="O1687" s="30"/>
      <c r="P168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87" s="30"/>
      <c r="R1687" s="30" t="str" cm="1">
        <f t="array" ref="R1687">Main_Log_Ref(Main_Log[[#This Row],[Carrier]])</f>
        <v/>
      </c>
    </row>
    <row r="1688" spans="1:18" ht="29.85" customHeight="1" x14ac:dyDescent="0.45">
      <c r="A1688" s="30">
        <v>3</v>
      </c>
      <c r="B1688" s="30"/>
      <c r="C1688" s="30"/>
      <c r="D1688" s="30"/>
      <c r="E1688" s="30"/>
      <c r="F1688" s="30"/>
      <c r="G1688" s="30"/>
      <c r="H1688" s="30"/>
      <c r="I1688" s="30"/>
      <c r="J1688" s="30"/>
      <c r="K1688" s="30"/>
      <c r="L1688" s="30"/>
      <c r="M1688" s="30"/>
      <c r="N1688" s="30" t="str" cm="1">
        <f t="array" ref="N1688">Main_Log_Status(Main_Log[[#This Row],[Carrier]],Main_Log[[#This Row],[Net Weight]])</f>
        <v/>
      </c>
      <c r="O1688" s="30"/>
      <c r="P168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88" s="30"/>
      <c r="R1688" s="30" t="str" cm="1">
        <f t="array" ref="R1688">Main_Log_Ref(Main_Log[[#This Row],[Carrier]])</f>
        <v/>
      </c>
    </row>
    <row r="1689" spans="1:18" ht="29.85" customHeight="1" x14ac:dyDescent="0.45">
      <c r="A1689" s="30">
        <v>4</v>
      </c>
      <c r="B1689" s="30"/>
      <c r="C1689" s="30"/>
      <c r="D1689" s="30"/>
      <c r="E1689" s="30"/>
      <c r="F1689" s="30"/>
      <c r="G1689" s="30"/>
      <c r="H1689" s="30"/>
      <c r="I1689" s="30"/>
      <c r="J1689" s="30"/>
      <c r="K1689" s="30"/>
      <c r="L1689" s="30"/>
      <c r="M1689" s="30"/>
      <c r="N1689" s="30" t="str" cm="1">
        <f t="array" ref="N1689">Main_Log_Status(Main_Log[[#This Row],[Carrier]],Main_Log[[#This Row],[Net Weight]])</f>
        <v/>
      </c>
      <c r="O1689" s="30"/>
      <c r="P168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89" s="30"/>
      <c r="R1689" s="30" t="str" cm="1">
        <f t="array" ref="R1689">Main_Log_Ref(Main_Log[[#This Row],[Carrier]])</f>
        <v/>
      </c>
    </row>
    <row r="1690" spans="1:18" ht="29.85" customHeight="1" x14ac:dyDescent="0.45">
      <c r="A1690" s="30">
        <v>5</v>
      </c>
      <c r="B1690" s="30"/>
      <c r="C1690" s="30"/>
      <c r="D1690" s="30"/>
      <c r="E1690" s="30"/>
      <c r="F1690" s="30"/>
      <c r="G1690" s="30"/>
      <c r="H1690" s="30"/>
      <c r="I1690" s="30"/>
      <c r="J1690" s="30"/>
      <c r="K1690" s="30"/>
      <c r="L1690" s="30"/>
      <c r="M1690" s="30"/>
      <c r="N1690" s="30" t="str" cm="1">
        <f t="array" ref="N1690">Main_Log_Status(Main_Log[[#This Row],[Carrier]],Main_Log[[#This Row],[Net Weight]])</f>
        <v/>
      </c>
      <c r="O1690" s="30"/>
      <c r="P169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90" s="30"/>
      <c r="R1690" s="30" t="str" cm="1">
        <f t="array" ref="R1690">Main_Log_Ref(Main_Log[[#This Row],[Carrier]])</f>
        <v/>
      </c>
    </row>
    <row r="1691" spans="1:18" ht="29.85" customHeight="1" x14ac:dyDescent="0.45">
      <c r="A1691" s="30">
        <v>6</v>
      </c>
      <c r="B1691" s="30"/>
      <c r="C1691" s="30"/>
      <c r="D1691" s="30"/>
      <c r="E1691" s="30"/>
      <c r="F1691" s="30"/>
      <c r="G1691" s="30"/>
      <c r="H1691" s="30"/>
      <c r="I1691" s="30"/>
      <c r="J1691" s="30"/>
      <c r="K1691" s="30"/>
      <c r="L1691" s="30"/>
      <c r="M1691" s="30"/>
      <c r="N1691" s="30" t="str" cm="1">
        <f t="array" ref="N1691">Main_Log_Status(Main_Log[[#This Row],[Carrier]],Main_Log[[#This Row],[Net Weight]])</f>
        <v/>
      </c>
      <c r="O1691" s="30"/>
      <c r="P169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91" s="30"/>
      <c r="R1691" s="30" t="str" cm="1">
        <f t="array" ref="R1691">Main_Log_Ref(Main_Log[[#This Row],[Carrier]])</f>
        <v/>
      </c>
    </row>
    <row r="1692" spans="1:18" ht="29.85" customHeight="1" x14ac:dyDescent="0.45">
      <c r="A1692" s="30">
        <v>7</v>
      </c>
      <c r="B1692" s="30"/>
      <c r="C1692" s="30"/>
      <c r="D1692" s="30"/>
      <c r="E1692" s="30"/>
      <c r="F1692" s="30"/>
      <c r="G1692" s="30"/>
      <c r="H1692" s="30"/>
      <c r="I1692" s="30"/>
      <c r="J1692" s="30"/>
      <c r="K1692" s="30"/>
      <c r="L1692" s="30"/>
      <c r="M1692" s="30"/>
      <c r="N1692" s="30" t="str" cm="1">
        <f t="array" ref="N1692">Main_Log_Status(Main_Log[[#This Row],[Carrier]],Main_Log[[#This Row],[Net Weight]])</f>
        <v/>
      </c>
      <c r="O1692" s="30"/>
      <c r="P169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92" s="30"/>
      <c r="R1692" s="30" t="str" cm="1">
        <f t="array" ref="R1692">Main_Log_Ref(Main_Log[[#This Row],[Carrier]])</f>
        <v/>
      </c>
    </row>
    <row r="1693" spans="1:18" ht="29.85" customHeight="1" x14ac:dyDescent="0.45">
      <c r="A1693" s="30">
        <v>8</v>
      </c>
      <c r="B1693" s="30"/>
      <c r="C1693" s="30"/>
      <c r="D1693" s="30"/>
      <c r="E1693" s="30"/>
      <c r="F1693" s="30"/>
      <c r="G1693" s="30"/>
      <c r="H1693" s="30"/>
      <c r="I1693" s="30"/>
      <c r="J1693" s="30"/>
      <c r="K1693" s="30"/>
      <c r="L1693" s="30"/>
      <c r="M1693" s="30"/>
      <c r="N1693" s="30" t="str" cm="1">
        <f t="array" ref="N1693">Main_Log_Status(Main_Log[[#This Row],[Carrier]],Main_Log[[#This Row],[Net Weight]])</f>
        <v/>
      </c>
      <c r="O1693" s="30"/>
      <c r="P169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93" s="30"/>
      <c r="R1693" s="30" t="str" cm="1">
        <f t="array" ref="R1693">Main_Log_Ref(Main_Log[[#This Row],[Carrier]])</f>
        <v/>
      </c>
    </row>
    <row r="1694" spans="1:18" ht="29.85" customHeight="1" x14ac:dyDescent="0.45">
      <c r="A1694" s="30">
        <v>9</v>
      </c>
      <c r="B1694" s="30"/>
      <c r="C1694" s="30"/>
      <c r="D1694" s="30"/>
      <c r="E1694" s="30"/>
      <c r="F1694" s="30"/>
      <c r="G1694" s="30"/>
      <c r="H1694" s="30"/>
      <c r="I1694" s="30"/>
      <c r="J1694" s="30"/>
      <c r="K1694" s="30"/>
      <c r="L1694" s="30"/>
      <c r="M1694" s="30"/>
      <c r="N1694" s="30" t="str" cm="1">
        <f t="array" ref="N1694">Main_Log_Status(Main_Log[[#This Row],[Carrier]],Main_Log[[#This Row],[Net Weight]])</f>
        <v/>
      </c>
      <c r="O1694" s="30"/>
      <c r="P169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94" s="30"/>
      <c r="R1694" s="30" t="str" cm="1">
        <f t="array" ref="R1694">Main_Log_Ref(Main_Log[[#This Row],[Carrier]])</f>
        <v/>
      </c>
    </row>
    <row r="1695" spans="1:18" ht="29.85" customHeight="1" x14ac:dyDescent="0.45">
      <c r="A1695" s="30">
        <v>10</v>
      </c>
      <c r="B1695" s="30"/>
      <c r="C1695" s="30"/>
      <c r="D1695" s="30"/>
      <c r="E1695" s="30"/>
      <c r="F1695" s="30"/>
      <c r="G1695" s="30"/>
      <c r="H1695" s="30"/>
      <c r="I1695" s="30"/>
      <c r="J1695" s="30"/>
      <c r="K1695" s="30"/>
      <c r="L1695" s="30"/>
      <c r="M1695" s="30"/>
      <c r="N1695" s="30" t="str" cm="1">
        <f t="array" ref="N1695">Main_Log_Status(Main_Log[[#This Row],[Carrier]],Main_Log[[#This Row],[Net Weight]])</f>
        <v/>
      </c>
      <c r="O1695" s="30"/>
      <c r="P169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95" s="30"/>
      <c r="R1695" s="30" t="str" cm="1">
        <f t="array" ref="R1695">Main_Log_Ref(Main_Log[[#This Row],[Carrier]])</f>
        <v/>
      </c>
    </row>
    <row r="1696" spans="1:18" ht="29.85" customHeight="1" x14ac:dyDescent="0.45">
      <c r="A1696" s="30">
        <v>11</v>
      </c>
      <c r="B1696" s="30"/>
      <c r="C1696" s="30"/>
      <c r="D1696" s="30"/>
      <c r="E1696" s="30"/>
      <c r="F1696" s="30"/>
      <c r="G1696" s="30"/>
      <c r="H1696" s="30"/>
      <c r="I1696" s="30"/>
      <c r="J1696" s="30"/>
      <c r="K1696" s="30"/>
      <c r="L1696" s="30"/>
      <c r="M1696" s="30"/>
      <c r="N1696" s="30" t="str" cm="1">
        <f t="array" ref="N1696">Main_Log_Status(Main_Log[[#This Row],[Carrier]],Main_Log[[#This Row],[Net Weight]])</f>
        <v/>
      </c>
      <c r="O1696" s="30"/>
      <c r="P169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96" s="30"/>
      <c r="R1696" s="30" t="str" cm="1">
        <f t="array" ref="R1696">Main_Log_Ref(Main_Log[[#This Row],[Carrier]])</f>
        <v/>
      </c>
    </row>
    <row r="1697" spans="1:18" ht="29.85" customHeight="1" x14ac:dyDescent="0.45">
      <c r="A1697" s="30">
        <v>12</v>
      </c>
      <c r="B1697" s="30"/>
      <c r="C1697" s="30"/>
      <c r="D1697" s="30"/>
      <c r="E1697" s="30"/>
      <c r="F1697" s="30"/>
      <c r="G1697" s="30"/>
      <c r="H1697" s="30"/>
      <c r="I1697" s="30"/>
      <c r="J1697" s="30"/>
      <c r="K1697" s="30"/>
      <c r="L1697" s="30"/>
      <c r="M1697" s="30"/>
      <c r="N1697" s="30" t="str" cm="1">
        <f t="array" ref="N1697">Main_Log_Status(Main_Log[[#This Row],[Carrier]],Main_Log[[#This Row],[Net Weight]])</f>
        <v/>
      </c>
      <c r="O1697" s="30"/>
      <c r="P169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97" s="30"/>
      <c r="R1697" s="30" t="str" cm="1">
        <f t="array" ref="R1697">Main_Log_Ref(Main_Log[[#This Row],[Carrier]])</f>
        <v/>
      </c>
    </row>
    <row r="1698" spans="1:18" ht="29.85" customHeight="1" x14ac:dyDescent="0.45">
      <c r="A1698" s="30">
        <v>13</v>
      </c>
      <c r="B1698" s="30"/>
      <c r="C1698" s="30"/>
      <c r="D1698" s="30"/>
      <c r="E1698" s="30"/>
      <c r="F1698" s="30"/>
      <c r="G1698" s="30"/>
      <c r="H1698" s="30"/>
      <c r="I1698" s="30"/>
      <c r="J1698" s="30"/>
      <c r="K1698" s="30"/>
      <c r="L1698" s="30"/>
      <c r="M1698" s="30"/>
      <c r="N1698" s="30" t="str" cm="1">
        <f t="array" ref="N1698">Main_Log_Status(Main_Log[[#This Row],[Carrier]],Main_Log[[#This Row],[Net Weight]])</f>
        <v/>
      </c>
      <c r="O1698" s="30"/>
      <c r="P169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98" s="30"/>
      <c r="R1698" s="30" t="str" cm="1">
        <f t="array" ref="R1698">Main_Log_Ref(Main_Log[[#This Row],[Carrier]])</f>
        <v/>
      </c>
    </row>
    <row r="1699" spans="1:18" ht="29.85" customHeight="1" x14ac:dyDescent="0.45">
      <c r="A1699" s="30">
        <v>14</v>
      </c>
      <c r="B1699" s="30"/>
      <c r="C1699" s="30"/>
      <c r="D1699" s="30"/>
      <c r="E1699" s="30"/>
      <c r="F1699" s="30"/>
      <c r="G1699" s="30"/>
      <c r="H1699" s="30"/>
      <c r="I1699" s="30"/>
      <c r="J1699" s="30"/>
      <c r="K1699" s="30"/>
      <c r="L1699" s="30"/>
      <c r="M1699" s="30"/>
      <c r="N1699" s="30" t="str" cm="1">
        <f t="array" ref="N1699">Main_Log_Status(Main_Log[[#This Row],[Carrier]],Main_Log[[#This Row],[Net Weight]])</f>
        <v/>
      </c>
      <c r="O1699" s="30"/>
      <c r="P169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699" s="30"/>
      <c r="R1699" s="30" t="str" cm="1">
        <f t="array" ref="R1699">Main_Log_Ref(Main_Log[[#This Row],[Carrier]])</f>
        <v/>
      </c>
    </row>
    <row r="1700" spans="1:18" ht="29.85" customHeight="1" x14ac:dyDescent="0.45">
      <c r="A1700" s="30">
        <v>15</v>
      </c>
      <c r="B1700" s="30"/>
      <c r="C1700" s="30"/>
      <c r="D1700" s="30"/>
      <c r="E1700" s="30"/>
      <c r="F1700" s="30"/>
      <c r="G1700" s="30"/>
      <c r="H1700" s="30"/>
      <c r="I1700" s="30"/>
      <c r="J1700" s="30"/>
      <c r="K1700" s="30"/>
      <c r="L1700" s="30"/>
      <c r="M1700" s="30"/>
      <c r="N1700" s="30" t="str" cm="1">
        <f t="array" ref="N1700">Main_Log_Status(Main_Log[[#This Row],[Carrier]],Main_Log[[#This Row],[Net Weight]])</f>
        <v/>
      </c>
      <c r="O1700" s="30"/>
      <c r="P170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00" s="30"/>
      <c r="R1700" s="30" t="str" cm="1">
        <f t="array" ref="R1700">Main_Log_Ref(Main_Log[[#This Row],[Carrier]])</f>
        <v/>
      </c>
    </row>
    <row r="1701" spans="1:18" ht="29.85" customHeight="1" x14ac:dyDescent="0.45">
      <c r="A1701" s="30">
        <v>16</v>
      </c>
      <c r="B1701" s="30"/>
      <c r="C1701" s="30"/>
      <c r="D1701" s="30"/>
      <c r="E1701" s="30"/>
      <c r="F1701" s="30"/>
      <c r="G1701" s="30"/>
      <c r="H1701" s="30"/>
      <c r="I1701" s="30"/>
      <c r="J1701" s="30"/>
      <c r="K1701" s="30"/>
      <c r="L1701" s="30"/>
      <c r="M1701" s="30"/>
      <c r="N1701" s="30" t="str" cm="1">
        <f t="array" ref="N1701">Main_Log_Status(Main_Log[[#This Row],[Carrier]],Main_Log[[#This Row],[Net Weight]])</f>
        <v/>
      </c>
      <c r="O1701" s="30"/>
      <c r="P170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01" s="30"/>
      <c r="R1701" s="30" t="str" cm="1">
        <f t="array" ref="R1701">Main_Log_Ref(Main_Log[[#This Row],[Carrier]])</f>
        <v/>
      </c>
    </row>
    <row r="1702" spans="1:18" ht="29.85" customHeight="1" x14ac:dyDescent="0.45">
      <c r="A1702" s="30">
        <v>17</v>
      </c>
      <c r="B1702" s="30"/>
      <c r="C1702" s="30"/>
      <c r="D1702" s="30"/>
      <c r="E1702" s="30"/>
      <c r="F1702" s="30"/>
      <c r="G1702" s="30"/>
      <c r="H1702" s="30"/>
      <c r="I1702" s="30"/>
      <c r="J1702" s="30"/>
      <c r="K1702" s="30"/>
      <c r="L1702" s="30"/>
      <c r="M1702" s="30"/>
      <c r="N1702" s="30" t="str" cm="1">
        <f t="array" ref="N1702">Main_Log_Status(Main_Log[[#This Row],[Carrier]],Main_Log[[#This Row],[Net Weight]])</f>
        <v/>
      </c>
      <c r="O1702" s="30"/>
      <c r="P170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02" s="30"/>
      <c r="R1702" s="30" t="str" cm="1">
        <f t="array" ref="R1702">Main_Log_Ref(Main_Log[[#This Row],[Carrier]])</f>
        <v/>
      </c>
    </row>
    <row r="1703" spans="1:18" ht="29.85" customHeight="1" x14ac:dyDescent="0.45">
      <c r="A1703" s="30">
        <v>18</v>
      </c>
      <c r="B1703" s="30"/>
      <c r="C1703" s="30"/>
      <c r="D1703" s="30"/>
      <c r="E1703" s="30"/>
      <c r="F1703" s="30"/>
      <c r="G1703" s="30"/>
      <c r="H1703" s="30"/>
      <c r="I1703" s="30"/>
      <c r="J1703" s="30"/>
      <c r="K1703" s="30"/>
      <c r="L1703" s="30"/>
      <c r="M1703" s="30"/>
      <c r="N1703" s="30" t="str" cm="1">
        <f t="array" ref="N1703">Main_Log_Status(Main_Log[[#This Row],[Carrier]],Main_Log[[#This Row],[Net Weight]])</f>
        <v/>
      </c>
      <c r="O1703" s="30"/>
      <c r="P170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03" s="30"/>
      <c r="R1703" s="30" t="str" cm="1">
        <f t="array" ref="R1703">Main_Log_Ref(Main_Log[[#This Row],[Carrier]])</f>
        <v/>
      </c>
    </row>
    <row r="1704" spans="1:18" ht="29.85" customHeight="1" x14ac:dyDescent="0.45">
      <c r="A1704" s="30">
        <v>19</v>
      </c>
      <c r="B1704" s="30"/>
      <c r="C1704" s="30"/>
      <c r="D1704" s="30"/>
      <c r="E1704" s="30"/>
      <c r="F1704" s="30"/>
      <c r="G1704" s="30"/>
      <c r="H1704" s="30"/>
      <c r="I1704" s="30"/>
      <c r="J1704" s="30"/>
      <c r="K1704" s="30"/>
      <c r="L1704" s="30"/>
      <c r="M1704" s="30"/>
      <c r="N1704" s="30" t="str" cm="1">
        <f t="array" ref="N1704">Main_Log_Status(Main_Log[[#This Row],[Carrier]],Main_Log[[#This Row],[Net Weight]])</f>
        <v/>
      </c>
      <c r="O1704" s="30"/>
      <c r="P170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04" s="30"/>
      <c r="R1704" s="30" t="str" cm="1">
        <f t="array" ref="R1704">Main_Log_Ref(Main_Log[[#This Row],[Carrier]])</f>
        <v/>
      </c>
    </row>
    <row r="1705" spans="1:18" ht="29.85" customHeight="1" x14ac:dyDescent="0.45">
      <c r="A1705" s="30">
        <v>20</v>
      </c>
      <c r="B1705" s="30"/>
      <c r="C1705" s="30"/>
      <c r="D1705" s="30"/>
      <c r="E1705" s="30"/>
      <c r="F1705" s="30"/>
      <c r="G1705" s="30"/>
      <c r="H1705" s="30"/>
      <c r="I1705" s="30"/>
      <c r="J1705" s="30"/>
      <c r="K1705" s="30"/>
      <c r="L1705" s="30"/>
      <c r="M1705" s="30"/>
      <c r="N1705" s="30" t="str" cm="1">
        <f t="array" ref="N1705">Main_Log_Status(Main_Log[[#This Row],[Carrier]],Main_Log[[#This Row],[Net Weight]])</f>
        <v/>
      </c>
      <c r="O1705" s="30"/>
      <c r="P170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05" s="30"/>
      <c r="R1705" s="30" t="str" cm="1">
        <f t="array" ref="R1705">Main_Log_Ref(Main_Log[[#This Row],[Carrier]])</f>
        <v/>
      </c>
    </row>
    <row r="1706" spans="1:18" ht="29.85" customHeight="1" x14ac:dyDescent="0.45">
      <c r="A1706" s="30">
        <v>21</v>
      </c>
      <c r="B1706" s="30"/>
      <c r="C1706" s="30"/>
      <c r="D1706" s="30"/>
      <c r="E1706" s="30"/>
      <c r="F1706" s="30"/>
      <c r="G1706" s="30"/>
      <c r="H1706" s="30"/>
      <c r="I1706" s="30"/>
      <c r="J1706" s="30"/>
      <c r="K1706" s="30"/>
      <c r="L1706" s="30"/>
      <c r="M1706" s="30"/>
      <c r="N1706" s="30" t="str" cm="1">
        <f t="array" ref="N1706">Main_Log_Status(Main_Log[[#This Row],[Carrier]],Main_Log[[#This Row],[Net Weight]])</f>
        <v/>
      </c>
      <c r="O1706" s="30"/>
      <c r="P170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06" s="30"/>
      <c r="R1706" s="30" t="str" cm="1">
        <f t="array" ref="R1706">Main_Log_Ref(Main_Log[[#This Row],[Carrier]])</f>
        <v/>
      </c>
    </row>
    <row r="1707" spans="1:18" ht="29.85" customHeight="1" x14ac:dyDescent="0.45">
      <c r="A1707" s="30">
        <v>22</v>
      </c>
      <c r="B1707" s="30"/>
      <c r="C1707" s="30"/>
      <c r="D1707" s="30"/>
      <c r="E1707" s="30"/>
      <c r="F1707" s="30"/>
      <c r="G1707" s="30"/>
      <c r="H1707" s="30"/>
      <c r="I1707" s="30"/>
      <c r="J1707" s="30"/>
      <c r="K1707" s="30"/>
      <c r="L1707" s="30"/>
      <c r="M1707" s="30"/>
      <c r="N1707" s="30" t="str" cm="1">
        <f t="array" ref="N1707">Main_Log_Status(Main_Log[[#This Row],[Carrier]],Main_Log[[#This Row],[Net Weight]])</f>
        <v/>
      </c>
      <c r="O1707" s="30"/>
      <c r="P170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07" s="30"/>
      <c r="R1707" s="30" t="str" cm="1">
        <f t="array" ref="R1707">Main_Log_Ref(Main_Log[[#This Row],[Carrier]])</f>
        <v/>
      </c>
    </row>
    <row r="1708" spans="1:18" ht="29.85" customHeight="1" x14ac:dyDescent="0.45">
      <c r="A1708" s="30">
        <v>23</v>
      </c>
      <c r="B1708" s="30"/>
      <c r="C1708" s="30"/>
      <c r="D1708" s="30"/>
      <c r="E1708" s="30"/>
      <c r="F1708" s="30"/>
      <c r="G1708" s="30"/>
      <c r="H1708" s="30"/>
      <c r="I1708" s="30"/>
      <c r="J1708" s="30"/>
      <c r="K1708" s="30"/>
      <c r="L1708" s="30"/>
      <c r="M1708" s="30"/>
      <c r="N1708" s="30" t="str" cm="1">
        <f t="array" ref="N1708">Main_Log_Status(Main_Log[[#This Row],[Carrier]],Main_Log[[#This Row],[Net Weight]])</f>
        <v/>
      </c>
      <c r="O1708" s="30"/>
      <c r="P170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08" s="30"/>
      <c r="R1708" s="30" t="str" cm="1">
        <f t="array" ref="R1708">Main_Log_Ref(Main_Log[[#This Row],[Carrier]])</f>
        <v/>
      </c>
    </row>
    <row r="1709" spans="1:18" ht="29.85" customHeight="1" x14ac:dyDescent="0.45">
      <c r="A1709" s="30">
        <v>24</v>
      </c>
      <c r="B1709" s="30"/>
      <c r="C1709" s="30"/>
      <c r="D1709" s="30"/>
      <c r="E1709" s="30"/>
      <c r="F1709" s="30"/>
      <c r="G1709" s="30"/>
      <c r="H1709" s="30"/>
      <c r="I1709" s="30"/>
      <c r="J1709" s="30"/>
      <c r="K1709" s="30"/>
      <c r="L1709" s="30"/>
      <c r="M1709" s="30"/>
      <c r="N1709" s="30" t="str" cm="1">
        <f t="array" ref="N1709">Main_Log_Status(Main_Log[[#This Row],[Carrier]],Main_Log[[#This Row],[Net Weight]])</f>
        <v/>
      </c>
      <c r="O1709" s="30"/>
      <c r="P170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09" s="30"/>
      <c r="R1709" s="30" t="str" cm="1">
        <f t="array" ref="R1709">Main_Log_Ref(Main_Log[[#This Row],[Carrier]])</f>
        <v/>
      </c>
    </row>
    <row r="1710" spans="1:18" ht="29.85" customHeight="1" x14ac:dyDescent="0.45">
      <c r="A1710" s="30">
        <v>25</v>
      </c>
      <c r="B1710" s="30"/>
      <c r="C1710" s="30"/>
      <c r="D1710" s="30"/>
      <c r="E1710" s="30"/>
      <c r="F1710" s="30"/>
      <c r="G1710" s="30"/>
      <c r="H1710" s="30"/>
      <c r="I1710" s="30"/>
      <c r="J1710" s="30"/>
      <c r="K1710" s="30"/>
      <c r="L1710" s="30"/>
      <c r="M1710" s="30"/>
      <c r="N1710" s="30" t="str" cm="1">
        <f t="array" ref="N1710">Main_Log_Status(Main_Log[[#This Row],[Carrier]],Main_Log[[#This Row],[Net Weight]])</f>
        <v/>
      </c>
      <c r="O1710" s="30"/>
      <c r="P171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10" s="30"/>
      <c r="R1710" s="30" t="str" cm="1">
        <f t="array" ref="R1710">Main_Log_Ref(Main_Log[[#This Row],[Carrier]])</f>
        <v/>
      </c>
    </row>
    <row r="1711" spans="1:18" ht="29.85" customHeight="1" x14ac:dyDescent="0.45">
      <c r="A1711" s="30">
        <v>26</v>
      </c>
      <c r="B1711" s="30"/>
      <c r="C1711" s="30"/>
      <c r="D1711" s="30"/>
      <c r="E1711" s="30"/>
      <c r="F1711" s="30"/>
      <c r="G1711" s="30"/>
      <c r="H1711" s="30"/>
      <c r="I1711" s="30"/>
      <c r="J1711" s="30"/>
      <c r="K1711" s="30"/>
      <c r="L1711" s="30"/>
      <c r="M1711" s="30"/>
      <c r="N1711" s="30" t="str" cm="1">
        <f t="array" ref="N1711">Main_Log_Status(Main_Log[[#This Row],[Carrier]],Main_Log[[#This Row],[Net Weight]])</f>
        <v/>
      </c>
      <c r="O1711" s="30"/>
      <c r="P171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11" s="30"/>
      <c r="R1711" s="30" t="str" cm="1">
        <f t="array" ref="R1711">Main_Log_Ref(Main_Log[[#This Row],[Carrier]])</f>
        <v/>
      </c>
    </row>
    <row r="1712" spans="1:18" ht="29.85" customHeight="1" x14ac:dyDescent="0.45">
      <c r="A1712" s="30">
        <v>27</v>
      </c>
      <c r="B1712" s="30"/>
      <c r="C1712" s="30"/>
      <c r="D1712" s="30"/>
      <c r="E1712" s="30"/>
      <c r="F1712" s="30"/>
      <c r="G1712" s="30"/>
      <c r="H1712" s="30"/>
      <c r="I1712" s="30"/>
      <c r="J1712" s="30"/>
      <c r="K1712" s="30"/>
      <c r="L1712" s="30"/>
      <c r="M1712" s="30"/>
      <c r="N1712" s="30" t="str" cm="1">
        <f t="array" ref="N1712">Main_Log_Status(Main_Log[[#This Row],[Carrier]],Main_Log[[#This Row],[Net Weight]])</f>
        <v/>
      </c>
      <c r="O1712" s="30"/>
      <c r="P171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12" s="30"/>
      <c r="R1712" s="30" t="str" cm="1">
        <f t="array" ref="R1712">Main_Log_Ref(Main_Log[[#This Row],[Carrier]])</f>
        <v/>
      </c>
    </row>
    <row r="1713" spans="1:18" ht="29.85" customHeight="1" x14ac:dyDescent="0.45">
      <c r="A1713" s="30">
        <v>28</v>
      </c>
      <c r="B1713" s="30"/>
      <c r="C1713" s="30"/>
      <c r="D1713" s="30"/>
      <c r="E1713" s="30"/>
      <c r="F1713" s="30"/>
      <c r="G1713" s="30"/>
      <c r="H1713" s="30"/>
      <c r="I1713" s="30"/>
      <c r="J1713" s="30"/>
      <c r="K1713" s="30"/>
      <c r="L1713" s="30"/>
      <c r="M1713" s="30"/>
      <c r="N1713" s="30" t="str" cm="1">
        <f t="array" ref="N1713">Main_Log_Status(Main_Log[[#This Row],[Carrier]],Main_Log[[#This Row],[Net Weight]])</f>
        <v/>
      </c>
      <c r="O1713" s="30"/>
      <c r="P171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13" s="30"/>
      <c r="R1713" s="30" t="str" cm="1">
        <f t="array" ref="R1713">Main_Log_Ref(Main_Log[[#This Row],[Carrier]])</f>
        <v/>
      </c>
    </row>
    <row r="1714" spans="1:18" ht="29.85" customHeight="1" x14ac:dyDescent="0.45">
      <c r="A1714" s="30">
        <v>29</v>
      </c>
      <c r="B1714" s="30"/>
      <c r="C1714" s="30"/>
      <c r="D1714" s="30"/>
      <c r="E1714" s="30"/>
      <c r="F1714" s="30"/>
      <c r="G1714" s="30"/>
      <c r="H1714" s="30"/>
      <c r="I1714" s="30"/>
      <c r="J1714" s="30"/>
      <c r="K1714" s="30"/>
      <c r="L1714" s="30"/>
      <c r="M1714" s="30"/>
      <c r="N1714" s="30" t="str" cm="1">
        <f t="array" ref="N1714">Main_Log_Status(Main_Log[[#This Row],[Carrier]],Main_Log[[#This Row],[Net Weight]])</f>
        <v/>
      </c>
      <c r="O1714" s="30"/>
      <c r="P171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14" s="30"/>
      <c r="R1714" s="30" t="str" cm="1">
        <f t="array" ref="R1714">Main_Log_Ref(Main_Log[[#This Row],[Carrier]])</f>
        <v/>
      </c>
    </row>
    <row r="1715" spans="1:18" ht="29.85" customHeight="1" x14ac:dyDescent="0.45">
      <c r="A1715" s="30">
        <v>30</v>
      </c>
      <c r="B1715" s="30"/>
      <c r="C1715" s="30"/>
      <c r="D1715" s="30"/>
      <c r="E1715" s="30"/>
      <c r="F1715" s="30"/>
      <c r="G1715" s="30"/>
      <c r="H1715" s="30"/>
      <c r="I1715" s="30"/>
      <c r="J1715" s="30"/>
      <c r="K1715" s="30"/>
      <c r="L1715" s="30"/>
      <c r="M1715" s="30"/>
      <c r="N1715" s="30" t="str" cm="1">
        <f t="array" ref="N1715">Main_Log_Status(Main_Log[[#This Row],[Carrier]],Main_Log[[#This Row],[Net Weight]])</f>
        <v/>
      </c>
      <c r="O1715" s="30"/>
      <c r="P171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15" s="30"/>
      <c r="R1715" s="30" t="str" cm="1">
        <f t="array" ref="R1715">Main_Log_Ref(Main_Log[[#This Row],[Carrier]])</f>
        <v/>
      </c>
    </row>
    <row r="1716" spans="1:18" ht="29.85" customHeight="1" x14ac:dyDescent="0.45">
      <c r="A1716" s="30">
        <v>31</v>
      </c>
      <c r="B1716" s="30"/>
      <c r="C1716" s="30"/>
      <c r="D1716" s="30"/>
      <c r="E1716" s="30"/>
      <c r="F1716" s="30"/>
      <c r="G1716" s="30"/>
      <c r="H1716" s="30"/>
      <c r="I1716" s="30"/>
      <c r="J1716" s="30"/>
      <c r="K1716" s="30"/>
      <c r="L1716" s="30"/>
      <c r="M1716" s="30"/>
      <c r="N1716" s="30" t="str" cm="1">
        <f t="array" ref="N1716">Main_Log_Status(Main_Log[[#This Row],[Carrier]],Main_Log[[#This Row],[Net Weight]])</f>
        <v/>
      </c>
      <c r="O1716" s="30"/>
      <c r="P171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16" s="30"/>
      <c r="R1716" s="30" t="str" cm="1">
        <f t="array" ref="R1716">Main_Log_Ref(Main_Log[[#This Row],[Carrier]])</f>
        <v/>
      </c>
    </row>
    <row r="1717" spans="1:18" ht="29.85" customHeight="1" x14ac:dyDescent="0.45">
      <c r="A1717" s="30">
        <v>32</v>
      </c>
      <c r="B1717" s="30"/>
      <c r="C1717" s="30"/>
      <c r="D1717" s="30"/>
      <c r="E1717" s="30"/>
      <c r="F1717" s="30"/>
      <c r="G1717" s="30"/>
      <c r="H1717" s="30"/>
      <c r="I1717" s="30"/>
      <c r="J1717" s="30"/>
      <c r="K1717" s="30"/>
      <c r="L1717" s="30"/>
      <c r="M1717" s="30"/>
      <c r="N1717" s="30" t="str" cm="1">
        <f t="array" ref="N1717">Main_Log_Status(Main_Log[[#This Row],[Carrier]],Main_Log[[#This Row],[Net Weight]])</f>
        <v/>
      </c>
      <c r="O1717" s="30"/>
      <c r="P171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17" s="30"/>
      <c r="R1717" s="30" t="str" cm="1">
        <f t="array" ref="R1717">Main_Log_Ref(Main_Log[[#This Row],[Carrier]])</f>
        <v/>
      </c>
    </row>
    <row r="1718" spans="1:18" ht="29.85" customHeight="1" x14ac:dyDescent="0.45">
      <c r="A1718" s="30">
        <v>33</v>
      </c>
      <c r="B1718" s="30"/>
      <c r="C1718" s="30"/>
      <c r="D1718" s="30"/>
      <c r="E1718" s="30"/>
      <c r="F1718" s="30"/>
      <c r="G1718" s="30"/>
      <c r="H1718" s="30"/>
      <c r="I1718" s="30"/>
      <c r="J1718" s="30"/>
      <c r="K1718" s="30"/>
      <c r="L1718" s="30"/>
      <c r="M1718" s="30"/>
      <c r="N1718" s="30" t="str" cm="1">
        <f t="array" ref="N1718">Main_Log_Status(Main_Log[[#This Row],[Carrier]],Main_Log[[#This Row],[Net Weight]])</f>
        <v/>
      </c>
      <c r="O1718" s="30"/>
      <c r="P171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18" s="30"/>
      <c r="R1718" s="30" t="str" cm="1">
        <f t="array" ref="R1718">Main_Log_Ref(Main_Log[[#This Row],[Carrier]])</f>
        <v/>
      </c>
    </row>
    <row r="1719" spans="1:18" ht="29.85" customHeight="1" x14ac:dyDescent="0.45">
      <c r="A1719" s="30">
        <v>34</v>
      </c>
      <c r="B1719" s="30"/>
      <c r="C1719" s="30"/>
      <c r="D1719" s="30"/>
      <c r="E1719" s="30"/>
      <c r="F1719" s="30"/>
      <c r="G1719" s="30"/>
      <c r="H1719" s="30"/>
      <c r="I1719" s="30"/>
      <c r="J1719" s="30"/>
      <c r="K1719" s="30"/>
      <c r="L1719" s="30"/>
      <c r="M1719" s="30"/>
      <c r="N1719" s="30" t="str" cm="1">
        <f t="array" ref="N1719">Main_Log_Status(Main_Log[[#This Row],[Carrier]],Main_Log[[#This Row],[Net Weight]])</f>
        <v/>
      </c>
      <c r="O1719" s="30"/>
      <c r="P171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19" s="30"/>
      <c r="R1719" s="30" t="str" cm="1">
        <f t="array" ref="R1719">Main_Log_Ref(Main_Log[[#This Row],[Carrier]])</f>
        <v/>
      </c>
    </row>
    <row r="1720" spans="1:18" ht="29.85" customHeight="1" x14ac:dyDescent="0.45">
      <c r="A1720" s="30">
        <v>35</v>
      </c>
      <c r="B1720" s="30"/>
      <c r="C1720" s="30"/>
      <c r="D1720" s="30"/>
      <c r="E1720" s="30"/>
      <c r="F1720" s="30"/>
      <c r="G1720" s="30"/>
      <c r="H1720" s="30"/>
      <c r="I1720" s="30"/>
      <c r="J1720" s="30"/>
      <c r="K1720" s="30"/>
      <c r="L1720" s="30"/>
      <c r="M1720" s="30"/>
      <c r="N1720" s="30" t="str" cm="1">
        <f t="array" ref="N1720">Main_Log_Status(Main_Log[[#This Row],[Carrier]],Main_Log[[#This Row],[Net Weight]])</f>
        <v/>
      </c>
      <c r="O1720" s="30"/>
      <c r="P172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20" s="30"/>
      <c r="R1720" s="30" t="str" cm="1">
        <f t="array" ref="R1720">Main_Log_Ref(Main_Log[[#This Row],[Carrier]])</f>
        <v/>
      </c>
    </row>
    <row r="1721" spans="1:18" ht="29.85" customHeight="1" x14ac:dyDescent="0.45">
      <c r="A1721" s="30">
        <v>36</v>
      </c>
      <c r="B1721" s="30"/>
      <c r="C1721" s="30"/>
      <c r="D1721" s="30"/>
      <c r="E1721" s="30"/>
      <c r="F1721" s="30"/>
      <c r="G1721" s="30"/>
      <c r="H1721" s="30"/>
      <c r="I1721" s="30"/>
      <c r="J1721" s="30"/>
      <c r="K1721" s="30"/>
      <c r="L1721" s="30"/>
      <c r="M1721" s="30"/>
      <c r="N1721" s="30" t="str" cm="1">
        <f t="array" ref="N1721">Main_Log_Status(Main_Log[[#This Row],[Carrier]],Main_Log[[#This Row],[Net Weight]])</f>
        <v/>
      </c>
      <c r="O1721" s="30"/>
      <c r="P172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21" s="30"/>
      <c r="R1721" s="30" t="str" cm="1">
        <f t="array" ref="R1721">Main_Log_Ref(Main_Log[[#This Row],[Carrier]])</f>
        <v/>
      </c>
    </row>
    <row r="1722" spans="1:18" ht="29.85" customHeight="1" x14ac:dyDescent="0.45">
      <c r="A1722" s="30">
        <v>37</v>
      </c>
      <c r="B1722" s="30"/>
      <c r="C1722" s="30"/>
      <c r="D1722" s="30"/>
      <c r="E1722" s="30"/>
      <c r="F1722" s="30"/>
      <c r="G1722" s="30"/>
      <c r="H1722" s="30"/>
      <c r="I1722" s="30"/>
      <c r="J1722" s="30"/>
      <c r="K1722" s="30"/>
      <c r="L1722" s="30"/>
      <c r="M1722" s="30"/>
      <c r="N1722" s="30" t="str" cm="1">
        <f t="array" ref="N1722">Main_Log_Status(Main_Log[[#This Row],[Carrier]],Main_Log[[#This Row],[Net Weight]])</f>
        <v/>
      </c>
      <c r="O1722" s="30"/>
      <c r="P172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22" s="30"/>
      <c r="R1722" s="30" t="str" cm="1">
        <f t="array" ref="R1722">Main_Log_Ref(Main_Log[[#This Row],[Carrier]])</f>
        <v/>
      </c>
    </row>
    <row r="1723" spans="1:18" ht="29.85" customHeight="1" x14ac:dyDescent="0.45">
      <c r="A1723" s="30">
        <v>38</v>
      </c>
      <c r="B1723" s="30"/>
      <c r="C1723" s="30"/>
      <c r="D1723" s="30"/>
      <c r="E1723" s="30"/>
      <c r="F1723" s="30"/>
      <c r="G1723" s="30"/>
      <c r="H1723" s="30"/>
      <c r="I1723" s="30"/>
      <c r="J1723" s="30"/>
      <c r="K1723" s="30"/>
      <c r="L1723" s="30"/>
      <c r="M1723" s="30"/>
      <c r="N1723" s="30" t="str" cm="1">
        <f t="array" ref="N1723">Main_Log_Status(Main_Log[[#This Row],[Carrier]],Main_Log[[#This Row],[Net Weight]])</f>
        <v/>
      </c>
      <c r="O1723" s="30"/>
      <c r="P172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23" s="30"/>
      <c r="R1723" s="30" t="str" cm="1">
        <f t="array" ref="R1723">Main_Log_Ref(Main_Log[[#This Row],[Carrier]])</f>
        <v/>
      </c>
    </row>
    <row r="1724" spans="1:18" ht="29.85" customHeight="1" x14ac:dyDescent="0.45">
      <c r="A1724" s="30">
        <v>39</v>
      </c>
      <c r="B1724" s="30"/>
      <c r="C1724" s="30"/>
      <c r="D1724" s="30"/>
      <c r="E1724" s="30"/>
      <c r="F1724" s="30"/>
      <c r="G1724" s="30"/>
      <c r="H1724" s="30"/>
      <c r="I1724" s="30"/>
      <c r="J1724" s="30"/>
      <c r="K1724" s="30"/>
      <c r="L1724" s="30"/>
      <c r="M1724" s="30"/>
      <c r="N1724" s="30" t="str" cm="1">
        <f t="array" ref="N1724">Main_Log_Status(Main_Log[[#This Row],[Carrier]],Main_Log[[#This Row],[Net Weight]])</f>
        <v/>
      </c>
      <c r="O1724" s="30"/>
      <c r="P172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24" s="30"/>
      <c r="R1724" s="30" t="str" cm="1">
        <f t="array" ref="R1724">Main_Log_Ref(Main_Log[[#This Row],[Carrier]])</f>
        <v/>
      </c>
    </row>
    <row r="1725" spans="1:18" ht="29.85" customHeight="1" x14ac:dyDescent="0.45">
      <c r="A1725" s="30">
        <v>40</v>
      </c>
      <c r="B1725" s="30"/>
      <c r="C1725" s="30"/>
      <c r="D1725" s="30"/>
      <c r="E1725" s="30"/>
      <c r="F1725" s="30"/>
      <c r="G1725" s="30"/>
      <c r="H1725" s="30"/>
      <c r="I1725" s="30"/>
      <c r="J1725" s="30"/>
      <c r="K1725" s="30"/>
      <c r="L1725" s="30"/>
      <c r="M1725" s="30"/>
      <c r="N1725" s="30" t="str" cm="1">
        <f t="array" ref="N1725">Main_Log_Status(Main_Log[[#This Row],[Carrier]],Main_Log[[#This Row],[Net Weight]])</f>
        <v/>
      </c>
      <c r="O1725" s="30"/>
      <c r="P172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25" s="30"/>
      <c r="R1725" s="30" t="str" cm="1">
        <f t="array" ref="R1725">Main_Log_Ref(Main_Log[[#This Row],[Carrier]])</f>
        <v/>
      </c>
    </row>
    <row r="1726" spans="1:18" ht="29.85" customHeight="1" x14ac:dyDescent="0.45">
      <c r="A1726" s="30">
        <v>41</v>
      </c>
      <c r="B1726" s="30"/>
      <c r="C1726" s="30"/>
      <c r="D1726" s="30"/>
      <c r="E1726" s="30"/>
      <c r="F1726" s="30"/>
      <c r="G1726" s="30"/>
      <c r="H1726" s="30"/>
      <c r="I1726" s="30"/>
      <c r="J1726" s="30"/>
      <c r="K1726" s="30"/>
      <c r="L1726" s="30"/>
      <c r="M1726" s="30"/>
      <c r="N1726" s="30" t="str" cm="1">
        <f t="array" ref="N1726">Main_Log_Status(Main_Log[[#This Row],[Carrier]],Main_Log[[#This Row],[Net Weight]])</f>
        <v/>
      </c>
      <c r="O1726" s="30"/>
      <c r="P172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26" s="30"/>
      <c r="R1726" s="30" t="str" cm="1">
        <f t="array" ref="R1726">Main_Log_Ref(Main_Log[[#This Row],[Carrier]])</f>
        <v/>
      </c>
    </row>
    <row r="1727" spans="1:18" ht="29.85" customHeight="1" x14ac:dyDescent="0.45">
      <c r="A1727" s="30">
        <v>42</v>
      </c>
      <c r="B1727" s="30"/>
      <c r="C1727" s="30"/>
      <c r="D1727" s="30"/>
      <c r="E1727" s="30"/>
      <c r="F1727" s="30"/>
      <c r="G1727" s="30"/>
      <c r="H1727" s="30"/>
      <c r="I1727" s="30"/>
      <c r="J1727" s="30"/>
      <c r="K1727" s="30"/>
      <c r="L1727" s="30"/>
      <c r="M1727" s="30"/>
      <c r="N1727" s="30" t="str" cm="1">
        <f t="array" ref="N1727">Main_Log_Status(Main_Log[[#This Row],[Carrier]],Main_Log[[#This Row],[Net Weight]])</f>
        <v/>
      </c>
      <c r="O1727" s="30"/>
      <c r="P172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27" s="30"/>
      <c r="R1727" s="30" t="str" cm="1">
        <f t="array" ref="R1727">Main_Log_Ref(Main_Log[[#This Row],[Carrier]])</f>
        <v/>
      </c>
    </row>
    <row r="1728" spans="1:18" ht="29.85" customHeight="1" x14ac:dyDescent="0.45">
      <c r="A1728" s="30">
        <v>43</v>
      </c>
      <c r="B1728" s="30"/>
      <c r="C1728" s="30"/>
      <c r="D1728" s="30"/>
      <c r="E1728" s="30"/>
      <c r="F1728" s="30"/>
      <c r="G1728" s="30"/>
      <c r="H1728" s="30"/>
      <c r="I1728" s="30"/>
      <c r="J1728" s="30"/>
      <c r="K1728" s="30"/>
      <c r="L1728" s="30"/>
      <c r="M1728" s="30"/>
      <c r="N1728" s="30" t="str" cm="1">
        <f t="array" ref="N1728">Main_Log_Status(Main_Log[[#This Row],[Carrier]],Main_Log[[#This Row],[Net Weight]])</f>
        <v/>
      </c>
      <c r="O1728" s="30"/>
      <c r="P172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28" s="30"/>
      <c r="R1728" s="30" t="str" cm="1">
        <f t="array" ref="R1728">Main_Log_Ref(Main_Log[[#This Row],[Carrier]])</f>
        <v/>
      </c>
    </row>
    <row r="1729" spans="1:18" ht="29.85" customHeight="1" x14ac:dyDescent="0.45">
      <c r="A1729" s="30">
        <v>44</v>
      </c>
      <c r="B1729" s="30"/>
      <c r="C1729" s="30"/>
      <c r="D1729" s="30"/>
      <c r="E1729" s="30"/>
      <c r="F1729" s="30"/>
      <c r="G1729" s="30"/>
      <c r="H1729" s="30"/>
      <c r="I1729" s="30"/>
      <c r="J1729" s="30"/>
      <c r="K1729" s="30"/>
      <c r="L1729" s="30"/>
      <c r="M1729" s="30"/>
      <c r="N1729" s="30" t="str" cm="1">
        <f t="array" ref="N1729">Main_Log_Status(Main_Log[[#This Row],[Carrier]],Main_Log[[#This Row],[Net Weight]])</f>
        <v/>
      </c>
      <c r="O1729" s="30"/>
      <c r="P172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29" s="30"/>
      <c r="R1729" s="30" t="str" cm="1">
        <f t="array" ref="R1729">Main_Log_Ref(Main_Log[[#This Row],[Carrier]])</f>
        <v/>
      </c>
    </row>
    <row r="1730" spans="1:18" ht="29.85" customHeight="1" x14ac:dyDescent="0.45">
      <c r="A1730" s="30">
        <v>45</v>
      </c>
      <c r="B1730" s="30"/>
      <c r="C1730" s="30"/>
      <c r="D1730" s="30"/>
      <c r="E1730" s="30"/>
      <c r="F1730" s="30"/>
      <c r="G1730" s="30"/>
      <c r="H1730" s="30"/>
      <c r="I1730" s="30"/>
      <c r="J1730" s="30"/>
      <c r="K1730" s="30"/>
      <c r="L1730" s="30"/>
      <c r="M1730" s="30"/>
      <c r="N1730" s="30" t="str" cm="1">
        <f t="array" ref="N1730">Main_Log_Status(Main_Log[[#This Row],[Carrier]],Main_Log[[#This Row],[Net Weight]])</f>
        <v/>
      </c>
      <c r="O1730" s="30"/>
      <c r="P173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30" s="30"/>
      <c r="R1730" s="30" t="str" cm="1">
        <f t="array" ref="R1730">Main_Log_Ref(Main_Log[[#This Row],[Carrier]])</f>
        <v/>
      </c>
    </row>
    <row r="1731" spans="1:18" ht="29.85" customHeight="1" x14ac:dyDescent="0.45">
      <c r="A1731" s="30">
        <v>46</v>
      </c>
      <c r="B1731" s="30"/>
      <c r="C1731" s="30"/>
      <c r="D1731" s="30"/>
      <c r="E1731" s="30"/>
      <c r="F1731" s="30"/>
      <c r="G1731" s="30"/>
      <c r="H1731" s="30"/>
      <c r="I1731" s="30"/>
      <c r="J1731" s="30"/>
      <c r="K1731" s="30"/>
      <c r="L1731" s="30"/>
      <c r="M1731" s="30"/>
      <c r="N1731" s="30" t="str" cm="1">
        <f t="array" ref="N1731">Main_Log_Status(Main_Log[[#This Row],[Carrier]],Main_Log[[#This Row],[Net Weight]])</f>
        <v/>
      </c>
      <c r="O1731" s="30"/>
      <c r="P173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31" s="30"/>
      <c r="R1731" s="30" t="str" cm="1">
        <f t="array" ref="R1731">Main_Log_Ref(Main_Log[[#This Row],[Carrier]])</f>
        <v/>
      </c>
    </row>
    <row r="1732" spans="1:18" ht="29.85" customHeight="1" x14ac:dyDescent="0.45">
      <c r="A1732" s="30">
        <v>47</v>
      </c>
      <c r="B1732" s="30"/>
      <c r="C1732" s="30"/>
      <c r="D1732" s="30"/>
      <c r="E1732" s="30"/>
      <c r="F1732" s="30"/>
      <c r="G1732" s="30"/>
      <c r="H1732" s="30"/>
      <c r="I1732" s="30"/>
      <c r="J1732" s="30"/>
      <c r="K1732" s="30"/>
      <c r="L1732" s="30"/>
      <c r="M1732" s="30"/>
      <c r="N1732" s="30" t="str" cm="1">
        <f t="array" ref="N1732">Main_Log_Status(Main_Log[[#This Row],[Carrier]],Main_Log[[#This Row],[Net Weight]])</f>
        <v/>
      </c>
      <c r="O1732" s="30"/>
      <c r="P173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32" s="30"/>
      <c r="R1732" s="30" t="str" cm="1">
        <f t="array" ref="R1732">Main_Log_Ref(Main_Log[[#This Row],[Carrier]])</f>
        <v/>
      </c>
    </row>
    <row r="1733" spans="1:18" ht="29.85" customHeight="1" x14ac:dyDescent="0.45">
      <c r="A1733" s="30">
        <v>48</v>
      </c>
      <c r="B1733" s="30"/>
      <c r="C1733" s="30"/>
      <c r="D1733" s="30"/>
      <c r="E1733" s="30"/>
      <c r="F1733" s="30"/>
      <c r="G1733" s="30"/>
      <c r="H1733" s="30"/>
      <c r="I1733" s="30"/>
      <c r="J1733" s="30"/>
      <c r="K1733" s="30"/>
      <c r="L1733" s="30"/>
      <c r="M1733" s="30"/>
      <c r="N1733" s="30" t="str" cm="1">
        <f t="array" ref="N1733">Main_Log_Status(Main_Log[[#This Row],[Carrier]],Main_Log[[#This Row],[Net Weight]])</f>
        <v/>
      </c>
      <c r="O1733" s="30"/>
      <c r="P173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33" s="30"/>
      <c r="R1733" s="30" t="str" cm="1">
        <f t="array" ref="R1733">Main_Log_Ref(Main_Log[[#This Row],[Carrier]])</f>
        <v/>
      </c>
    </row>
    <row r="1734" spans="1:18" ht="29.85" customHeight="1" x14ac:dyDescent="0.45">
      <c r="A1734" s="30">
        <v>49</v>
      </c>
      <c r="B1734" s="30"/>
      <c r="C1734" s="30"/>
      <c r="D1734" s="30"/>
      <c r="E1734" s="30"/>
      <c r="F1734" s="30"/>
      <c r="G1734" s="30"/>
      <c r="H1734" s="30"/>
      <c r="I1734" s="30"/>
      <c r="J1734" s="30"/>
      <c r="K1734" s="30"/>
      <c r="L1734" s="30"/>
      <c r="M1734" s="30"/>
      <c r="N1734" s="30" t="str" cm="1">
        <f t="array" ref="N1734">Main_Log_Status(Main_Log[[#This Row],[Carrier]],Main_Log[[#This Row],[Net Weight]])</f>
        <v/>
      </c>
      <c r="O1734" s="30"/>
      <c r="P173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34" s="30"/>
      <c r="R1734" s="30" t="str" cm="1">
        <f t="array" ref="R1734">Main_Log_Ref(Main_Log[[#This Row],[Carrier]])</f>
        <v/>
      </c>
    </row>
    <row r="1735" spans="1:18" ht="29.85" customHeight="1" x14ac:dyDescent="0.45">
      <c r="A1735" s="30">
        <v>50</v>
      </c>
      <c r="B1735" s="30"/>
      <c r="C1735" s="30"/>
      <c r="D1735" s="30"/>
      <c r="E1735" s="30"/>
      <c r="F1735" s="30"/>
      <c r="G1735" s="30"/>
      <c r="H1735" s="30"/>
      <c r="I1735" s="30"/>
      <c r="J1735" s="30"/>
      <c r="K1735" s="30"/>
      <c r="L1735" s="30"/>
      <c r="M1735" s="30"/>
      <c r="N1735" s="30" t="str" cm="1">
        <f t="array" ref="N1735">Main_Log_Status(Main_Log[[#This Row],[Carrier]],Main_Log[[#This Row],[Net Weight]])</f>
        <v/>
      </c>
      <c r="O1735" s="30"/>
      <c r="P173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35" s="30"/>
      <c r="R1735" s="30" t="str" cm="1">
        <f t="array" ref="R1735">Main_Log_Ref(Main_Log[[#This Row],[Carrier]])</f>
        <v/>
      </c>
    </row>
    <row r="1736" spans="1:18" ht="29.85" customHeight="1" x14ac:dyDescent="0.45">
      <c r="A1736" s="30">
        <v>51</v>
      </c>
      <c r="B1736" s="30"/>
      <c r="C1736" s="30"/>
      <c r="D1736" s="30"/>
      <c r="E1736" s="30"/>
      <c r="F1736" s="30"/>
      <c r="G1736" s="30"/>
      <c r="H1736" s="30"/>
      <c r="I1736" s="30"/>
      <c r="J1736" s="30"/>
      <c r="K1736" s="30"/>
      <c r="L1736" s="30"/>
      <c r="M1736" s="30"/>
      <c r="N1736" s="30" t="str" cm="1">
        <f t="array" ref="N1736">Main_Log_Status(Main_Log[[#This Row],[Carrier]],Main_Log[[#This Row],[Net Weight]])</f>
        <v/>
      </c>
      <c r="O1736" s="30"/>
      <c r="P173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36" s="30"/>
      <c r="R1736" s="30" t="str" cm="1">
        <f t="array" ref="R1736">Main_Log_Ref(Main_Log[[#This Row],[Carrier]])</f>
        <v/>
      </c>
    </row>
    <row r="1737" spans="1:18" ht="29.85" customHeight="1" x14ac:dyDescent="0.45">
      <c r="A1737" s="30">
        <v>52</v>
      </c>
      <c r="B1737" s="30"/>
      <c r="C1737" s="30"/>
      <c r="D1737" s="30"/>
      <c r="E1737" s="30"/>
      <c r="F1737" s="30"/>
      <c r="G1737" s="30"/>
      <c r="H1737" s="30"/>
      <c r="I1737" s="30"/>
      <c r="J1737" s="30"/>
      <c r="K1737" s="30"/>
      <c r="L1737" s="30"/>
      <c r="M1737" s="30"/>
      <c r="N1737" s="30" t="str" cm="1">
        <f t="array" ref="N1737">Main_Log_Status(Main_Log[[#This Row],[Carrier]],Main_Log[[#This Row],[Net Weight]])</f>
        <v/>
      </c>
      <c r="O1737" s="30"/>
      <c r="P173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37" s="30"/>
      <c r="R1737" s="30" t="str" cm="1">
        <f t="array" ref="R1737">Main_Log_Ref(Main_Log[[#This Row],[Carrier]])</f>
        <v/>
      </c>
    </row>
    <row r="1738" spans="1:18" ht="29.85" customHeight="1" x14ac:dyDescent="0.45">
      <c r="A1738" s="30">
        <v>53</v>
      </c>
      <c r="B1738" s="30"/>
      <c r="C1738" s="30"/>
      <c r="D1738" s="30"/>
      <c r="E1738" s="30"/>
      <c r="F1738" s="30"/>
      <c r="G1738" s="30"/>
      <c r="H1738" s="30"/>
      <c r="I1738" s="30"/>
      <c r="J1738" s="30"/>
      <c r="K1738" s="30"/>
      <c r="L1738" s="30"/>
      <c r="M1738" s="30"/>
      <c r="N1738" s="30" t="str" cm="1">
        <f t="array" ref="N1738">Main_Log_Status(Main_Log[[#This Row],[Carrier]],Main_Log[[#This Row],[Net Weight]])</f>
        <v/>
      </c>
      <c r="O1738" s="30"/>
      <c r="P173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38" s="30"/>
      <c r="R1738" s="30" t="str" cm="1">
        <f t="array" ref="R1738">Main_Log_Ref(Main_Log[[#This Row],[Carrier]])</f>
        <v/>
      </c>
    </row>
    <row r="1739" spans="1:18" ht="29.85" customHeight="1" x14ac:dyDescent="0.45">
      <c r="A1739" s="30">
        <v>54</v>
      </c>
      <c r="B1739" s="30"/>
      <c r="C1739" s="30"/>
      <c r="D1739" s="30"/>
      <c r="E1739" s="30"/>
      <c r="F1739" s="30"/>
      <c r="G1739" s="30"/>
      <c r="H1739" s="30"/>
      <c r="I1739" s="30"/>
      <c r="J1739" s="30"/>
      <c r="K1739" s="30"/>
      <c r="L1739" s="30"/>
      <c r="M1739" s="30"/>
      <c r="N1739" s="30" t="str" cm="1">
        <f t="array" ref="N1739">Main_Log_Status(Main_Log[[#This Row],[Carrier]],Main_Log[[#This Row],[Net Weight]])</f>
        <v/>
      </c>
      <c r="O1739" s="30"/>
      <c r="P173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39" s="30"/>
      <c r="R1739" s="30" t="str" cm="1">
        <f t="array" ref="R1739">Main_Log_Ref(Main_Log[[#This Row],[Carrier]])</f>
        <v/>
      </c>
    </row>
    <row r="1740" spans="1:18" ht="29.85" customHeight="1" x14ac:dyDescent="0.45">
      <c r="A1740" s="30">
        <v>55</v>
      </c>
      <c r="B1740" s="30"/>
      <c r="C1740" s="30"/>
      <c r="D1740" s="30"/>
      <c r="E1740" s="30"/>
      <c r="F1740" s="30"/>
      <c r="G1740" s="30"/>
      <c r="H1740" s="30"/>
      <c r="I1740" s="30"/>
      <c r="J1740" s="30"/>
      <c r="K1740" s="30"/>
      <c r="L1740" s="30"/>
      <c r="M1740" s="30"/>
      <c r="N1740" s="30" t="str" cm="1">
        <f t="array" ref="N1740">Main_Log_Status(Main_Log[[#This Row],[Carrier]],Main_Log[[#This Row],[Net Weight]])</f>
        <v/>
      </c>
      <c r="O1740" s="30"/>
      <c r="P174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40" s="30"/>
      <c r="R1740" s="30" t="str" cm="1">
        <f t="array" ref="R1740">Main_Log_Ref(Main_Log[[#This Row],[Carrier]])</f>
        <v/>
      </c>
    </row>
    <row r="1741" spans="1:18" ht="29.85" customHeight="1" x14ac:dyDescent="0.45">
      <c r="A1741" s="30">
        <v>56</v>
      </c>
      <c r="B1741" s="30"/>
      <c r="C1741" s="30"/>
      <c r="D1741" s="30"/>
      <c r="E1741" s="30"/>
      <c r="F1741" s="30"/>
      <c r="G1741" s="30"/>
      <c r="H1741" s="30"/>
      <c r="I1741" s="30"/>
      <c r="J1741" s="30"/>
      <c r="K1741" s="30"/>
      <c r="L1741" s="30"/>
      <c r="M1741" s="30"/>
      <c r="N1741" s="30" t="str" cm="1">
        <f t="array" ref="N1741">Main_Log_Status(Main_Log[[#This Row],[Carrier]],Main_Log[[#This Row],[Net Weight]])</f>
        <v/>
      </c>
      <c r="O1741" s="30"/>
      <c r="P174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41" s="30"/>
      <c r="R1741" s="30" t="str" cm="1">
        <f t="array" ref="R1741">Main_Log_Ref(Main_Log[[#This Row],[Carrier]])</f>
        <v/>
      </c>
    </row>
    <row r="1742" spans="1:18" ht="29.85" customHeight="1" x14ac:dyDescent="0.45">
      <c r="A1742" s="30">
        <v>57</v>
      </c>
      <c r="B1742" s="30"/>
      <c r="C1742" s="30"/>
      <c r="D1742" s="30"/>
      <c r="E1742" s="30"/>
      <c r="F1742" s="30"/>
      <c r="G1742" s="30"/>
      <c r="H1742" s="30"/>
      <c r="I1742" s="30"/>
      <c r="J1742" s="30"/>
      <c r="K1742" s="30"/>
      <c r="L1742" s="30"/>
      <c r="M1742" s="30"/>
      <c r="N1742" s="30" t="str" cm="1">
        <f t="array" ref="N1742">Main_Log_Status(Main_Log[[#This Row],[Carrier]],Main_Log[[#This Row],[Net Weight]])</f>
        <v/>
      </c>
      <c r="O1742" s="30"/>
      <c r="P174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42" s="30"/>
      <c r="R1742" s="30" t="str" cm="1">
        <f t="array" ref="R1742">Main_Log_Ref(Main_Log[[#This Row],[Carrier]])</f>
        <v/>
      </c>
    </row>
    <row r="1743" spans="1:18" ht="29.85" customHeight="1" x14ac:dyDescent="0.45">
      <c r="A1743" s="30">
        <v>58</v>
      </c>
      <c r="B1743" s="30"/>
      <c r="C1743" s="30"/>
      <c r="D1743" s="30"/>
      <c r="E1743" s="30"/>
      <c r="F1743" s="30"/>
      <c r="G1743" s="30"/>
      <c r="H1743" s="30"/>
      <c r="I1743" s="30"/>
      <c r="J1743" s="30"/>
      <c r="K1743" s="30"/>
      <c r="L1743" s="30"/>
      <c r="M1743" s="30"/>
      <c r="N1743" s="30" t="str" cm="1">
        <f t="array" ref="N1743">Main_Log_Status(Main_Log[[#This Row],[Carrier]],Main_Log[[#This Row],[Net Weight]])</f>
        <v/>
      </c>
      <c r="O1743" s="30"/>
      <c r="P174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43" s="30"/>
      <c r="R1743" s="30" t="str" cm="1">
        <f t="array" ref="R1743">Main_Log_Ref(Main_Log[[#This Row],[Carrier]])</f>
        <v/>
      </c>
    </row>
    <row r="1744" spans="1:18" ht="29.85" customHeight="1" x14ac:dyDescent="0.45">
      <c r="A1744" s="30">
        <v>59</v>
      </c>
      <c r="B1744" s="30"/>
      <c r="C1744" s="30"/>
      <c r="D1744" s="30"/>
      <c r="E1744" s="30"/>
      <c r="F1744" s="30"/>
      <c r="G1744" s="30"/>
      <c r="H1744" s="30"/>
      <c r="I1744" s="30"/>
      <c r="J1744" s="30"/>
      <c r="K1744" s="30"/>
      <c r="L1744" s="30"/>
      <c r="M1744" s="30"/>
      <c r="N1744" s="30" t="str" cm="1">
        <f t="array" ref="N1744">Main_Log_Status(Main_Log[[#This Row],[Carrier]],Main_Log[[#This Row],[Net Weight]])</f>
        <v/>
      </c>
      <c r="O1744" s="30"/>
      <c r="P174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44" s="30"/>
      <c r="R1744" s="30" t="str" cm="1">
        <f t="array" ref="R1744">Main_Log_Ref(Main_Log[[#This Row],[Carrier]])</f>
        <v/>
      </c>
    </row>
    <row r="1745" spans="1:18" ht="29.85" customHeight="1" x14ac:dyDescent="0.45">
      <c r="A1745" s="30">
        <v>60</v>
      </c>
      <c r="B1745" s="30"/>
      <c r="C1745" s="30"/>
      <c r="D1745" s="30"/>
      <c r="E1745" s="30"/>
      <c r="F1745" s="30"/>
      <c r="G1745" s="30"/>
      <c r="H1745" s="30"/>
      <c r="I1745" s="30"/>
      <c r="J1745" s="30"/>
      <c r="K1745" s="30"/>
      <c r="L1745" s="30"/>
      <c r="M1745" s="30"/>
      <c r="N1745" s="30" t="str" cm="1">
        <f t="array" ref="N1745">Main_Log_Status(Main_Log[[#This Row],[Carrier]],Main_Log[[#This Row],[Net Weight]])</f>
        <v/>
      </c>
      <c r="O1745" s="30"/>
      <c r="P174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45" s="30"/>
      <c r="R1745" s="30" t="str" cm="1">
        <f t="array" ref="R1745">Main_Log_Ref(Main_Log[[#This Row],[Carrier]])</f>
        <v/>
      </c>
    </row>
    <row r="1746" spans="1:18" ht="29.85" customHeight="1" x14ac:dyDescent="0.45">
      <c r="A1746" s="30">
        <v>61</v>
      </c>
      <c r="B1746" s="30"/>
      <c r="C1746" s="30"/>
      <c r="D1746" s="30"/>
      <c r="E1746" s="30"/>
      <c r="F1746" s="30"/>
      <c r="G1746" s="30"/>
      <c r="H1746" s="30"/>
      <c r="I1746" s="30"/>
      <c r="J1746" s="30"/>
      <c r="K1746" s="30"/>
      <c r="L1746" s="30"/>
      <c r="M1746" s="30"/>
      <c r="N1746" s="30" t="str" cm="1">
        <f t="array" ref="N1746">Main_Log_Status(Main_Log[[#This Row],[Carrier]],Main_Log[[#This Row],[Net Weight]])</f>
        <v/>
      </c>
      <c r="O1746" s="30"/>
      <c r="P174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46" s="30"/>
      <c r="R1746" s="30" t="str" cm="1">
        <f t="array" ref="R1746">Main_Log_Ref(Main_Log[[#This Row],[Carrier]])</f>
        <v/>
      </c>
    </row>
    <row r="1747" spans="1:18" ht="29.85" customHeight="1" x14ac:dyDescent="0.45">
      <c r="A1747" s="30">
        <v>62</v>
      </c>
      <c r="B1747" s="30"/>
      <c r="C1747" s="30"/>
      <c r="D1747" s="30"/>
      <c r="E1747" s="30"/>
      <c r="F1747" s="30"/>
      <c r="G1747" s="30"/>
      <c r="H1747" s="30"/>
      <c r="I1747" s="30"/>
      <c r="J1747" s="30"/>
      <c r="K1747" s="30"/>
      <c r="L1747" s="30"/>
      <c r="M1747" s="30"/>
      <c r="N1747" s="30" t="str" cm="1">
        <f t="array" ref="N1747">Main_Log_Status(Main_Log[[#This Row],[Carrier]],Main_Log[[#This Row],[Net Weight]])</f>
        <v/>
      </c>
      <c r="O1747" s="30"/>
      <c r="P174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47" s="30"/>
      <c r="R1747" s="30" t="str" cm="1">
        <f t="array" ref="R1747">Main_Log_Ref(Main_Log[[#This Row],[Carrier]])</f>
        <v/>
      </c>
    </row>
    <row r="1748" spans="1:18" ht="29.85" customHeight="1" x14ac:dyDescent="0.45">
      <c r="A1748" s="30">
        <v>63</v>
      </c>
      <c r="B1748" s="30"/>
      <c r="C1748" s="30"/>
      <c r="D1748" s="30"/>
      <c r="E1748" s="30"/>
      <c r="F1748" s="30"/>
      <c r="G1748" s="30"/>
      <c r="H1748" s="30"/>
      <c r="I1748" s="30"/>
      <c r="J1748" s="30"/>
      <c r="K1748" s="30"/>
      <c r="L1748" s="30"/>
      <c r="M1748" s="30"/>
      <c r="N1748" s="30" t="str" cm="1">
        <f t="array" ref="N1748">Main_Log_Status(Main_Log[[#This Row],[Carrier]],Main_Log[[#This Row],[Net Weight]])</f>
        <v/>
      </c>
      <c r="O1748" s="30"/>
      <c r="P174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48" s="30"/>
      <c r="R1748" s="30" t="str" cm="1">
        <f t="array" ref="R1748">Main_Log_Ref(Main_Log[[#This Row],[Carrier]])</f>
        <v/>
      </c>
    </row>
    <row r="1749" spans="1:18" ht="29.85" customHeight="1" x14ac:dyDescent="0.45">
      <c r="A1749" s="30">
        <v>64</v>
      </c>
      <c r="B1749" s="30"/>
      <c r="C1749" s="30"/>
      <c r="D1749" s="30"/>
      <c r="E1749" s="30"/>
      <c r="F1749" s="30"/>
      <c r="G1749" s="30"/>
      <c r="H1749" s="30"/>
      <c r="I1749" s="30"/>
      <c r="J1749" s="30"/>
      <c r="K1749" s="30"/>
      <c r="L1749" s="30"/>
      <c r="M1749" s="30"/>
      <c r="N1749" s="30" t="str" cm="1">
        <f t="array" ref="N1749">Main_Log_Status(Main_Log[[#This Row],[Carrier]],Main_Log[[#This Row],[Net Weight]])</f>
        <v/>
      </c>
      <c r="O1749" s="30"/>
      <c r="P174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49" s="30"/>
      <c r="R1749" s="30" t="str" cm="1">
        <f t="array" ref="R1749">Main_Log_Ref(Main_Log[[#This Row],[Carrier]])</f>
        <v/>
      </c>
    </row>
    <row r="1750" spans="1:18" ht="29.85" customHeight="1" x14ac:dyDescent="0.45">
      <c r="A1750" s="30">
        <v>65</v>
      </c>
      <c r="B1750" s="30"/>
      <c r="C1750" s="30"/>
      <c r="D1750" s="30"/>
      <c r="E1750" s="30"/>
      <c r="F1750" s="30"/>
      <c r="G1750" s="30"/>
      <c r="H1750" s="30"/>
      <c r="I1750" s="30"/>
      <c r="J1750" s="30"/>
      <c r="K1750" s="30"/>
      <c r="L1750" s="30"/>
      <c r="M1750" s="30"/>
      <c r="N1750" s="30" t="str" cm="1">
        <f t="array" ref="N1750">Main_Log_Status(Main_Log[[#This Row],[Carrier]],Main_Log[[#This Row],[Net Weight]])</f>
        <v/>
      </c>
      <c r="O1750" s="30"/>
      <c r="P175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50" s="30"/>
      <c r="R1750" s="30" t="str" cm="1">
        <f t="array" ref="R1750">Main_Log_Ref(Main_Log[[#This Row],[Carrier]])</f>
        <v/>
      </c>
    </row>
    <row r="1751" spans="1:18" ht="29.85" customHeight="1" x14ac:dyDescent="0.45">
      <c r="A1751" s="30">
        <v>66</v>
      </c>
      <c r="B1751" s="30"/>
      <c r="C1751" s="30"/>
      <c r="D1751" s="30"/>
      <c r="E1751" s="30"/>
      <c r="F1751" s="30"/>
      <c r="G1751" s="30"/>
      <c r="H1751" s="30"/>
      <c r="I1751" s="30"/>
      <c r="J1751" s="30"/>
      <c r="K1751" s="30"/>
      <c r="L1751" s="30"/>
      <c r="M1751" s="30"/>
      <c r="N1751" s="30" t="str" cm="1">
        <f t="array" ref="N1751">Main_Log_Status(Main_Log[[#This Row],[Carrier]],Main_Log[[#This Row],[Net Weight]])</f>
        <v/>
      </c>
      <c r="O1751" s="30"/>
      <c r="P175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51" s="30"/>
      <c r="R1751" s="30" t="str" cm="1">
        <f t="array" ref="R1751">Main_Log_Ref(Main_Log[[#This Row],[Carrier]])</f>
        <v/>
      </c>
    </row>
    <row r="1752" spans="1:18" ht="29.85" customHeight="1" x14ac:dyDescent="0.45">
      <c r="A1752" s="30">
        <v>67</v>
      </c>
      <c r="B1752" s="30"/>
      <c r="C1752" s="30"/>
      <c r="D1752" s="30"/>
      <c r="E1752" s="30"/>
      <c r="F1752" s="30"/>
      <c r="G1752" s="30"/>
      <c r="H1752" s="30"/>
      <c r="I1752" s="30"/>
      <c r="J1752" s="30"/>
      <c r="K1752" s="30"/>
      <c r="L1752" s="30"/>
      <c r="M1752" s="30"/>
      <c r="N1752" s="30" t="str" cm="1">
        <f t="array" ref="N1752">Main_Log_Status(Main_Log[[#This Row],[Carrier]],Main_Log[[#This Row],[Net Weight]])</f>
        <v/>
      </c>
      <c r="O1752" s="30"/>
      <c r="P175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52" s="30"/>
      <c r="R1752" s="30" t="str" cm="1">
        <f t="array" ref="R1752">Main_Log_Ref(Main_Log[[#This Row],[Carrier]])</f>
        <v/>
      </c>
    </row>
    <row r="1753" spans="1:18" ht="29.85" customHeight="1" x14ac:dyDescent="0.45">
      <c r="A1753" s="30">
        <v>68</v>
      </c>
      <c r="B1753" s="30"/>
      <c r="C1753" s="30"/>
      <c r="D1753" s="30"/>
      <c r="E1753" s="30"/>
      <c r="F1753" s="30"/>
      <c r="G1753" s="30"/>
      <c r="H1753" s="30"/>
      <c r="I1753" s="30"/>
      <c r="J1753" s="30"/>
      <c r="K1753" s="30"/>
      <c r="L1753" s="30"/>
      <c r="M1753" s="30"/>
      <c r="N1753" s="30" t="str" cm="1">
        <f t="array" ref="N1753">Main_Log_Status(Main_Log[[#This Row],[Carrier]],Main_Log[[#This Row],[Net Weight]])</f>
        <v/>
      </c>
      <c r="O1753" s="30"/>
      <c r="P175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53" s="30"/>
      <c r="R1753" s="30" t="str" cm="1">
        <f t="array" ref="R1753">Main_Log_Ref(Main_Log[[#This Row],[Carrier]])</f>
        <v/>
      </c>
    </row>
    <row r="1754" spans="1:18" ht="29.85" customHeight="1" x14ac:dyDescent="0.45">
      <c r="A1754" s="30">
        <v>69</v>
      </c>
      <c r="B1754" s="30"/>
      <c r="C1754" s="30"/>
      <c r="D1754" s="30"/>
      <c r="E1754" s="30"/>
      <c r="F1754" s="30"/>
      <c r="G1754" s="30"/>
      <c r="H1754" s="30"/>
      <c r="I1754" s="30"/>
      <c r="J1754" s="30"/>
      <c r="K1754" s="30"/>
      <c r="L1754" s="30"/>
      <c r="M1754" s="30"/>
      <c r="N1754" s="30" t="str" cm="1">
        <f t="array" ref="N1754">Main_Log_Status(Main_Log[[#This Row],[Carrier]],Main_Log[[#This Row],[Net Weight]])</f>
        <v/>
      </c>
      <c r="O1754" s="30"/>
      <c r="P175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54" s="30"/>
      <c r="R1754" s="30" t="str" cm="1">
        <f t="array" ref="R1754">Main_Log_Ref(Main_Log[[#This Row],[Carrier]])</f>
        <v/>
      </c>
    </row>
    <row r="1755" spans="1:18" ht="29.85" customHeight="1" x14ac:dyDescent="0.45">
      <c r="A1755" s="30">
        <v>70</v>
      </c>
      <c r="B1755" s="30"/>
      <c r="C1755" s="30"/>
      <c r="D1755" s="30"/>
      <c r="E1755" s="30"/>
      <c r="F1755" s="30"/>
      <c r="G1755" s="30"/>
      <c r="H1755" s="30"/>
      <c r="I1755" s="30"/>
      <c r="J1755" s="30"/>
      <c r="K1755" s="30"/>
      <c r="L1755" s="30"/>
      <c r="M1755" s="30"/>
      <c r="N1755" s="30" t="str" cm="1">
        <f t="array" ref="N1755">Main_Log_Status(Main_Log[[#This Row],[Carrier]],Main_Log[[#This Row],[Net Weight]])</f>
        <v/>
      </c>
      <c r="O1755" s="30"/>
      <c r="P175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55" s="30"/>
      <c r="R1755" s="30" t="str" cm="1">
        <f t="array" ref="R1755">Main_Log_Ref(Main_Log[[#This Row],[Carrier]])</f>
        <v/>
      </c>
    </row>
    <row r="1756" spans="1:18" ht="29.85" customHeight="1" x14ac:dyDescent="0.45">
      <c r="A1756" s="30">
        <v>71</v>
      </c>
      <c r="B1756" s="30"/>
      <c r="C1756" s="30"/>
      <c r="D1756" s="30"/>
      <c r="E1756" s="30"/>
      <c r="F1756" s="30"/>
      <c r="G1756" s="30"/>
      <c r="H1756" s="30"/>
      <c r="I1756" s="30"/>
      <c r="J1756" s="30"/>
      <c r="K1756" s="30"/>
      <c r="L1756" s="30"/>
      <c r="M1756" s="30"/>
      <c r="N1756" s="30" t="str" cm="1">
        <f t="array" ref="N1756">Main_Log_Status(Main_Log[[#This Row],[Carrier]],Main_Log[[#This Row],[Net Weight]])</f>
        <v/>
      </c>
      <c r="O1756" s="30"/>
      <c r="P175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56" s="30"/>
      <c r="R1756" s="30" t="str" cm="1">
        <f t="array" ref="R1756">Main_Log_Ref(Main_Log[[#This Row],[Carrier]])</f>
        <v/>
      </c>
    </row>
    <row r="1757" spans="1:18" ht="29.85" customHeight="1" x14ac:dyDescent="0.45">
      <c r="A1757" s="30">
        <v>72</v>
      </c>
      <c r="B1757" s="30"/>
      <c r="C1757" s="30"/>
      <c r="D1757" s="30"/>
      <c r="E1757" s="30"/>
      <c r="F1757" s="30"/>
      <c r="G1757" s="30"/>
      <c r="H1757" s="30"/>
      <c r="I1757" s="30"/>
      <c r="J1757" s="30"/>
      <c r="K1757" s="30"/>
      <c r="L1757" s="30"/>
      <c r="M1757" s="30"/>
      <c r="N1757" s="30" t="str" cm="1">
        <f t="array" ref="N1757">Main_Log_Status(Main_Log[[#This Row],[Carrier]],Main_Log[[#This Row],[Net Weight]])</f>
        <v/>
      </c>
      <c r="O1757" s="30"/>
      <c r="P175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57" s="30"/>
      <c r="R1757" s="30" t="str" cm="1">
        <f t="array" ref="R1757">Main_Log_Ref(Main_Log[[#This Row],[Carrier]])</f>
        <v/>
      </c>
    </row>
    <row r="1758" spans="1:18" ht="29.85" customHeight="1" x14ac:dyDescent="0.45">
      <c r="A1758" s="30">
        <v>73</v>
      </c>
      <c r="B1758" s="30"/>
      <c r="C1758" s="30"/>
      <c r="D1758" s="30"/>
      <c r="E1758" s="30"/>
      <c r="F1758" s="30"/>
      <c r="G1758" s="30"/>
      <c r="H1758" s="30"/>
      <c r="I1758" s="30"/>
      <c r="J1758" s="30"/>
      <c r="K1758" s="30"/>
      <c r="L1758" s="30"/>
      <c r="M1758" s="30"/>
      <c r="N1758" s="30" t="str" cm="1">
        <f t="array" ref="N1758">Main_Log_Status(Main_Log[[#This Row],[Carrier]],Main_Log[[#This Row],[Net Weight]])</f>
        <v/>
      </c>
      <c r="O1758" s="30"/>
      <c r="P175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58" s="30"/>
      <c r="R1758" s="30" t="str" cm="1">
        <f t="array" ref="R1758">Main_Log_Ref(Main_Log[[#This Row],[Carrier]])</f>
        <v/>
      </c>
    </row>
    <row r="1759" spans="1:18" ht="29.85" customHeight="1" x14ac:dyDescent="0.45">
      <c r="A1759" s="30">
        <v>74</v>
      </c>
      <c r="B1759" s="30"/>
      <c r="C1759" s="30"/>
      <c r="D1759" s="30"/>
      <c r="E1759" s="30"/>
      <c r="F1759" s="30"/>
      <c r="G1759" s="30"/>
      <c r="H1759" s="30"/>
      <c r="I1759" s="30"/>
      <c r="J1759" s="30"/>
      <c r="K1759" s="30"/>
      <c r="L1759" s="30"/>
      <c r="M1759" s="30"/>
      <c r="N1759" s="30" t="str" cm="1">
        <f t="array" ref="N1759">Main_Log_Status(Main_Log[[#This Row],[Carrier]],Main_Log[[#This Row],[Net Weight]])</f>
        <v/>
      </c>
      <c r="O1759" s="30"/>
      <c r="P175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59" s="30"/>
      <c r="R1759" s="30" t="str" cm="1">
        <f t="array" ref="R1759">Main_Log_Ref(Main_Log[[#This Row],[Carrier]])</f>
        <v/>
      </c>
    </row>
    <row r="1760" spans="1:18" ht="29.85" customHeight="1" x14ac:dyDescent="0.45">
      <c r="A1760" s="30">
        <v>75</v>
      </c>
      <c r="B1760" s="30"/>
      <c r="C1760" s="30"/>
      <c r="D1760" s="30"/>
      <c r="E1760" s="30"/>
      <c r="F1760" s="30"/>
      <c r="G1760" s="30"/>
      <c r="H1760" s="30"/>
      <c r="I1760" s="30"/>
      <c r="J1760" s="30"/>
      <c r="K1760" s="30"/>
      <c r="L1760" s="30"/>
      <c r="M1760" s="30"/>
      <c r="N1760" s="30" t="str" cm="1">
        <f t="array" ref="N1760">Main_Log_Status(Main_Log[[#This Row],[Carrier]],Main_Log[[#This Row],[Net Weight]])</f>
        <v/>
      </c>
      <c r="O1760" s="30"/>
      <c r="P176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60" s="30"/>
      <c r="R1760" s="30" t="str" cm="1">
        <f t="array" ref="R1760">Main_Log_Ref(Main_Log[[#This Row],[Carrier]])</f>
        <v/>
      </c>
    </row>
    <row r="1761" spans="1:18" ht="29.85" customHeight="1" x14ac:dyDescent="0.45">
      <c r="A1761" s="30">
        <v>76</v>
      </c>
      <c r="B1761" s="30"/>
      <c r="C1761" s="30"/>
      <c r="D1761" s="30"/>
      <c r="E1761" s="30"/>
      <c r="F1761" s="30"/>
      <c r="G1761" s="30"/>
      <c r="H1761" s="30"/>
      <c r="I1761" s="30"/>
      <c r="J1761" s="30"/>
      <c r="K1761" s="30"/>
      <c r="L1761" s="30"/>
      <c r="M1761" s="30"/>
      <c r="N1761" s="30" t="str" cm="1">
        <f t="array" ref="N1761">Main_Log_Status(Main_Log[[#This Row],[Carrier]],Main_Log[[#This Row],[Net Weight]])</f>
        <v/>
      </c>
      <c r="O1761" s="30"/>
      <c r="P176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61" s="30"/>
      <c r="R1761" s="30" t="str" cm="1">
        <f t="array" ref="R1761">Main_Log_Ref(Main_Log[[#This Row],[Carrier]])</f>
        <v/>
      </c>
    </row>
    <row r="1762" spans="1:18" ht="29.85" customHeight="1" x14ac:dyDescent="0.45">
      <c r="A1762" s="30">
        <v>77</v>
      </c>
      <c r="B1762" s="30"/>
      <c r="C1762" s="30"/>
      <c r="D1762" s="30"/>
      <c r="E1762" s="30"/>
      <c r="F1762" s="30"/>
      <c r="G1762" s="30"/>
      <c r="H1762" s="30"/>
      <c r="I1762" s="30"/>
      <c r="J1762" s="30"/>
      <c r="K1762" s="30"/>
      <c r="L1762" s="30"/>
      <c r="M1762" s="30"/>
      <c r="N1762" s="30" t="str" cm="1">
        <f t="array" ref="N1762">Main_Log_Status(Main_Log[[#This Row],[Carrier]],Main_Log[[#This Row],[Net Weight]])</f>
        <v/>
      </c>
      <c r="O1762" s="30"/>
      <c r="P176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62" s="30"/>
      <c r="R1762" s="30" t="str" cm="1">
        <f t="array" ref="R1762">Main_Log_Ref(Main_Log[[#This Row],[Carrier]])</f>
        <v/>
      </c>
    </row>
    <row r="1763" spans="1:18" ht="29.85" customHeight="1" x14ac:dyDescent="0.45">
      <c r="A1763" s="30">
        <v>78</v>
      </c>
      <c r="B1763" s="30"/>
      <c r="C1763" s="30"/>
      <c r="D1763" s="30"/>
      <c r="E1763" s="30"/>
      <c r="F1763" s="30"/>
      <c r="G1763" s="30"/>
      <c r="H1763" s="30"/>
      <c r="I1763" s="30"/>
      <c r="J1763" s="30"/>
      <c r="K1763" s="30"/>
      <c r="L1763" s="30"/>
      <c r="M1763" s="30"/>
      <c r="N1763" s="30" t="str" cm="1">
        <f t="array" ref="N1763">Main_Log_Status(Main_Log[[#This Row],[Carrier]],Main_Log[[#This Row],[Net Weight]])</f>
        <v/>
      </c>
      <c r="O1763" s="30"/>
      <c r="P176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63" s="30"/>
      <c r="R1763" s="30" t="str" cm="1">
        <f t="array" ref="R1763">Main_Log_Ref(Main_Log[[#This Row],[Carrier]])</f>
        <v/>
      </c>
    </row>
    <row r="1764" spans="1:18" ht="29.85" customHeight="1" x14ac:dyDescent="0.45">
      <c r="A1764" s="30">
        <v>79</v>
      </c>
      <c r="B1764" s="30"/>
      <c r="C1764" s="30"/>
      <c r="D1764" s="30"/>
      <c r="E1764" s="30"/>
      <c r="F1764" s="30"/>
      <c r="G1764" s="30"/>
      <c r="H1764" s="30"/>
      <c r="I1764" s="30"/>
      <c r="J1764" s="30"/>
      <c r="K1764" s="30"/>
      <c r="L1764" s="30"/>
      <c r="M1764" s="30"/>
      <c r="N1764" s="30" t="str" cm="1">
        <f t="array" ref="N1764">Main_Log_Status(Main_Log[[#This Row],[Carrier]],Main_Log[[#This Row],[Net Weight]])</f>
        <v/>
      </c>
      <c r="O1764" s="30"/>
      <c r="P176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64" s="30"/>
      <c r="R1764" s="30" t="str" cm="1">
        <f t="array" ref="R1764">Main_Log_Ref(Main_Log[[#This Row],[Carrier]])</f>
        <v/>
      </c>
    </row>
    <row r="1765" spans="1:18" ht="29.85" customHeight="1" x14ac:dyDescent="0.45">
      <c r="A1765" s="30">
        <v>80</v>
      </c>
      <c r="B1765" s="30"/>
      <c r="C1765" s="30"/>
      <c r="D1765" s="30"/>
      <c r="E1765" s="30"/>
      <c r="F1765" s="30"/>
      <c r="G1765" s="30"/>
      <c r="H1765" s="30"/>
      <c r="I1765" s="30"/>
      <c r="J1765" s="30"/>
      <c r="K1765" s="30"/>
      <c r="L1765" s="30"/>
      <c r="M1765" s="30"/>
      <c r="N1765" s="30" t="str" cm="1">
        <f t="array" ref="N1765">Main_Log_Status(Main_Log[[#This Row],[Carrier]],Main_Log[[#This Row],[Net Weight]])</f>
        <v/>
      </c>
      <c r="O1765" s="30"/>
      <c r="P176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65" s="30"/>
      <c r="R1765" s="30" t="str" cm="1">
        <f t="array" ref="R1765">Main_Log_Ref(Main_Log[[#This Row],[Carrier]])</f>
        <v/>
      </c>
    </row>
    <row r="1766" spans="1:18" ht="29.85" customHeight="1" x14ac:dyDescent="0.45">
      <c r="A1766" s="30">
        <v>81</v>
      </c>
      <c r="B1766" s="30"/>
      <c r="C1766" s="30"/>
      <c r="D1766" s="30"/>
      <c r="E1766" s="30"/>
      <c r="F1766" s="30"/>
      <c r="G1766" s="30"/>
      <c r="H1766" s="30"/>
      <c r="I1766" s="30"/>
      <c r="J1766" s="30"/>
      <c r="K1766" s="30"/>
      <c r="L1766" s="30"/>
      <c r="M1766" s="30"/>
      <c r="N1766" s="30" t="str" cm="1">
        <f t="array" ref="N1766">Main_Log_Status(Main_Log[[#This Row],[Carrier]],Main_Log[[#This Row],[Net Weight]])</f>
        <v/>
      </c>
      <c r="O1766" s="30"/>
      <c r="P176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66" s="30"/>
      <c r="R1766" s="30" t="str" cm="1">
        <f t="array" ref="R1766">Main_Log_Ref(Main_Log[[#This Row],[Carrier]])</f>
        <v/>
      </c>
    </row>
    <row r="1767" spans="1:18" ht="29.85" customHeight="1" x14ac:dyDescent="0.45">
      <c r="A1767" s="30">
        <v>82</v>
      </c>
      <c r="B1767" s="30"/>
      <c r="C1767" s="30"/>
      <c r="D1767" s="30"/>
      <c r="E1767" s="30"/>
      <c r="F1767" s="30"/>
      <c r="G1767" s="30"/>
      <c r="H1767" s="30"/>
      <c r="I1767" s="30"/>
      <c r="J1767" s="30"/>
      <c r="K1767" s="30"/>
      <c r="L1767" s="30"/>
      <c r="M1767" s="30"/>
      <c r="N1767" s="30" t="str" cm="1">
        <f t="array" ref="N1767">Main_Log_Status(Main_Log[[#This Row],[Carrier]],Main_Log[[#This Row],[Net Weight]])</f>
        <v/>
      </c>
      <c r="O1767" s="30"/>
      <c r="P176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67" s="30"/>
      <c r="R1767" s="30" t="str" cm="1">
        <f t="array" ref="R1767">Main_Log_Ref(Main_Log[[#This Row],[Carrier]])</f>
        <v/>
      </c>
    </row>
    <row r="1768" spans="1:18" ht="29.85" customHeight="1" x14ac:dyDescent="0.45">
      <c r="A1768" s="30">
        <v>83</v>
      </c>
      <c r="B1768" s="30"/>
      <c r="C1768" s="30"/>
      <c r="D1768" s="30"/>
      <c r="E1768" s="30"/>
      <c r="F1768" s="30"/>
      <c r="G1768" s="30"/>
      <c r="H1768" s="30"/>
      <c r="I1768" s="30"/>
      <c r="J1768" s="30"/>
      <c r="K1768" s="30"/>
      <c r="L1768" s="30"/>
      <c r="M1768" s="30"/>
      <c r="N1768" s="30" t="str" cm="1">
        <f t="array" ref="N1768">Main_Log_Status(Main_Log[[#This Row],[Carrier]],Main_Log[[#This Row],[Net Weight]])</f>
        <v/>
      </c>
      <c r="O1768" s="30"/>
      <c r="P176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68" s="30"/>
      <c r="R1768" s="30" t="str" cm="1">
        <f t="array" ref="R1768">Main_Log_Ref(Main_Log[[#This Row],[Carrier]])</f>
        <v/>
      </c>
    </row>
    <row r="1769" spans="1:18" ht="29.85" customHeight="1" x14ac:dyDescent="0.45">
      <c r="A1769" s="30">
        <v>84</v>
      </c>
      <c r="B1769" s="30"/>
      <c r="C1769" s="30"/>
      <c r="D1769" s="30"/>
      <c r="E1769" s="30"/>
      <c r="F1769" s="30"/>
      <c r="G1769" s="30"/>
      <c r="H1769" s="30"/>
      <c r="I1769" s="30"/>
      <c r="J1769" s="30"/>
      <c r="K1769" s="30"/>
      <c r="L1769" s="30"/>
      <c r="M1769" s="30"/>
      <c r="N1769" s="30" t="str" cm="1">
        <f t="array" ref="N1769">Main_Log_Status(Main_Log[[#This Row],[Carrier]],Main_Log[[#This Row],[Net Weight]])</f>
        <v/>
      </c>
      <c r="O1769" s="30"/>
      <c r="P176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69" s="30"/>
      <c r="R1769" s="30" t="str" cm="1">
        <f t="array" ref="R1769">Main_Log_Ref(Main_Log[[#This Row],[Carrier]])</f>
        <v/>
      </c>
    </row>
    <row r="1770" spans="1:18" ht="29.85" customHeight="1" x14ac:dyDescent="0.45">
      <c r="A1770" s="30">
        <v>85</v>
      </c>
      <c r="B1770" s="30"/>
      <c r="C1770" s="30"/>
      <c r="D1770" s="30"/>
      <c r="E1770" s="30"/>
      <c r="F1770" s="30"/>
      <c r="G1770" s="30"/>
      <c r="H1770" s="30"/>
      <c r="I1770" s="30"/>
      <c r="J1770" s="30"/>
      <c r="K1770" s="30"/>
      <c r="L1770" s="30"/>
      <c r="M1770" s="30"/>
      <c r="N1770" s="30" t="str" cm="1">
        <f t="array" ref="N1770">Main_Log_Status(Main_Log[[#This Row],[Carrier]],Main_Log[[#This Row],[Net Weight]])</f>
        <v/>
      </c>
      <c r="O1770" s="30"/>
      <c r="P177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70" s="30"/>
      <c r="R1770" s="30" t="str" cm="1">
        <f t="array" ref="R1770">Main_Log_Ref(Main_Log[[#This Row],[Carrier]])</f>
        <v/>
      </c>
    </row>
    <row r="1771" spans="1:18" ht="29.85" customHeight="1" x14ac:dyDescent="0.45">
      <c r="A1771" s="30">
        <v>86</v>
      </c>
      <c r="B1771" s="30"/>
      <c r="C1771" s="30"/>
      <c r="D1771" s="30"/>
      <c r="E1771" s="30"/>
      <c r="F1771" s="30"/>
      <c r="G1771" s="30"/>
      <c r="H1771" s="30"/>
      <c r="I1771" s="30"/>
      <c r="J1771" s="30"/>
      <c r="K1771" s="30"/>
      <c r="L1771" s="30"/>
      <c r="M1771" s="30"/>
      <c r="N1771" s="30" t="str" cm="1">
        <f t="array" ref="N1771">Main_Log_Status(Main_Log[[#This Row],[Carrier]],Main_Log[[#This Row],[Net Weight]])</f>
        <v/>
      </c>
      <c r="O1771" s="30"/>
      <c r="P177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71" s="30"/>
      <c r="R1771" s="30" t="str" cm="1">
        <f t="array" ref="R1771">Main_Log_Ref(Main_Log[[#This Row],[Carrier]])</f>
        <v/>
      </c>
    </row>
    <row r="1772" spans="1:18" ht="29.85" customHeight="1" x14ac:dyDescent="0.45">
      <c r="A1772" s="30">
        <v>87</v>
      </c>
      <c r="B1772" s="30"/>
      <c r="C1772" s="30"/>
      <c r="D1772" s="30"/>
      <c r="E1772" s="30"/>
      <c r="F1772" s="30"/>
      <c r="G1772" s="30"/>
      <c r="H1772" s="30"/>
      <c r="I1772" s="30"/>
      <c r="J1772" s="30"/>
      <c r="K1772" s="30"/>
      <c r="L1772" s="30"/>
      <c r="M1772" s="30"/>
      <c r="N1772" s="30" t="str" cm="1">
        <f t="array" ref="N1772">Main_Log_Status(Main_Log[[#This Row],[Carrier]],Main_Log[[#This Row],[Net Weight]])</f>
        <v/>
      </c>
      <c r="O1772" s="30"/>
      <c r="P177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72" s="30"/>
      <c r="R1772" s="30" t="str" cm="1">
        <f t="array" ref="R1772">Main_Log_Ref(Main_Log[[#This Row],[Carrier]])</f>
        <v/>
      </c>
    </row>
    <row r="1773" spans="1:18" ht="29.85" customHeight="1" x14ac:dyDescent="0.45">
      <c r="A1773" s="30">
        <v>88</v>
      </c>
      <c r="B1773" s="30"/>
      <c r="C1773" s="30"/>
      <c r="D1773" s="30"/>
      <c r="E1773" s="30"/>
      <c r="F1773" s="30"/>
      <c r="G1773" s="30"/>
      <c r="H1773" s="30"/>
      <c r="I1773" s="30"/>
      <c r="J1773" s="30"/>
      <c r="K1773" s="30"/>
      <c r="L1773" s="30"/>
      <c r="M1773" s="30"/>
      <c r="N1773" s="30" t="str" cm="1">
        <f t="array" ref="N1773">Main_Log_Status(Main_Log[[#This Row],[Carrier]],Main_Log[[#This Row],[Net Weight]])</f>
        <v/>
      </c>
      <c r="O1773" s="30"/>
      <c r="P177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73" s="30"/>
      <c r="R1773" s="30" t="str" cm="1">
        <f t="array" ref="R1773">Main_Log_Ref(Main_Log[[#This Row],[Carrier]])</f>
        <v/>
      </c>
    </row>
    <row r="1774" spans="1:18" ht="29.85" customHeight="1" x14ac:dyDescent="0.45">
      <c r="A1774" s="30">
        <v>89</v>
      </c>
      <c r="B1774" s="30"/>
      <c r="C1774" s="30"/>
      <c r="D1774" s="30"/>
      <c r="E1774" s="30"/>
      <c r="F1774" s="30"/>
      <c r="G1774" s="30"/>
      <c r="H1774" s="30"/>
      <c r="I1774" s="30"/>
      <c r="J1774" s="30"/>
      <c r="K1774" s="30"/>
      <c r="L1774" s="30"/>
      <c r="M1774" s="30"/>
      <c r="N1774" s="30" t="str" cm="1">
        <f t="array" ref="N1774">Main_Log_Status(Main_Log[[#This Row],[Carrier]],Main_Log[[#This Row],[Net Weight]])</f>
        <v/>
      </c>
      <c r="O1774" s="30"/>
      <c r="P177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74" s="30"/>
      <c r="R1774" s="30" t="str" cm="1">
        <f t="array" ref="R1774">Main_Log_Ref(Main_Log[[#This Row],[Carrier]])</f>
        <v/>
      </c>
    </row>
    <row r="1775" spans="1:18" ht="29.85" customHeight="1" x14ac:dyDescent="0.45">
      <c r="A1775" s="30">
        <v>90</v>
      </c>
      <c r="B1775" s="30"/>
      <c r="C1775" s="30"/>
      <c r="D1775" s="30"/>
      <c r="E1775" s="30"/>
      <c r="F1775" s="30"/>
      <c r="G1775" s="30"/>
      <c r="H1775" s="30"/>
      <c r="I1775" s="30"/>
      <c r="J1775" s="30"/>
      <c r="K1775" s="30"/>
      <c r="L1775" s="30"/>
      <c r="M1775" s="30"/>
      <c r="N1775" s="30" t="str" cm="1">
        <f t="array" ref="N1775">Main_Log_Status(Main_Log[[#This Row],[Carrier]],Main_Log[[#This Row],[Net Weight]])</f>
        <v/>
      </c>
      <c r="O1775" s="30"/>
      <c r="P177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75" s="30"/>
      <c r="R1775" s="30" t="str" cm="1">
        <f t="array" ref="R1775">Main_Log_Ref(Main_Log[[#This Row],[Carrier]])</f>
        <v/>
      </c>
    </row>
    <row r="1776" spans="1:18" ht="29.85" customHeight="1" x14ac:dyDescent="0.45">
      <c r="A1776" s="30">
        <v>91</v>
      </c>
      <c r="B1776" s="30"/>
      <c r="C1776" s="30"/>
      <c r="D1776" s="30"/>
      <c r="E1776" s="30"/>
      <c r="F1776" s="30"/>
      <c r="G1776" s="30"/>
      <c r="H1776" s="30"/>
      <c r="I1776" s="30"/>
      <c r="J1776" s="30"/>
      <c r="K1776" s="30"/>
      <c r="L1776" s="30"/>
      <c r="M1776" s="30"/>
      <c r="N1776" s="30" t="str" cm="1">
        <f t="array" ref="N1776">Main_Log_Status(Main_Log[[#This Row],[Carrier]],Main_Log[[#This Row],[Net Weight]])</f>
        <v/>
      </c>
      <c r="O1776" s="30"/>
      <c r="P177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76" s="30"/>
      <c r="R1776" s="30" t="str" cm="1">
        <f t="array" ref="R1776">Main_Log_Ref(Main_Log[[#This Row],[Carrier]])</f>
        <v/>
      </c>
    </row>
    <row r="1777" spans="1:18" ht="29.85" customHeight="1" x14ac:dyDescent="0.45">
      <c r="A1777" s="30">
        <v>92</v>
      </c>
      <c r="B1777" s="30"/>
      <c r="C1777" s="30"/>
      <c r="D1777" s="30"/>
      <c r="E1777" s="30"/>
      <c r="F1777" s="30"/>
      <c r="G1777" s="30"/>
      <c r="H1777" s="30"/>
      <c r="I1777" s="30"/>
      <c r="J1777" s="30"/>
      <c r="K1777" s="30"/>
      <c r="L1777" s="30"/>
      <c r="M1777" s="30"/>
      <c r="N1777" s="30" t="str" cm="1">
        <f t="array" ref="N1777">Main_Log_Status(Main_Log[[#This Row],[Carrier]],Main_Log[[#This Row],[Net Weight]])</f>
        <v/>
      </c>
      <c r="O1777" s="30"/>
      <c r="P177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77" s="30"/>
      <c r="R1777" s="30" t="str" cm="1">
        <f t="array" ref="R1777">Main_Log_Ref(Main_Log[[#This Row],[Carrier]])</f>
        <v/>
      </c>
    </row>
    <row r="1778" spans="1:18" ht="29.85" customHeight="1" x14ac:dyDescent="0.45">
      <c r="A1778" s="30">
        <v>93</v>
      </c>
      <c r="B1778" s="30"/>
      <c r="C1778" s="30"/>
      <c r="D1778" s="30"/>
      <c r="E1778" s="30"/>
      <c r="F1778" s="30"/>
      <c r="G1778" s="30"/>
      <c r="H1778" s="30"/>
      <c r="I1778" s="30"/>
      <c r="J1778" s="30"/>
      <c r="K1778" s="30"/>
      <c r="L1778" s="30"/>
      <c r="M1778" s="30"/>
      <c r="N1778" s="30" t="str" cm="1">
        <f t="array" ref="N1778">Main_Log_Status(Main_Log[[#This Row],[Carrier]],Main_Log[[#This Row],[Net Weight]])</f>
        <v/>
      </c>
      <c r="O1778" s="30"/>
      <c r="P177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78" s="30"/>
      <c r="R1778" s="30" t="str" cm="1">
        <f t="array" ref="R1778">Main_Log_Ref(Main_Log[[#This Row],[Carrier]])</f>
        <v/>
      </c>
    </row>
    <row r="1779" spans="1:18" ht="29.85" customHeight="1" x14ac:dyDescent="0.45">
      <c r="A1779" s="30">
        <v>94</v>
      </c>
      <c r="B1779" s="30"/>
      <c r="C1779" s="30"/>
      <c r="D1779" s="30"/>
      <c r="E1779" s="30"/>
      <c r="F1779" s="30"/>
      <c r="G1779" s="30"/>
      <c r="H1779" s="30"/>
      <c r="I1779" s="30"/>
      <c r="J1779" s="30"/>
      <c r="K1779" s="30"/>
      <c r="L1779" s="30"/>
      <c r="M1779" s="30"/>
      <c r="N1779" s="30" t="str" cm="1">
        <f t="array" ref="N1779">Main_Log_Status(Main_Log[[#This Row],[Carrier]],Main_Log[[#This Row],[Net Weight]])</f>
        <v/>
      </c>
      <c r="O1779" s="30"/>
      <c r="P177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79" s="30"/>
      <c r="R1779" s="30" t="str" cm="1">
        <f t="array" ref="R1779">Main_Log_Ref(Main_Log[[#This Row],[Carrier]])</f>
        <v/>
      </c>
    </row>
    <row r="1780" spans="1:18" ht="29.85" customHeight="1" x14ac:dyDescent="0.45">
      <c r="A1780" s="30">
        <v>95</v>
      </c>
      <c r="B1780" s="30"/>
      <c r="C1780" s="30"/>
      <c r="D1780" s="30"/>
      <c r="E1780" s="30"/>
      <c r="F1780" s="30"/>
      <c r="G1780" s="30"/>
      <c r="H1780" s="30"/>
      <c r="I1780" s="30"/>
      <c r="J1780" s="30"/>
      <c r="K1780" s="30"/>
      <c r="L1780" s="30"/>
      <c r="M1780" s="30"/>
      <c r="N1780" s="30" t="str" cm="1">
        <f t="array" ref="N1780">Main_Log_Status(Main_Log[[#This Row],[Carrier]],Main_Log[[#This Row],[Net Weight]])</f>
        <v/>
      </c>
      <c r="O1780" s="30"/>
      <c r="P178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80" s="30"/>
      <c r="R1780" s="30" t="str" cm="1">
        <f t="array" ref="R1780">Main_Log_Ref(Main_Log[[#This Row],[Carrier]])</f>
        <v/>
      </c>
    </row>
    <row r="1781" spans="1:18" ht="29.85" customHeight="1" x14ac:dyDescent="0.45">
      <c r="A1781" s="30">
        <v>96</v>
      </c>
      <c r="B1781" s="30"/>
      <c r="C1781" s="30"/>
      <c r="D1781" s="30"/>
      <c r="E1781" s="30"/>
      <c r="F1781" s="30"/>
      <c r="G1781" s="30"/>
      <c r="H1781" s="30"/>
      <c r="I1781" s="30"/>
      <c r="J1781" s="30"/>
      <c r="K1781" s="30"/>
      <c r="L1781" s="30"/>
      <c r="M1781" s="30"/>
      <c r="N1781" s="30" t="str" cm="1">
        <f t="array" ref="N1781">Main_Log_Status(Main_Log[[#This Row],[Carrier]],Main_Log[[#This Row],[Net Weight]])</f>
        <v/>
      </c>
      <c r="O1781" s="30"/>
      <c r="P178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81" s="30"/>
      <c r="R1781" s="30" t="str" cm="1">
        <f t="array" ref="R1781">Main_Log_Ref(Main_Log[[#This Row],[Carrier]])</f>
        <v/>
      </c>
    </row>
    <row r="1782" spans="1:18" ht="29.85" customHeight="1" x14ac:dyDescent="0.45">
      <c r="A1782" s="30">
        <v>97</v>
      </c>
      <c r="B1782" s="30"/>
      <c r="C1782" s="30"/>
      <c r="D1782" s="30"/>
      <c r="E1782" s="30"/>
      <c r="F1782" s="30"/>
      <c r="G1782" s="30"/>
      <c r="H1782" s="30"/>
      <c r="I1782" s="30"/>
      <c r="J1782" s="30"/>
      <c r="K1782" s="30"/>
      <c r="L1782" s="30"/>
      <c r="M1782" s="30"/>
      <c r="N1782" s="30" t="str" cm="1">
        <f t="array" ref="N1782">Main_Log_Status(Main_Log[[#This Row],[Carrier]],Main_Log[[#This Row],[Net Weight]])</f>
        <v/>
      </c>
      <c r="O1782" s="30"/>
      <c r="P178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82" s="30"/>
      <c r="R1782" s="30" t="str" cm="1">
        <f t="array" ref="R1782">Main_Log_Ref(Main_Log[[#This Row],[Carrier]])</f>
        <v/>
      </c>
    </row>
    <row r="1783" spans="1:18" ht="29.85" customHeight="1" x14ac:dyDescent="0.45">
      <c r="A1783" s="30">
        <v>98</v>
      </c>
      <c r="B1783" s="30"/>
      <c r="C1783" s="30"/>
      <c r="D1783" s="30"/>
      <c r="E1783" s="30"/>
      <c r="F1783" s="30"/>
      <c r="G1783" s="30"/>
      <c r="H1783" s="30"/>
      <c r="I1783" s="30"/>
      <c r="J1783" s="30"/>
      <c r="K1783" s="30"/>
      <c r="L1783" s="30"/>
      <c r="M1783" s="30"/>
      <c r="N1783" s="30" t="str" cm="1">
        <f t="array" ref="N1783">Main_Log_Status(Main_Log[[#This Row],[Carrier]],Main_Log[[#This Row],[Net Weight]])</f>
        <v/>
      </c>
      <c r="O1783" s="30"/>
      <c r="P178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83" s="30"/>
      <c r="R1783" s="30" t="str" cm="1">
        <f t="array" ref="R1783">Main_Log_Ref(Main_Log[[#This Row],[Carrier]])</f>
        <v/>
      </c>
    </row>
    <row r="1784" spans="1:18" ht="29.85" customHeight="1" x14ac:dyDescent="0.45">
      <c r="A1784" s="30">
        <v>99</v>
      </c>
      <c r="B1784" s="30"/>
      <c r="C1784" s="30"/>
      <c r="D1784" s="30"/>
      <c r="E1784" s="30"/>
      <c r="F1784" s="30"/>
      <c r="G1784" s="30"/>
      <c r="H1784" s="30"/>
      <c r="I1784" s="30"/>
      <c r="J1784" s="30"/>
      <c r="K1784" s="30"/>
      <c r="L1784" s="30"/>
      <c r="M1784" s="30"/>
      <c r="N1784" s="30" t="str" cm="1">
        <f t="array" ref="N1784">Main_Log_Status(Main_Log[[#This Row],[Carrier]],Main_Log[[#This Row],[Net Weight]])</f>
        <v/>
      </c>
      <c r="O1784" s="30"/>
      <c r="P178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84" s="30"/>
      <c r="R1784" s="30" t="str" cm="1">
        <f t="array" ref="R1784">Main_Log_Ref(Main_Log[[#This Row],[Carrier]])</f>
        <v/>
      </c>
    </row>
    <row r="1785" spans="1:18" ht="29.85" customHeight="1" x14ac:dyDescent="0.45">
      <c r="A1785" s="30">
        <v>1</v>
      </c>
      <c r="B1785" s="30"/>
      <c r="C1785" s="30"/>
      <c r="D1785" s="30"/>
      <c r="E1785" s="30"/>
      <c r="F1785" s="30"/>
      <c r="G1785" s="30"/>
      <c r="H1785" s="30"/>
      <c r="I1785" s="30"/>
      <c r="J1785" s="30"/>
      <c r="K1785" s="30"/>
      <c r="L1785" s="30"/>
      <c r="M1785" s="30"/>
      <c r="N1785" s="30" t="str" cm="1">
        <f t="array" ref="N1785">Main_Log_Status(Main_Log[[#This Row],[Carrier]],Main_Log[[#This Row],[Net Weight]])</f>
        <v/>
      </c>
      <c r="O1785" s="30"/>
      <c r="P178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85" s="30"/>
      <c r="R1785" s="30" t="str" cm="1">
        <f t="array" ref="R1785">Main_Log_Ref(Main_Log[[#This Row],[Carrier]])</f>
        <v/>
      </c>
    </row>
    <row r="1786" spans="1:18" ht="29.85" customHeight="1" x14ac:dyDescent="0.45">
      <c r="A1786" s="30">
        <v>2</v>
      </c>
      <c r="B1786" s="30"/>
      <c r="C1786" s="30"/>
      <c r="D1786" s="30"/>
      <c r="E1786" s="30"/>
      <c r="F1786" s="30"/>
      <c r="G1786" s="30"/>
      <c r="H1786" s="30"/>
      <c r="I1786" s="30"/>
      <c r="J1786" s="30"/>
      <c r="K1786" s="30"/>
      <c r="L1786" s="30"/>
      <c r="M1786" s="30"/>
      <c r="N1786" s="30" t="str" cm="1">
        <f t="array" ref="N1786">Main_Log_Status(Main_Log[[#This Row],[Carrier]],Main_Log[[#This Row],[Net Weight]])</f>
        <v/>
      </c>
      <c r="O1786" s="30"/>
      <c r="P178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86" s="30"/>
      <c r="R1786" s="30" t="str" cm="1">
        <f t="array" ref="R1786">Main_Log_Ref(Main_Log[[#This Row],[Carrier]])</f>
        <v/>
      </c>
    </row>
    <row r="1787" spans="1:18" ht="29.85" customHeight="1" x14ac:dyDescent="0.45">
      <c r="A1787" s="30">
        <v>3</v>
      </c>
      <c r="B1787" s="30"/>
      <c r="C1787" s="30"/>
      <c r="D1787" s="30"/>
      <c r="E1787" s="30"/>
      <c r="F1787" s="30"/>
      <c r="G1787" s="30"/>
      <c r="H1787" s="30"/>
      <c r="I1787" s="30"/>
      <c r="J1787" s="30"/>
      <c r="K1787" s="30"/>
      <c r="L1787" s="30"/>
      <c r="M1787" s="30"/>
      <c r="N1787" s="30" t="str" cm="1">
        <f t="array" ref="N1787">Main_Log_Status(Main_Log[[#This Row],[Carrier]],Main_Log[[#This Row],[Net Weight]])</f>
        <v/>
      </c>
      <c r="O1787" s="30"/>
      <c r="P178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87" s="30"/>
      <c r="R1787" s="30" t="str" cm="1">
        <f t="array" ref="R1787">Main_Log_Ref(Main_Log[[#This Row],[Carrier]])</f>
        <v/>
      </c>
    </row>
    <row r="1788" spans="1:18" ht="29.85" customHeight="1" x14ac:dyDescent="0.45">
      <c r="A1788" s="30">
        <v>4</v>
      </c>
      <c r="B1788" s="30"/>
      <c r="C1788" s="30"/>
      <c r="D1788" s="30"/>
      <c r="E1788" s="30"/>
      <c r="F1788" s="30"/>
      <c r="G1788" s="30"/>
      <c r="H1788" s="30"/>
      <c r="I1788" s="30"/>
      <c r="J1788" s="30"/>
      <c r="K1788" s="30"/>
      <c r="L1788" s="30"/>
      <c r="M1788" s="30"/>
      <c r="N1788" s="30" t="str" cm="1">
        <f t="array" ref="N1788">Main_Log_Status(Main_Log[[#This Row],[Carrier]],Main_Log[[#This Row],[Net Weight]])</f>
        <v/>
      </c>
      <c r="O1788" s="30"/>
      <c r="P178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88" s="30"/>
      <c r="R1788" s="30" t="str" cm="1">
        <f t="array" ref="R1788">Main_Log_Ref(Main_Log[[#This Row],[Carrier]])</f>
        <v/>
      </c>
    </row>
    <row r="1789" spans="1:18" ht="29.85" customHeight="1" x14ac:dyDescent="0.45">
      <c r="A1789" s="30">
        <v>5</v>
      </c>
      <c r="B1789" s="30"/>
      <c r="C1789" s="30"/>
      <c r="D1789" s="30"/>
      <c r="E1789" s="30"/>
      <c r="F1789" s="30"/>
      <c r="G1789" s="30"/>
      <c r="H1789" s="30"/>
      <c r="I1789" s="30"/>
      <c r="J1789" s="30"/>
      <c r="K1789" s="30"/>
      <c r="L1789" s="30"/>
      <c r="M1789" s="30"/>
      <c r="N1789" s="30" t="str" cm="1">
        <f t="array" ref="N1789">Main_Log_Status(Main_Log[[#This Row],[Carrier]],Main_Log[[#This Row],[Net Weight]])</f>
        <v/>
      </c>
      <c r="O1789" s="30"/>
      <c r="P178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89" s="30"/>
      <c r="R1789" s="30" t="str" cm="1">
        <f t="array" ref="R1789">Main_Log_Ref(Main_Log[[#This Row],[Carrier]])</f>
        <v/>
      </c>
    </row>
    <row r="1790" spans="1:18" ht="29.85" customHeight="1" x14ac:dyDescent="0.45">
      <c r="A1790" s="30">
        <v>6</v>
      </c>
      <c r="B1790" s="30"/>
      <c r="C1790" s="30"/>
      <c r="D1790" s="30"/>
      <c r="E1790" s="30"/>
      <c r="F1790" s="30"/>
      <c r="G1790" s="30"/>
      <c r="H1790" s="30"/>
      <c r="I1790" s="30"/>
      <c r="J1790" s="30"/>
      <c r="K1790" s="30"/>
      <c r="L1790" s="30"/>
      <c r="M1790" s="30"/>
      <c r="N1790" s="30" t="str" cm="1">
        <f t="array" ref="N1790">Main_Log_Status(Main_Log[[#This Row],[Carrier]],Main_Log[[#This Row],[Net Weight]])</f>
        <v/>
      </c>
      <c r="O1790" s="30"/>
      <c r="P179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90" s="30"/>
      <c r="R1790" s="30" t="str" cm="1">
        <f t="array" ref="R1790">Main_Log_Ref(Main_Log[[#This Row],[Carrier]])</f>
        <v/>
      </c>
    </row>
    <row r="1791" spans="1:18" ht="29.85" customHeight="1" x14ac:dyDescent="0.45">
      <c r="A1791" s="30">
        <v>7</v>
      </c>
      <c r="B1791" s="30"/>
      <c r="C1791" s="30"/>
      <c r="D1791" s="30"/>
      <c r="E1791" s="30"/>
      <c r="F1791" s="30"/>
      <c r="G1791" s="30"/>
      <c r="H1791" s="30"/>
      <c r="I1791" s="30"/>
      <c r="J1791" s="30"/>
      <c r="K1791" s="30"/>
      <c r="L1791" s="30"/>
      <c r="M1791" s="30"/>
      <c r="N1791" s="30" t="str" cm="1">
        <f t="array" ref="N1791">Main_Log_Status(Main_Log[[#This Row],[Carrier]],Main_Log[[#This Row],[Net Weight]])</f>
        <v/>
      </c>
      <c r="O1791" s="30"/>
      <c r="P179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91" s="30"/>
      <c r="R1791" s="30" t="str" cm="1">
        <f t="array" ref="R1791">Main_Log_Ref(Main_Log[[#This Row],[Carrier]])</f>
        <v/>
      </c>
    </row>
    <row r="1792" spans="1:18" ht="29.85" customHeight="1" x14ac:dyDescent="0.45">
      <c r="A1792" s="30">
        <v>8</v>
      </c>
      <c r="B1792" s="30"/>
      <c r="C1792" s="30"/>
      <c r="D1792" s="30"/>
      <c r="E1792" s="30"/>
      <c r="F1792" s="30"/>
      <c r="G1792" s="30"/>
      <c r="H1792" s="30"/>
      <c r="I1792" s="30"/>
      <c r="J1792" s="30"/>
      <c r="K1792" s="30"/>
      <c r="L1792" s="30"/>
      <c r="M1792" s="30"/>
      <c r="N1792" s="30" t="str" cm="1">
        <f t="array" ref="N1792">Main_Log_Status(Main_Log[[#This Row],[Carrier]],Main_Log[[#This Row],[Net Weight]])</f>
        <v/>
      </c>
      <c r="O1792" s="30"/>
      <c r="P179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92" s="30"/>
      <c r="R1792" s="30" t="str" cm="1">
        <f t="array" ref="R1792">Main_Log_Ref(Main_Log[[#This Row],[Carrier]])</f>
        <v/>
      </c>
    </row>
    <row r="1793" spans="1:18" ht="29.85" customHeight="1" x14ac:dyDescent="0.45">
      <c r="A1793" s="30">
        <v>9</v>
      </c>
      <c r="B1793" s="30"/>
      <c r="C1793" s="30"/>
      <c r="D1793" s="30"/>
      <c r="E1793" s="30"/>
      <c r="F1793" s="30"/>
      <c r="G1793" s="30"/>
      <c r="H1793" s="30"/>
      <c r="I1793" s="30"/>
      <c r="J1793" s="30"/>
      <c r="K1793" s="30"/>
      <c r="L1793" s="30"/>
      <c r="M1793" s="30"/>
      <c r="N1793" s="30" t="str" cm="1">
        <f t="array" ref="N1793">Main_Log_Status(Main_Log[[#This Row],[Carrier]],Main_Log[[#This Row],[Net Weight]])</f>
        <v/>
      </c>
      <c r="O1793" s="30"/>
      <c r="P179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93" s="30"/>
      <c r="R1793" s="30" t="str" cm="1">
        <f t="array" ref="R1793">Main_Log_Ref(Main_Log[[#This Row],[Carrier]])</f>
        <v/>
      </c>
    </row>
    <row r="1794" spans="1:18" ht="29.85" customHeight="1" x14ac:dyDescent="0.45">
      <c r="A1794" s="30">
        <v>10</v>
      </c>
      <c r="B1794" s="30"/>
      <c r="C1794" s="30"/>
      <c r="D1794" s="30"/>
      <c r="E1794" s="30"/>
      <c r="F1794" s="30"/>
      <c r="G1794" s="30"/>
      <c r="H1794" s="30"/>
      <c r="I1794" s="30"/>
      <c r="J1794" s="30"/>
      <c r="K1794" s="30"/>
      <c r="L1794" s="30"/>
      <c r="M1794" s="30"/>
      <c r="N1794" s="30" t="str" cm="1">
        <f t="array" ref="N1794">Main_Log_Status(Main_Log[[#This Row],[Carrier]],Main_Log[[#This Row],[Net Weight]])</f>
        <v/>
      </c>
      <c r="O1794" s="30"/>
      <c r="P179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94" s="30"/>
      <c r="R1794" s="30" t="str" cm="1">
        <f t="array" ref="R1794">Main_Log_Ref(Main_Log[[#This Row],[Carrier]])</f>
        <v/>
      </c>
    </row>
    <row r="1795" spans="1:18" ht="29.85" customHeight="1" x14ac:dyDescent="0.45">
      <c r="A1795" s="30">
        <v>11</v>
      </c>
      <c r="B1795" s="30"/>
      <c r="C1795" s="30"/>
      <c r="D1795" s="30"/>
      <c r="E1795" s="30"/>
      <c r="F1795" s="30"/>
      <c r="G1795" s="30"/>
      <c r="H1795" s="30"/>
      <c r="I1795" s="30"/>
      <c r="J1795" s="30"/>
      <c r="K1795" s="30"/>
      <c r="L1795" s="30"/>
      <c r="M1795" s="30"/>
      <c r="N1795" s="30" t="str" cm="1">
        <f t="array" ref="N1795">Main_Log_Status(Main_Log[[#This Row],[Carrier]],Main_Log[[#This Row],[Net Weight]])</f>
        <v/>
      </c>
      <c r="O1795" s="30"/>
      <c r="P179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95" s="30"/>
      <c r="R1795" s="30" t="str" cm="1">
        <f t="array" ref="R1795">Main_Log_Ref(Main_Log[[#This Row],[Carrier]])</f>
        <v/>
      </c>
    </row>
    <row r="1796" spans="1:18" ht="29.85" customHeight="1" x14ac:dyDescent="0.45">
      <c r="A1796" s="30">
        <v>12</v>
      </c>
      <c r="B1796" s="30"/>
      <c r="C1796" s="30"/>
      <c r="D1796" s="30"/>
      <c r="E1796" s="30"/>
      <c r="F1796" s="30"/>
      <c r="G1796" s="30"/>
      <c r="H1796" s="30"/>
      <c r="I1796" s="30"/>
      <c r="J1796" s="30"/>
      <c r="K1796" s="30"/>
      <c r="L1796" s="30"/>
      <c r="M1796" s="30"/>
      <c r="N1796" s="30" t="str" cm="1">
        <f t="array" ref="N1796">Main_Log_Status(Main_Log[[#This Row],[Carrier]],Main_Log[[#This Row],[Net Weight]])</f>
        <v/>
      </c>
      <c r="O1796" s="30"/>
      <c r="P179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96" s="30"/>
      <c r="R1796" s="30" t="str" cm="1">
        <f t="array" ref="R1796">Main_Log_Ref(Main_Log[[#This Row],[Carrier]])</f>
        <v/>
      </c>
    </row>
    <row r="1797" spans="1:18" ht="29.85" customHeight="1" x14ac:dyDescent="0.45">
      <c r="A1797" s="30">
        <v>13</v>
      </c>
      <c r="B1797" s="30"/>
      <c r="C1797" s="30"/>
      <c r="D1797" s="30"/>
      <c r="E1797" s="30"/>
      <c r="F1797" s="30"/>
      <c r="G1797" s="30"/>
      <c r="H1797" s="30"/>
      <c r="I1797" s="30"/>
      <c r="J1797" s="30"/>
      <c r="K1797" s="30"/>
      <c r="L1797" s="30"/>
      <c r="M1797" s="30"/>
      <c r="N1797" s="30" t="str" cm="1">
        <f t="array" ref="N1797">Main_Log_Status(Main_Log[[#This Row],[Carrier]],Main_Log[[#This Row],[Net Weight]])</f>
        <v/>
      </c>
      <c r="O1797" s="30"/>
      <c r="P179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97" s="30"/>
      <c r="R1797" s="30" t="str" cm="1">
        <f t="array" ref="R1797">Main_Log_Ref(Main_Log[[#This Row],[Carrier]])</f>
        <v/>
      </c>
    </row>
    <row r="1798" spans="1:18" ht="29.85" customHeight="1" x14ac:dyDescent="0.45">
      <c r="A1798" s="30">
        <v>14</v>
      </c>
      <c r="B1798" s="30"/>
      <c r="C1798" s="30"/>
      <c r="D1798" s="30"/>
      <c r="E1798" s="30"/>
      <c r="F1798" s="30"/>
      <c r="G1798" s="30"/>
      <c r="H1798" s="30"/>
      <c r="I1798" s="30"/>
      <c r="J1798" s="30"/>
      <c r="K1798" s="30"/>
      <c r="L1798" s="30"/>
      <c r="M1798" s="30"/>
      <c r="N1798" s="30" t="str" cm="1">
        <f t="array" ref="N1798">Main_Log_Status(Main_Log[[#This Row],[Carrier]],Main_Log[[#This Row],[Net Weight]])</f>
        <v/>
      </c>
      <c r="O1798" s="30"/>
      <c r="P179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98" s="30"/>
      <c r="R1798" s="30" t="str" cm="1">
        <f t="array" ref="R1798">Main_Log_Ref(Main_Log[[#This Row],[Carrier]])</f>
        <v/>
      </c>
    </row>
    <row r="1799" spans="1:18" ht="29.85" customHeight="1" x14ac:dyDescent="0.45">
      <c r="A1799" s="30">
        <v>15</v>
      </c>
      <c r="B1799" s="30"/>
      <c r="C1799" s="30"/>
      <c r="D1799" s="30"/>
      <c r="E1799" s="30"/>
      <c r="F1799" s="30"/>
      <c r="G1799" s="30"/>
      <c r="H1799" s="30"/>
      <c r="I1799" s="30"/>
      <c r="J1799" s="30"/>
      <c r="K1799" s="30"/>
      <c r="L1799" s="30"/>
      <c r="M1799" s="30"/>
      <c r="N1799" s="30" t="str" cm="1">
        <f t="array" ref="N1799">Main_Log_Status(Main_Log[[#This Row],[Carrier]],Main_Log[[#This Row],[Net Weight]])</f>
        <v/>
      </c>
      <c r="O1799" s="30"/>
      <c r="P179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799" s="30"/>
      <c r="R1799" s="30" t="str" cm="1">
        <f t="array" ref="R1799">Main_Log_Ref(Main_Log[[#This Row],[Carrier]])</f>
        <v/>
      </c>
    </row>
    <row r="1800" spans="1:18" ht="29.85" customHeight="1" x14ac:dyDescent="0.45">
      <c r="A1800" s="30">
        <v>16</v>
      </c>
      <c r="B1800" s="30"/>
      <c r="C1800" s="30"/>
      <c r="D1800" s="30"/>
      <c r="E1800" s="30"/>
      <c r="F1800" s="30"/>
      <c r="G1800" s="30"/>
      <c r="H1800" s="30"/>
      <c r="I1800" s="30"/>
      <c r="J1800" s="30"/>
      <c r="K1800" s="30"/>
      <c r="L1800" s="30"/>
      <c r="M1800" s="30"/>
      <c r="N1800" s="30" t="str" cm="1">
        <f t="array" ref="N1800">Main_Log_Status(Main_Log[[#This Row],[Carrier]],Main_Log[[#This Row],[Net Weight]])</f>
        <v/>
      </c>
      <c r="O1800" s="30"/>
      <c r="P180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00" s="30"/>
      <c r="R1800" s="30" t="str" cm="1">
        <f t="array" ref="R1800">Main_Log_Ref(Main_Log[[#This Row],[Carrier]])</f>
        <v/>
      </c>
    </row>
    <row r="1801" spans="1:18" ht="29.85" customHeight="1" x14ac:dyDescent="0.45">
      <c r="A1801" s="30">
        <v>17</v>
      </c>
      <c r="B1801" s="30"/>
      <c r="C1801" s="30"/>
      <c r="D1801" s="30"/>
      <c r="E1801" s="30"/>
      <c r="F1801" s="30"/>
      <c r="G1801" s="30"/>
      <c r="H1801" s="30"/>
      <c r="I1801" s="30"/>
      <c r="J1801" s="30"/>
      <c r="K1801" s="30"/>
      <c r="L1801" s="30"/>
      <c r="M1801" s="30"/>
      <c r="N1801" s="30" t="str" cm="1">
        <f t="array" ref="N1801">Main_Log_Status(Main_Log[[#This Row],[Carrier]],Main_Log[[#This Row],[Net Weight]])</f>
        <v/>
      </c>
      <c r="O1801" s="30"/>
      <c r="P180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01" s="30"/>
      <c r="R1801" s="30" t="str" cm="1">
        <f t="array" ref="R1801">Main_Log_Ref(Main_Log[[#This Row],[Carrier]])</f>
        <v/>
      </c>
    </row>
    <row r="1802" spans="1:18" ht="29.85" customHeight="1" x14ac:dyDescent="0.45">
      <c r="A1802" s="30">
        <v>18</v>
      </c>
      <c r="B1802" s="30"/>
      <c r="C1802" s="30"/>
      <c r="D1802" s="30"/>
      <c r="E1802" s="30"/>
      <c r="F1802" s="30"/>
      <c r="G1802" s="30"/>
      <c r="H1802" s="30"/>
      <c r="I1802" s="30"/>
      <c r="J1802" s="30"/>
      <c r="K1802" s="30"/>
      <c r="L1802" s="30"/>
      <c r="M1802" s="30"/>
      <c r="N1802" s="30" t="str" cm="1">
        <f t="array" ref="N1802">Main_Log_Status(Main_Log[[#This Row],[Carrier]],Main_Log[[#This Row],[Net Weight]])</f>
        <v/>
      </c>
      <c r="O1802" s="30"/>
      <c r="P180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02" s="30"/>
      <c r="R1802" s="30" t="str" cm="1">
        <f t="array" ref="R1802">Main_Log_Ref(Main_Log[[#This Row],[Carrier]])</f>
        <v/>
      </c>
    </row>
    <row r="1803" spans="1:18" ht="29.85" customHeight="1" x14ac:dyDescent="0.45">
      <c r="A1803" s="30">
        <v>19</v>
      </c>
      <c r="B1803" s="30"/>
      <c r="C1803" s="30"/>
      <c r="D1803" s="30"/>
      <c r="E1803" s="30"/>
      <c r="F1803" s="30"/>
      <c r="G1803" s="30"/>
      <c r="H1803" s="30"/>
      <c r="I1803" s="30"/>
      <c r="J1803" s="30"/>
      <c r="K1803" s="30"/>
      <c r="L1803" s="30"/>
      <c r="M1803" s="30"/>
      <c r="N1803" s="30" t="str" cm="1">
        <f t="array" ref="N1803">Main_Log_Status(Main_Log[[#This Row],[Carrier]],Main_Log[[#This Row],[Net Weight]])</f>
        <v/>
      </c>
      <c r="O1803" s="30"/>
      <c r="P180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03" s="30"/>
      <c r="R1803" s="30" t="str" cm="1">
        <f t="array" ref="R1803">Main_Log_Ref(Main_Log[[#This Row],[Carrier]])</f>
        <v/>
      </c>
    </row>
    <row r="1804" spans="1:18" ht="29.85" customHeight="1" x14ac:dyDescent="0.45">
      <c r="A1804" s="30">
        <v>20</v>
      </c>
      <c r="B1804" s="30"/>
      <c r="C1804" s="30"/>
      <c r="D1804" s="30"/>
      <c r="E1804" s="30"/>
      <c r="F1804" s="30"/>
      <c r="G1804" s="30"/>
      <c r="H1804" s="30"/>
      <c r="I1804" s="30"/>
      <c r="J1804" s="30"/>
      <c r="K1804" s="30"/>
      <c r="L1804" s="30"/>
      <c r="M1804" s="30"/>
      <c r="N1804" s="30" t="str" cm="1">
        <f t="array" ref="N1804">Main_Log_Status(Main_Log[[#This Row],[Carrier]],Main_Log[[#This Row],[Net Weight]])</f>
        <v/>
      </c>
      <c r="O1804" s="30"/>
      <c r="P180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04" s="30"/>
      <c r="R1804" s="30" t="str" cm="1">
        <f t="array" ref="R1804">Main_Log_Ref(Main_Log[[#This Row],[Carrier]])</f>
        <v/>
      </c>
    </row>
    <row r="1805" spans="1:18" ht="29.85" customHeight="1" x14ac:dyDescent="0.45">
      <c r="A1805" s="30">
        <v>21</v>
      </c>
      <c r="B1805" s="30"/>
      <c r="C1805" s="30"/>
      <c r="D1805" s="30"/>
      <c r="E1805" s="30"/>
      <c r="F1805" s="30"/>
      <c r="G1805" s="30"/>
      <c r="H1805" s="30"/>
      <c r="I1805" s="30"/>
      <c r="J1805" s="30"/>
      <c r="K1805" s="30"/>
      <c r="L1805" s="30"/>
      <c r="M1805" s="30"/>
      <c r="N1805" s="30" t="str" cm="1">
        <f t="array" ref="N1805">Main_Log_Status(Main_Log[[#This Row],[Carrier]],Main_Log[[#This Row],[Net Weight]])</f>
        <v/>
      </c>
      <c r="O1805" s="30"/>
      <c r="P180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05" s="30"/>
      <c r="R1805" s="30" t="str" cm="1">
        <f t="array" ref="R1805">Main_Log_Ref(Main_Log[[#This Row],[Carrier]])</f>
        <v/>
      </c>
    </row>
    <row r="1806" spans="1:18" ht="29.85" customHeight="1" x14ac:dyDescent="0.45">
      <c r="A1806" s="30">
        <v>22</v>
      </c>
      <c r="B1806" s="30"/>
      <c r="C1806" s="30"/>
      <c r="D1806" s="30"/>
      <c r="E1806" s="30"/>
      <c r="F1806" s="30"/>
      <c r="G1806" s="30"/>
      <c r="H1806" s="30"/>
      <c r="I1806" s="30"/>
      <c r="J1806" s="30"/>
      <c r="K1806" s="30"/>
      <c r="L1806" s="30"/>
      <c r="M1806" s="30"/>
      <c r="N1806" s="30" t="str" cm="1">
        <f t="array" ref="N1806">Main_Log_Status(Main_Log[[#This Row],[Carrier]],Main_Log[[#This Row],[Net Weight]])</f>
        <v/>
      </c>
      <c r="O1806" s="30"/>
      <c r="P180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06" s="30"/>
      <c r="R1806" s="30" t="str" cm="1">
        <f t="array" ref="R1806">Main_Log_Ref(Main_Log[[#This Row],[Carrier]])</f>
        <v/>
      </c>
    </row>
    <row r="1807" spans="1:18" ht="29.85" customHeight="1" x14ac:dyDescent="0.45">
      <c r="A1807" s="30">
        <v>23</v>
      </c>
      <c r="B1807" s="30"/>
      <c r="C1807" s="30"/>
      <c r="D1807" s="30"/>
      <c r="E1807" s="30"/>
      <c r="F1807" s="30"/>
      <c r="G1807" s="30"/>
      <c r="H1807" s="30"/>
      <c r="I1807" s="30"/>
      <c r="J1807" s="30"/>
      <c r="K1807" s="30"/>
      <c r="L1807" s="30"/>
      <c r="M1807" s="30"/>
      <c r="N1807" s="30" t="str" cm="1">
        <f t="array" ref="N1807">Main_Log_Status(Main_Log[[#This Row],[Carrier]],Main_Log[[#This Row],[Net Weight]])</f>
        <v/>
      </c>
      <c r="O1807" s="30"/>
      <c r="P180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07" s="30"/>
      <c r="R1807" s="30" t="str" cm="1">
        <f t="array" ref="R1807">Main_Log_Ref(Main_Log[[#This Row],[Carrier]])</f>
        <v/>
      </c>
    </row>
    <row r="1808" spans="1:18" ht="29.85" customHeight="1" x14ac:dyDescent="0.45">
      <c r="A1808" s="30">
        <v>24</v>
      </c>
      <c r="B1808" s="30"/>
      <c r="C1808" s="30"/>
      <c r="D1808" s="30"/>
      <c r="E1808" s="30"/>
      <c r="F1808" s="30"/>
      <c r="G1808" s="30"/>
      <c r="H1808" s="30"/>
      <c r="I1808" s="30"/>
      <c r="J1808" s="30"/>
      <c r="K1808" s="30"/>
      <c r="L1808" s="30"/>
      <c r="M1808" s="30"/>
      <c r="N1808" s="30" t="str" cm="1">
        <f t="array" ref="N1808">Main_Log_Status(Main_Log[[#This Row],[Carrier]],Main_Log[[#This Row],[Net Weight]])</f>
        <v/>
      </c>
      <c r="O1808" s="30"/>
      <c r="P180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08" s="30"/>
      <c r="R1808" s="30" t="str" cm="1">
        <f t="array" ref="R1808">Main_Log_Ref(Main_Log[[#This Row],[Carrier]])</f>
        <v/>
      </c>
    </row>
    <row r="1809" spans="1:18" ht="29.85" customHeight="1" x14ac:dyDescent="0.45">
      <c r="A1809" s="30">
        <v>25</v>
      </c>
      <c r="B1809" s="30"/>
      <c r="C1809" s="30"/>
      <c r="D1809" s="30"/>
      <c r="E1809" s="30"/>
      <c r="F1809" s="30"/>
      <c r="G1809" s="30"/>
      <c r="H1809" s="30"/>
      <c r="I1809" s="30"/>
      <c r="J1809" s="30"/>
      <c r="K1809" s="30"/>
      <c r="L1809" s="30"/>
      <c r="M1809" s="30"/>
      <c r="N1809" s="30" t="str" cm="1">
        <f t="array" ref="N1809">Main_Log_Status(Main_Log[[#This Row],[Carrier]],Main_Log[[#This Row],[Net Weight]])</f>
        <v/>
      </c>
      <c r="O1809" s="30"/>
      <c r="P180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09" s="30"/>
      <c r="R1809" s="30" t="str" cm="1">
        <f t="array" ref="R1809">Main_Log_Ref(Main_Log[[#This Row],[Carrier]])</f>
        <v/>
      </c>
    </row>
    <row r="1810" spans="1:18" ht="29.85" customHeight="1" x14ac:dyDescent="0.45">
      <c r="A1810" s="30">
        <v>26</v>
      </c>
      <c r="B1810" s="30"/>
      <c r="C1810" s="30"/>
      <c r="D1810" s="30"/>
      <c r="E1810" s="30"/>
      <c r="F1810" s="30"/>
      <c r="G1810" s="30"/>
      <c r="H1810" s="30"/>
      <c r="I1810" s="30"/>
      <c r="J1810" s="30"/>
      <c r="K1810" s="30"/>
      <c r="L1810" s="30"/>
      <c r="M1810" s="30"/>
      <c r="N1810" s="30" t="str" cm="1">
        <f t="array" ref="N1810">Main_Log_Status(Main_Log[[#This Row],[Carrier]],Main_Log[[#This Row],[Net Weight]])</f>
        <v/>
      </c>
      <c r="O1810" s="30"/>
      <c r="P181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10" s="30"/>
      <c r="R1810" s="30" t="str" cm="1">
        <f t="array" ref="R1810">Main_Log_Ref(Main_Log[[#This Row],[Carrier]])</f>
        <v/>
      </c>
    </row>
    <row r="1811" spans="1:18" ht="29.85" customHeight="1" x14ac:dyDescent="0.45">
      <c r="A1811" s="30">
        <v>27</v>
      </c>
      <c r="B1811" s="30"/>
      <c r="C1811" s="30"/>
      <c r="D1811" s="30"/>
      <c r="E1811" s="30"/>
      <c r="F1811" s="30"/>
      <c r="G1811" s="30"/>
      <c r="H1811" s="30"/>
      <c r="I1811" s="30"/>
      <c r="J1811" s="30"/>
      <c r="K1811" s="30"/>
      <c r="L1811" s="30"/>
      <c r="M1811" s="30"/>
      <c r="N1811" s="30" t="str" cm="1">
        <f t="array" ref="N1811">Main_Log_Status(Main_Log[[#This Row],[Carrier]],Main_Log[[#This Row],[Net Weight]])</f>
        <v/>
      </c>
      <c r="O1811" s="30"/>
      <c r="P181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11" s="30"/>
      <c r="R1811" s="30" t="str" cm="1">
        <f t="array" ref="R1811">Main_Log_Ref(Main_Log[[#This Row],[Carrier]])</f>
        <v/>
      </c>
    </row>
    <row r="1812" spans="1:18" ht="29.85" customHeight="1" x14ac:dyDescent="0.45">
      <c r="A1812" s="30">
        <v>28</v>
      </c>
      <c r="B1812" s="30"/>
      <c r="C1812" s="30"/>
      <c r="D1812" s="30"/>
      <c r="E1812" s="30"/>
      <c r="F1812" s="30"/>
      <c r="G1812" s="30"/>
      <c r="H1812" s="30"/>
      <c r="I1812" s="30"/>
      <c r="J1812" s="30"/>
      <c r="K1812" s="30"/>
      <c r="L1812" s="30"/>
      <c r="M1812" s="30"/>
      <c r="N1812" s="30" t="str" cm="1">
        <f t="array" ref="N1812">Main_Log_Status(Main_Log[[#This Row],[Carrier]],Main_Log[[#This Row],[Net Weight]])</f>
        <v/>
      </c>
      <c r="O1812" s="30"/>
      <c r="P181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12" s="30"/>
      <c r="R1812" s="30" t="str" cm="1">
        <f t="array" ref="R1812">Main_Log_Ref(Main_Log[[#This Row],[Carrier]])</f>
        <v/>
      </c>
    </row>
    <row r="1813" spans="1:18" ht="29.85" customHeight="1" x14ac:dyDescent="0.45">
      <c r="A1813" s="30">
        <v>29</v>
      </c>
      <c r="B1813" s="30"/>
      <c r="C1813" s="30"/>
      <c r="D1813" s="30"/>
      <c r="E1813" s="30"/>
      <c r="F1813" s="30"/>
      <c r="G1813" s="30"/>
      <c r="H1813" s="30"/>
      <c r="I1813" s="30"/>
      <c r="J1813" s="30"/>
      <c r="K1813" s="30"/>
      <c r="L1813" s="30"/>
      <c r="M1813" s="30"/>
      <c r="N1813" s="30" t="str" cm="1">
        <f t="array" ref="N1813">Main_Log_Status(Main_Log[[#This Row],[Carrier]],Main_Log[[#This Row],[Net Weight]])</f>
        <v/>
      </c>
      <c r="O1813" s="30"/>
      <c r="P181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13" s="30"/>
      <c r="R1813" s="30" t="str" cm="1">
        <f t="array" ref="R1813">Main_Log_Ref(Main_Log[[#This Row],[Carrier]])</f>
        <v/>
      </c>
    </row>
    <row r="1814" spans="1:18" ht="29.85" customHeight="1" x14ac:dyDescent="0.45">
      <c r="A1814" s="30">
        <v>30</v>
      </c>
      <c r="B1814" s="30"/>
      <c r="C1814" s="30"/>
      <c r="D1814" s="30"/>
      <c r="E1814" s="30"/>
      <c r="F1814" s="30"/>
      <c r="G1814" s="30"/>
      <c r="H1814" s="30"/>
      <c r="I1814" s="30"/>
      <c r="J1814" s="30"/>
      <c r="K1814" s="30"/>
      <c r="L1814" s="30"/>
      <c r="M1814" s="30"/>
      <c r="N1814" s="30" t="str" cm="1">
        <f t="array" ref="N1814">Main_Log_Status(Main_Log[[#This Row],[Carrier]],Main_Log[[#This Row],[Net Weight]])</f>
        <v/>
      </c>
      <c r="O1814" s="30"/>
      <c r="P181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14" s="30"/>
      <c r="R1814" s="30" t="str" cm="1">
        <f t="array" ref="R1814">Main_Log_Ref(Main_Log[[#This Row],[Carrier]])</f>
        <v/>
      </c>
    </row>
    <row r="1815" spans="1:18" ht="29.85" customHeight="1" x14ac:dyDescent="0.45">
      <c r="A1815" s="30">
        <v>31</v>
      </c>
      <c r="B1815" s="30"/>
      <c r="C1815" s="30"/>
      <c r="D1815" s="30"/>
      <c r="E1815" s="30"/>
      <c r="F1815" s="30"/>
      <c r="G1815" s="30"/>
      <c r="H1815" s="30"/>
      <c r="I1815" s="30"/>
      <c r="J1815" s="30"/>
      <c r="K1815" s="30"/>
      <c r="L1815" s="30"/>
      <c r="M1815" s="30"/>
      <c r="N1815" s="30" t="str" cm="1">
        <f t="array" ref="N1815">Main_Log_Status(Main_Log[[#This Row],[Carrier]],Main_Log[[#This Row],[Net Weight]])</f>
        <v/>
      </c>
      <c r="O1815" s="30"/>
      <c r="P181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15" s="30"/>
      <c r="R1815" s="30" t="str" cm="1">
        <f t="array" ref="R1815">Main_Log_Ref(Main_Log[[#This Row],[Carrier]])</f>
        <v/>
      </c>
    </row>
    <row r="1816" spans="1:18" ht="29.85" customHeight="1" x14ac:dyDescent="0.45">
      <c r="A1816" s="30">
        <v>32</v>
      </c>
      <c r="B1816" s="30"/>
      <c r="C1816" s="30"/>
      <c r="D1816" s="30"/>
      <c r="E1816" s="30"/>
      <c r="F1816" s="30"/>
      <c r="G1816" s="30"/>
      <c r="H1816" s="30"/>
      <c r="I1816" s="30"/>
      <c r="J1816" s="30"/>
      <c r="K1816" s="30"/>
      <c r="L1816" s="30"/>
      <c r="M1816" s="30"/>
      <c r="N1816" s="30" t="str" cm="1">
        <f t="array" ref="N1816">Main_Log_Status(Main_Log[[#This Row],[Carrier]],Main_Log[[#This Row],[Net Weight]])</f>
        <v/>
      </c>
      <c r="O1816" s="30"/>
      <c r="P181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16" s="30"/>
      <c r="R1816" s="30" t="str" cm="1">
        <f t="array" ref="R1816">Main_Log_Ref(Main_Log[[#This Row],[Carrier]])</f>
        <v/>
      </c>
    </row>
    <row r="1817" spans="1:18" ht="29.85" customHeight="1" x14ac:dyDescent="0.45">
      <c r="A1817" s="30">
        <v>33</v>
      </c>
      <c r="B1817" s="30"/>
      <c r="C1817" s="30"/>
      <c r="D1817" s="30"/>
      <c r="E1817" s="30"/>
      <c r="F1817" s="30"/>
      <c r="G1817" s="30"/>
      <c r="H1817" s="30"/>
      <c r="I1817" s="30"/>
      <c r="J1817" s="30"/>
      <c r="K1817" s="30"/>
      <c r="L1817" s="30"/>
      <c r="M1817" s="30"/>
      <c r="N1817" s="30" t="str" cm="1">
        <f t="array" ref="N1817">Main_Log_Status(Main_Log[[#This Row],[Carrier]],Main_Log[[#This Row],[Net Weight]])</f>
        <v/>
      </c>
      <c r="O1817" s="30"/>
      <c r="P181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17" s="30"/>
      <c r="R1817" s="30" t="str" cm="1">
        <f t="array" ref="R1817">Main_Log_Ref(Main_Log[[#This Row],[Carrier]])</f>
        <v/>
      </c>
    </row>
    <row r="1818" spans="1:18" ht="29.85" customHeight="1" x14ac:dyDescent="0.45">
      <c r="A1818" s="30">
        <v>34</v>
      </c>
      <c r="B1818" s="30"/>
      <c r="C1818" s="30"/>
      <c r="D1818" s="30"/>
      <c r="E1818" s="30"/>
      <c r="F1818" s="30"/>
      <c r="G1818" s="30"/>
      <c r="H1818" s="30"/>
      <c r="I1818" s="30"/>
      <c r="J1818" s="30"/>
      <c r="K1818" s="30"/>
      <c r="L1818" s="30"/>
      <c r="M1818" s="30"/>
      <c r="N1818" s="30" t="str" cm="1">
        <f t="array" ref="N1818">Main_Log_Status(Main_Log[[#This Row],[Carrier]],Main_Log[[#This Row],[Net Weight]])</f>
        <v/>
      </c>
      <c r="O1818" s="30"/>
      <c r="P181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18" s="30"/>
      <c r="R1818" s="30" t="str" cm="1">
        <f t="array" ref="R1818">Main_Log_Ref(Main_Log[[#This Row],[Carrier]])</f>
        <v/>
      </c>
    </row>
    <row r="1819" spans="1:18" ht="29.85" customHeight="1" x14ac:dyDescent="0.45">
      <c r="A1819" s="30">
        <v>35</v>
      </c>
      <c r="B1819" s="30"/>
      <c r="C1819" s="30"/>
      <c r="D1819" s="30"/>
      <c r="E1819" s="30"/>
      <c r="F1819" s="30"/>
      <c r="G1819" s="30"/>
      <c r="H1819" s="30"/>
      <c r="I1819" s="30"/>
      <c r="J1819" s="30"/>
      <c r="K1819" s="30"/>
      <c r="L1819" s="30"/>
      <c r="M1819" s="30"/>
      <c r="N1819" s="30" t="str" cm="1">
        <f t="array" ref="N1819">Main_Log_Status(Main_Log[[#This Row],[Carrier]],Main_Log[[#This Row],[Net Weight]])</f>
        <v/>
      </c>
      <c r="O1819" s="30"/>
      <c r="P181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19" s="30"/>
      <c r="R1819" s="30" t="str" cm="1">
        <f t="array" ref="R1819">Main_Log_Ref(Main_Log[[#This Row],[Carrier]])</f>
        <v/>
      </c>
    </row>
    <row r="1820" spans="1:18" ht="29.85" customHeight="1" x14ac:dyDescent="0.45">
      <c r="A1820" s="30">
        <v>36</v>
      </c>
      <c r="B1820" s="30"/>
      <c r="C1820" s="30"/>
      <c r="D1820" s="30"/>
      <c r="E1820" s="30"/>
      <c r="F1820" s="30"/>
      <c r="G1820" s="30"/>
      <c r="H1820" s="30"/>
      <c r="I1820" s="30"/>
      <c r="J1820" s="30"/>
      <c r="K1820" s="30"/>
      <c r="L1820" s="30"/>
      <c r="M1820" s="30"/>
      <c r="N1820" s="30" t="str" cm="1">
        <f t="array" ref="N1820">Main_Log_Status(Main_Log[[#This Row],[Carrier]],Main_Log[[#This Row],[Net Weight]])</f>
        <v/>
      </c>
      <c r="O1820" s="30"/>
      <c r="P182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20" s="30"/>
      <c r="R1820" s="30" t="str" cm="1">
        <f t="array" ref="R1820">Main_Log_Ref(Main_Log[[#This Row],[Carrier]])</f>
        <v/>
      </c>
    </row>
    <row r="1821" spans="1:18" ht="29.85" customHeight="1" x14ac:dyDescent="0.45">
      <c r="A1821" s="30">
        <v>37</v>
      </c>
      <c r="B1821" s="30"/>
      <c r="C1821" s="30"/>
      <c r="D1821" s="30"/>
      <c r="E1821" s="30"/>
      <c r="F1821" s="30"/>
      <c r="G1821" s="30"/>
      <c r="H1821" s="30"/>
      <c r="I1821" s="30"/>
      <c r="J1821" s="30"/>
      <c r="K1821" s="30"/>
      <c r="L1821" s="30"/>
      <c r="M1821" s="30"/>
      <c r="N1821" s="30" t="str" cm="1">
        <f t="array" ref="N1821">Main_Log_Status(Main_Log[[#This Row],[Carrier]],Main_Log[[#This Row],[Net Weight]])</f>
        <v/>
      </c>
      <c r="O1821" s="30"/>
      <c r="P182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21" s="30"/>
      <c r="R1821" s="30" t="str" cm="1">
        <f t="array" ref="R1821">Main_Log_Ref(Main_Log[[#This Row],[Carrier]])</f>
        <v/>
      </c>
    </row>
    <row r="1822" spans="1:18" ht="29.85" customHeight="1" x14ac:dyDescent="0.45">
      <c r="A1822" s="30">
        <v>38</v>
      </c>
      <c r="B1822" s="30"/>
      <c r="C1822" s="30"/>
      <c r="D1822" s="30"/>
      <c r="E1822" s="30"/>
      <c r="F1822" s="30"/>
      <c r="G1822" s="30"/>
      <c r="H1822" s="30"/>
      <c r="I1822" s="30"/>
      <c r="J1822" s="30"/>
      <c r="K1822" s="30"/>
      <c r="L1822" s="30"/>
      <c r="M1822" s="30"/>
      <c r="N1822" s="30" t="str" cm="1">
        <f t="array" ref="N1822">Main_Log_Status(Main_Log[[#This Row],[Carrier]],Main_Log[[#This Row],[Net Weight]])</f>
        <v/>
      </c>
      <c r="O1822" s="30"/>
      <c r="P182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22" s="30"/>
      <c r="R1822" s="30" t="str" cm="1">
        <f t="array" ref="R1822">Main_Log_Ref(Main_Log[[#This Row],[Carrier]])</f>
        <v/>
      </c>
    </row>
    <row r="1823" spans="1:18" ht="29.85" customHeight="1" x14ac:dyDescent="0.45">
      <c r="A1823" s="30">
        <v>39</v>
      </c>
      <c r="B1823" s="30"/>
      <c r="C1823" s="30"/>
      <c r="D1823" s="30"/>
      <c r="E1823" s="30"/>
      <c r="F1823" s="30"/>
      <c r="G1823" s="30"/>
      <c r="H1823" s="30"/>
      <c r="I1823" s="30"/>
      <c r="J1823" s="30"/>
      <c r="K1823" s="30"/>
      <c r="L1823" s="30"/>
      <c r="M1823" s="30"/>
      <c r="N1823" s="30" t="str" cm="1">
        <f t="array" ref="N1823">Main_Log_Status(Main_Log[[#This Row],[Carrier]],Main_Log[[#This Row],[Net Weight]])</f>
        <v/>
      </c>
      <c r="O1823" s="30"/>
      <c r="P182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23" s="30"/>
      <c r="R1823" s="30" t="str" cm="1">
        <f t="array" ref="R1823">Main_Log_Ref(Main_Log[[#This Row],[Carrier]])</f>
        <v/>
      </c>
    </row>
    <row r="1824" spans="1:18" ht="29.85" customHeight="1" x14ac:dyDescent="0.45">
      <c r="A1824" s="30">
        <v>40</v>
      </c>
      <c r="B1824" s="30"/>
      <c r="C1824" s="30"/>
      <c r="D1824" s="30"/>
      <c r="E1824" s="30"/>
      <c r="F1824" s="30"/>
      <c r="G1824" s="30"/>
      <c r="H1824" s="30"/>
      <c r="I1824" s="30"/>
      <c r="J1824" s="30"/>
      <c r="K1824" s="30"/>
      <c r="L1824" s="30"/>
      <c r="M1824" s="30"/>
      <c r="N1824" s="30" t="str" cm="1">
        <f t="array" ref="N1824">Main_Log_Status(Main_Log[[#This Row],[Carrier]],Main_Log[[#This Row],[Net Weight]])</f>
        <v/>
      </c>
      <c r="O1824" s="30"/>
      <c r="P182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24" s="30"/>
      <c r="R1824" s="30" t="str" cm="1">
        <f t="array" ref="R1824">Main_Log_Ref(Main_Log[[#This Row],[Carrier]])</f>
        <v/>
      </c>
    </row>
    <row r="1825" spans="1:18" ht="29.85" customHeight="1" x14ac:dyDescent="0.45">
      <c r="A1825" s="30">
        <v>41</v>
      </c>
      <c r="B1825" s="30"/>
      <c r="C1825" s="30"/>
      <c r="D1825" s="30"/>
      <c r="E1825" s="30"/>
      <c r="F1825" s="30"/>
      <c r="G1825" s="30"/>
      <c r="H1825" s="30"/>
      <c r="I1825" s="30"/>
      <c r="J1825" s="30"/>
      <c r="K1825" s="30"/>
      <c r="L1825" s="30"/>
      <c r="M1825" s="30"/>
      <c r="N1825" s="30" t="str" cm="1">
        <f t="array" ref="N1825">Main_Log_Status(Main_Log[[#This Row],[Carrier]],Main_Log[[#This Row],[Net Weight]])</f>
        <v/>
      </c>
      <c r="O1825" s="30"/>
      <c r="P182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25" s="30"/>
      <c r="R1825" s="30" t="str" cm="1">
        <f t="array" ref="R1825">Main_Log_Ref(Main_Log[[#This Row],[Carrier]])</f>
        <v/>
      </c>
    </row>
    <row r="1826" spans="1:18" ht="29.85" customHeight="1" x14ac:dyDescent="0.45">
      <c r="A1826" s="30">
        <v>42</v>
      </c>
      <c r="B1826" s="30"/>
      <c r="C1826" s="30"/>
      <c r="D1826" s="30"/>
      <c r="E1826" s="30"/>
      <c r="F1826" s="30"/>
      <c r="G1826" s="30"/>
      <c r="H1826" s="30"/>
      <c r="I1826" s="30"/>
      <c r="J1826" s="30"/>
      <c r="K1826" s="30"/>
      <c r="L1826" s="30"/>
      <c r="M1826" s="30"/>
      <c r="N1826" s="30" t="str" cm="1">
        <f t="array" ref="N1826">Main_Log_Status(Main_Log[[#This Row],[Carrier]],Main_Log[[#This Row],[Net Weight]])</f>
        <v/>
      </c>
      <c r="O1826" s="30"/>
      <c r="P182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26" s="30"/>
      <c r="R1826" s="30" t="str" cm="1">
        <f t="array" ref="R1826">Main_Log_Ref(Main_Log[[#This Row],[Carrier]])</f>
        <v/>
      </c>
    </row>
    <row r="1827" spans="1:18" ht="29.85" customHeight="1" x14ac:dyDescent="0.45">
      <c r="A1827" s="30">
        <v>43</v>
      </c>
      <c r="B1827" s="30"/>
      <c r="C1827" s="30"/>
      <c r="D1827" s="30"/>
      <c r="E1827" s="30"/>
      <c r="F1827" s="30"/>
      <c r="G1827" s="30"/>
      <c r="H1827" s="30"/>
      <c r="I1827" s="30"/>
      <c r="J1827" s="30"/>
      <c r="K1827" s="30"/>
      <c r="L1827" s="30"/>
      <c r="M1827" s="30"/>
      <c r="N1827" s="30" t="str" cm="1">
        <f t="array" ref="N1827">Main_Log_Status(Main_Log[[#This Row],[Carrier]],Main_Log[[#This Row],[Net Weight]])</f>
        <v/>
      </c>
      <c r="O1827" s="30"/>
      <c r="P182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27" s="30"/>
      <c r="R1827" s="30" t="str" cm="1">
        <f t="array" ref="R1827">Main_Log_Ref(Main_Log[[#This Row],[Carrier]])</f>
        <v/>
      </c>
    </row>
    <row r="1828" spans="1:18" ht="29.85" customHeight="1" x14ac:dyDescent="0.45">
      <c r="A1828" s="30">
        <v>44</v>
      </c>
      <c r="B1828" s="30"/>
      <c r="C1828" s="30"/>
      <c r="D1828" s="30"/>
      <c r="E1828" s="30"/>
      <c r="F1828" s="30"/>
      <c r="G1828" s="30"/>
      <c r="H1828" s="30"/>
      <c r="I1828" s="30"/>
      <c r="J1828" s="30"/>
      <c r="K1828" s="30"/>
      <c r="L1828" s="30"/>
      <c r="M1828" s="30"/>
      <c r="N1828" s="30" t="str" cm="1">
        <f t="array" ref="N1828">Main_Log_Status(Main_Log[[#This Row],[Carrier]],Main_Log[[#This Row],[Net Weight]])</f>
        <v/>
      </c>
      <c r="O1828" s="30"/>
      <c r="P182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28" s="30"/>
      <c r="R1828" s="30" t="str" cm="1">
        <f t="array" ref="R1828">Main_Log_Ref(Main_Log[[#This Row],[Carrier]])</f>
        <v/>
      </c>
    </row>
    <row r="1829" spans="1:18" ht="29.85" customHeight="1" x14ac:dyDescent="0.45">
      <c r="A1829" s="30">
        <v>45</v>
      </c>
      <c r="B1829" s="30"/>
      <c r="C1829" s="30"/>
      <c r="D1829" s="30"/>
      <c r="E1829" s="30"/>
      <c r="F1829" s="30"/>
      <c r="G1829" s="30"/>
      <c r="H1829" s="30"/>
      <c r="I1829" s="30"/>
      <c r="J1829" s="30"/>
      <c r="K1829" s="30"/>
      <c r="L1829" s="30"/>
      <c r="M1829" s="30"/>
      <c r="N1829" s="30" t="str" cm="1">
        <f t="array" ref="N1829">Main_Log_Status(Main_Log[[#This Row],[Carrier]],Main_Log[[#This Row],[Net Weight]])</f>
        <v/>
      </c>
      <c r="O1829" s="30"/>
      <c r="P182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29" s="30"/>
      <c r="R1829" s="30" t="str" cm="1">
        <f t="array" ref="R1829">Main_Log_Ref(Main_Log[[#This Row],[Carrier]])</f>
        <v/>
      </c>
    </row>
    <row r="1830" spans="1:18" ht="29.85" customHeight="1" x14ac:dyDescent="0.45">
      <c r="A1830" s="30">
        <v>46</v>
      </c>
      <c r="B1830" s="30"/>
      <c r="C1830" s="30"/>
      <c r="D1830" s="30"/>
      <c r="E1830" s="30"/>
      <c r="F1830" s="30"/>
      <c r="G1830" s="30"/>
      <c r="H1830" s="30"/>
      <c r="I1830" s="30"/>
      <c r="J1830" s="30"/>
      <c r="K1830" s="30"/>
      <c r="L1830" s="30"/>
      <c r="M1830" s="30"/>
      <c r="N1830" s="30" t="str" cm="1">
        <f t="array" ref="N1830">Main_Log_Status(Main_Log[[#This Row],[Carrier]],Main_Log[[#This Row],[Net Weight]])</f>
        <v/>
      </c>
      <c r="O1830" s="30"/>
      <c r="P183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30" s="30"/>
      <c r="R1830" s="30" t="str" cm="1">
        <f t="array" ref="R1830">Main_Log_Ref(Main_Log[[#This Row],[Carrier]])</f>
        <v/>
      </c>
    </row>
    <row r="1831" spans="1:18" ht="29.85" customHeight="1" x14ac:dyDescent="0.45">
      <c r="A1831" s="30">
        <v>47</v>
      </c>
      <c r="B1831" s="30"/>
      <c r="C1831" s="30"/>
      <c r="D1831" s="30"/>
      <c r="E1831" s="30"/>
      <c r="F1831" s="30"/>
      <c r="G1831" s="30"/>
      <c r="H1831" s="30"/>
      <c r="I1831" s="30"/>
      <c r="J1831" s="30"/>
      <c r="K1831" s="30"/>
      <c r="L1831" s="30"/>
      <c r="M1831" s="30"/>
      <c r="N1831" s="30" t="str" cm="1">
        <f t="array" ref="N1831">Main_Log_Status(Main_Log[[#This Row],[Carrier]],Main_Log[[#This Row],[Net Weight]])</f>
        <v/>
      </c>
      <c r="O1831" s="30"/>
      <c r="P183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31" s="30"/>
      <c r="R1831" s="30" t="str" cm="1">
        <f t="array" ref="R1831">Main_Log_Ref(Main_Log[[#This Row],[Carrier]])</f>
        <v/>
      </c>
    </row>
    <row r="1832" spans="1:18" ht="29.85" customHeight="1" x14ac:dyDescent="0.45">
      <c r="A1832" s="30">
        <v>48</v>
      </c>
      <c r="B1832" s="30"/>
      <c r="C1832" s="30"/>
      <c r="D1832" s="30"/>
      <c r="E1832" s="30"/>
      <c r="F1832" s="30"/>
      <c r="G1832" s="30"/>
      <c r="H1832" s="30"/>
      <c r="I1832" s="30"/>
      <c r="J1832" s="30"/>
      <c r="K1832" s="30"/>
      <c r="L1832" s="30"/>
      <c r="M1832" s="30"/>
      <c r="N1832" s="30" t="str" cm="1">
        <f t="array" ref="N1832">Main_Log_Status(Main_Log[[#This Row],[Carrier]],Main_Log[[#This Row],[Net Weight]])</f>
        <v/>
      </c>
      <c r="O1832" s="30"/>
      <c r="P183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32" s="30"/>
      <c r="R1832" s="30" t="str" cm="1">
        <f t="array" ref="R1832">Main_Log_Ref(Main_Log[[#This Row],[Carrier]])</f>
        <v/>
      </c>
    </row>
    <row r="1833" spans="1:18" ht="29.85" customHeight="1" x14ac:dyDescent="0.45">
      <c r="A1833" s="30">
        <v>49</v>
      </c>
      <c r="B1833" s="30"/>
      <c r="C1833" s="30"/>
      <c r="D1833" s="30"/>
      <c r="E1833" s="30"/>
      <c r="F1833" s="30"/>
      <c r="G1833" s="30"/>
      <c r="H1833" s="30"/>
      <c r="I1833" s="30"/>
      <c r="J1833" s="30"/>
      <c r="K1833" s="30"/>
      <c r="L1833" s="30"/>
      <c r="M1833" s="30"/>
      <c r="N1833" s="30" t="str" cm="1">
        <f t="array" ref="N1833">Main_Log_Status(Main_Log[[#This Row],[Carrier]],Main_Log[[#This Row],[Net Weight]])</f>
        <v/>
      </c>
      <c r="O1833" s="30"/>
      <c r="P183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33" s="30"/>
      <c r="R1833" s="30" t="str" cm="1">
        <f t="array" ref="R1833">Main_Log_Ref(Main_Log[[#This Row],[Carrier]])</f>
        <v/>
      </c>
    </row>
    <row r="1834" spans="1:18" ht="29.85" customHeight="1" x14ac:dyDescent="0.45">
      <c r="A1834" s="30">
        <v>50</v>
      </c>
      <c r="B1834" s="30"/>
      <c r="C1834" s="30"/>
      <c r="D1834" s="30"/>
      <c r="E1834" s="30"/>
      <c r="F1834" s="30"/>
      <c r="G1834" s="30"/>
      <c r="H1834" s="30"/>
      <c r="I1834" s="30"/>
      <c r="J1834" s="30"/>
      <c r="K1834" s="30"/>
      <c r="L1834" s="30"/>
      <c r="M1834" s="30"/>
      <c r="N1834" s="30" t="str" cm="1">
        <f t="array" ref="N1834">Main_Log_Status(Main_Log[[#This Row],[Carrier]],Main_Log[[#This Row],[Net Weight]])</f>
        <v/>
      </c>
      <c r="O1834" s="30"/>
      <c r="P183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34" s="30"/>
      <c r="R1834" s="30" t="str" cm="1">
        <f t="array" ref="R1834">Main_Log_Ref(Main_Log[[#This Row],[Carrier]])</f>
        <v/>
      </c>
    </row>
    <row r="1835" spans="1:18" ht="29.85" customHeight="1" x14ac:dyDescent="0.45">
      <c r="A1835" s="30">
        <v>51</v>
      </c>
      <c r="B1835" s="30"/>
      <c r="C1835" s="30"/>
      <c r="D1835" s="30"/>
      <c r="E1835" s="30"/>
      <c r="F1835" s="30"/>
      <c r="G1835" s="30"/>
      <c r="H1835" s="30"/>
      <c r="I1835" s="30"/>
      <c r="J1835" s="30"/>
      <c r="K1835" s="30"/>
      <c r="L1835" s="30"/>
      <c r="M1835" s="30"/>
      <c r="N1835" s="30" t="str" cm="1">
        <f t="array" ref="N1835">Main_Log_Status(Main_Log[[#This Row],[Carrier]],Main_Log[[#This Row],[Net Weight]])</f>
        <v/>
      </c>
      <c r="O1835" s="30"/>
      <c r="P183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35" s="30"/>
      <c r="R1835" s="30" t="str" cm="1">
        <f t="array" ref="R1835">Main_Log_Ref(Main_Log[[#This Row],[Carrier]])</f>
        <v/>
      </c>
    </row>
    <row r="1836" spans="1:18" ht="29.85" customHeight="1" x14ac:dyDescent="0.45">
      <c r="A1836" s="30">
        <v>52</v>
      </c>
      <c r="B1836" s="30"/>
      <c r="C1836" s="30"/>
      <c r="D1836" s="30"/>
      <c r="E1836" s="30"/>
      <c r="F1836" s="30"/>
      <c r="G1836" s="30"/>
      <c r="H1836" s="30"/>
      <c r="I1836" s="30"/>
      <c r="J1836" s="30"/>
      <c r="K1836" s="30"/>
      <c r="L1836" s="30"/>
      <c r="M1836" s="30"/>
      <c r="N1836" s="30" t="str" cm="1">
        <f t="array" ref="N1836">Main_Log_Status(Main_Log[[#This Row],[Carrier]],Main_Log[[#This Row],[Net Weight]])</f>
        <v/>
      </c>
      <c r="O1836" s="30"/>
      <c r="P183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36" s="30"/>
      <c r="R1836" s="30" t="str" cm="1">
        <f t="array" ref="R1836">Main_Log_Ref(Main_Log[[#This Row],[Carrier]])</f>
        <v/>
      </c>
    </row>
    <row r="1837" spans="1:18" ht="29.85" customHeight="1" x14ac:dyDescent="0.45">
      <c r="A1837" s="30">
        <v>53</v>
      </c>
      <c r="B1837" s="30"/>
      <c r="C1837" s="30"/>
      <c r="D1837" s="30"/>
      <c r="E1837" s="30"/>
      <c r="F1837" s="30"/>
      <c r="G1837" s="30"/>
      <c r="H1837" s="30"/>
      <c r="I1837" s="30"/>
      <c r="J1837" s="30"/>
      <c r="K1837" s="30"/>
      <c r="L1837" s="30"/>
      <c r="M1837" s="30"/>
      <c r="N1837" s="30" t="str" cm="1">
        <f t="array" ref="N1837">Main_Log_Status(Main_Log[[#This Row],[Carrier]],Main_Log[[#This Row],[Net Weight]])</f>
        <v/>
      </c>
      <c r="O1837" s="30"/>
      <c r="P183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37" s="30"/>
      <c r="R1837" s="30" t="str" cm="1">
        <f t="array" ref="R1837">Main_Log_Ref(Main_Log[[#This Row],[Carrier]])</f>
        <v/>
      </c>
    </row>
    <row r="1838" spans="1:18" ht="29.85" customHeight="1" x14ac:dyDescent="0.45">
      <c r="A1838" s="30">
        <v>54</v>
      </c>
      <c r="B1838" s="30"/>
      <c r="C1838" s="30"/>
      <c r="D1838" s="30"/>
      <c r="E1838" s="30"/>
      <c r="F1838" s="30"/>
      <c r="G1838" s="30"/>
      <c r="H1838" s="30"/>
      <c r="I1838" s="30"/>
      <c r="J1838" s="30"/>
      <c r="K1838" s="30"/>
      <c r="L1838" s="30"/>
      <c r="M1838" s="30"/>
      <c r="N1838" s="30" t="str" cm="1">
        <f t="array" ref="N1838">Main_Log_Status(Main_Log[[#This Row],[Carrier]],Main_Log[[#This Row],[Net Weight]])</f>
        <v/>
      </c>
      <c r="O1838" s="30"/>
      <c r="P183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38" s="30"/>
      <c r="R1838" s="30" t="str" cm="1">
        <f t="array" ref="R1838">Main_Log_Ref(Main_Log[[#This Row],[Carrier]])</f>
        <v/>
      </c>
    </row>
    <row r="1839" spans="1:18" ht="29.85" customHeight="1" x14ac:dyDescent="0.45">
      <c r="A1839" s="30">
        <v>55</v>
      </c>
      <c r="B1839" s="30"/>
      <c r="C1839" s="30"/>
      <c r="D1839" s="30"/>
      <c r="E1839" s="30"/>
      <c r="F1839" s="30"/>
      <c r="G1839" s="30"/>
      <c r="H1839" s="30"/>
      <c r="I1839" s="30"/>
      <c r="J1839" s="30"/>
      <c r="K1839" s="30"/>
      <c r="L1839" s="30"/>
      <c r="M1839" s="30"/>
      <c r="N1839" s="30" t="str" cm="1">
        <f t="array" ref="N1839">Main_Log_Status(Main_Log[[#This Row],[Carrier]],Main_Log[[#This Row],[Net Weight]])</f>
        <v/>
      </c>
      <c r="O1839" s="30"/>
      <c r="P183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39" s="30"/>
      <c r="R1839" s="30" t="str" cm="1">
        <f t="array" ref="R1839">Main_Log_Ref(Main_Log[[#This Row],[Carrier]])</f>
        <v/>
      </c>
    </row>
    <row r="1840" spans="1:18" ht="29.85" customHeight="1" x14ac:dyDescent="0.45">
      <c r="A1840" s="30">
        <v>56</v>
      </c>
      <c r="B1840" s="30"/>
      <c r="C1840" s="30"/>
      <c r="D1840" s="30"/>
      <c r="E1840" s="30"/>
      <c r="F1840" s="30"/>
      <c r="G1840" s="30"/>
      <c r="H1840" s="30"/>
      <c r="I1840" s="30"/>
      <c r="J1840" s="30"/>
      <c r="K1840" s="30"/>
      <c r="L1840" s="30"/>
      <c r="M1840" s="30"/>
      <c r="N1840" s="30" t="str" cm="1">
        <f t="array" ref="N1840">Main_Log_Status(Main_Log[[#This Row],[Carrier]],Main_Log[[#This Row],[Net Weight]])</f>
        <v/>
      </c>
      <c r="O1840" s="30"/>
      <c r="P184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40" s="30"/>
      <c r="R1840" s="30" t="str" cm="1">
        <f t="array" ref="R1840">Main_Log_Ref(Main_Log[[#This Row],[Carrier]])</f>
        <v/>
      </c>
    </row>
    <row r="1841" spans="1:18" ht="29.85" customHeight="1" x14ac:dyDescent="0.45">
      <c r="A1841" s="30">
        <v>57</v>
      </c>
      <c r="B1841" s="30"/>
      <c r="C1841" s="30"/>
      <c r="D1841" s="30"/>
      <c r="E1841" s="30"/>
      <c r="F1841" s="30"/>
      <c r="G1841" s="30"/>
      <c r="H1841" s="30"/>
      <c r="I1841" s="30"/>
      <c r="J1841" s="30"/>
      <c r="K1841" s="30"/>
      <c r="L1841" s="30"/>
      <c r="M1841" s="30"/>
      <c r="N1841" s="30" t="str" cm="1">
        <f t="array" ref="N1841">Main_Log_Status(Main_Log[[#This Row],[Carrier]],Main_Log[[#This Row],[Net Weight]])</f>
        <v/>
      </c>
      <c r="O1841" s="30"/>
      <c r="P184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41" s="30"/>
      <c r="R1841" s="30" t="str" cm="1">
        <f t="array" ref="R1841">Main_Log_Ref(Main_Log[[#This Row],[Carrier]])</f>
        <v/>
      </c>
    </row>
    <row r="1842" spans="1:18" ht="29.85" customHeight="1" x14ac:dyDescent="0.45">
      <c r="A1842" s="30">
        <v>58</v>
      </c>
      <c r="B1842" s="30"/>
      <c r="C1842" s="30"/>
      <c r="D1842" s="30"/>
      <c r="E1842" s="30"/>
      <c r="F1842" s="30"/>
      <c r="G1842" s="30"/>
      <c r="H1842" s="30"/>
      <c r="I1842" s="30"/>
      <c r="J1842" s="30"/>
      <c r="K1842" s="30"/>
      <c r="L1842" s="30"/>
      <c r="M1842" s="30"/>
      <c r="N1842" s="30" t="str" cm="1">
        <f t="array" ref="N1842">Main_Log_Status(Main_Log[[#This Row],[Carrier]],Main_Log[[#This Row],[Net Weight]])</f>
        <v/>
      </c>
      <c r="O1842" s="30"/>
      <c r="P184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42" s="30"/>
      <c r="R1842" s="30" t="str" cm="1">
        <f t="array" ref="R1842">Main_Log_Ref(Main_Log[[#This Row],[Carrier]])</f>
        <v/>
      </c>
    </row>
    <row r="1843" spans="1:18" ht="29.85" customHeight="1" x14ac:dyDescent="0.45">
      <c r="A1843" s="30">
        <v>59</v>
      </c>
      <c r="B1843" s="30"/>
      <c r="C1843" s="30"/>
      <c r="D1843" s="30"/>
      <c r="E1843" s="30"/>
      <c r="F1843" s="30"/>
      <c r="G1843" s="30"/>
      <c r="H1843" s="30"/>
      <c r="I1843" s="30"/>
      <c r="J1843" s="30"/>
      <c r="K1843" s="30"/>
      <c r="L1843" s="30"/>
      <c r="M1843" s="30"/>
      <c r="N1843" s="30" t="str" cm="1">
        <f t="array" ref="N1843">Main_Log_Status(Main_Log[[#This Row],[Carrier]],Main_Log[[#This Row],[Net Weight]])</f>
        <v/>
      </c>
      <c r="O1843" s="30"/>
      <c r="P184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43" s="30"/>
      <c r="R1843" s="30" t="str" cm="1">
        <f t="array" ref="R1843">Main_Log_Ref(Main_Log[[#This Row],[Carrier]])</f>
        <v/>
      </c>
    </row>
    <row r="1844" spans="1:18" ht="29.85" customHeight="1" x14ac:dyDescent="0.45">
      <c r="A1844" s="30">
        <v>60</v>
      </c>
      <c r="B1844" s="30"/>
      <c r="C1844" s="30"/>
      <c r="D1844" s="30"/>
      <c r="E1844" s="30"/>
      <c r="F1844" s="30"/>
      <c r="G1844" s="30"/>
      <c r="H1844" s="30"/>
      <c r="I1844" s="30"/>
      <c r="J1844" s="30"/>
      <c r="K1844" s="30"/>
      <c r="L1844" s="30"/>
      <c r="M1844" s="30"/>
      <c r="N1844" s="30" t="str" cm="1">
        <f t="array" ref="N1844">Main_Log_Status(Main_Log[[#This Row],[Carrier]],Main_Log[[#This Row],[Net Weight]])</f>
        <v/>
      </c>
      <c r="O1844" s="30"/>
      <c r="P184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44" s="30"/>
      <c r="R1844" s="30" t="str" cm="1">
        <f t="array" ref="R1844">Main_Log_Ref(Main_Log[[#This Row],[Carrier]])</f>
        <v/>
      </c>
    </row>
    <row r="1845" spans="1:18" ht="29.85" customHeight="1" x14ac:dyDescent="0.45">
      <c r="A1845" s="30">
        <v>61</v>
      </c>
      <c r="B1845" s="30"/>
      <c r="C1845" s="30"/>
      <c r="D1845" s="30"/>
      <c r="E1845" s="30"/>
      <c r="F1845" s="30"/>
      <c r="G1845" s="30"/>
      <c r="H1845" s="30"/>
      <c r="I1845" s="30"/>
      <c r="J1845" s="30"/>
      <c r="K1845" s="30"/>
      <c r="L1845" s="30"/>
      <c r="M1845" s="30"/>
      <c r="N1845" s="30" t="str" cm="1">
        <f t="array" ref="N1845">Main_Log_Status(Main_Log[[#This Row],[Carrier]],Main_Log[[#This Row],[Net Weight]])</f>
        <v/>
      </c>
      <c r="O1845" s="30"/>
      <c r="P184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45" s="30"/>
      <c r="R1845" s="30" t="str" cm="1">
        <f t="array" ref="R1845">Main_Log_Ref(Main_Log[[#This Row],[Carrier]])</f>
        <v/>
      </c>
    </row>
    <row r="1846" spans="1:18" ht="29.85" customHeight="1" x14ac:dyDescent="0.45">
      <c r="A1846" s="30">
        <v>62</v>
      </c>
      <c r="B1846" s="30"/>
      <c r="C1846" s="30"/>
      <c r="D1846" s="30"/>
      <c r="E1846" s="30"/>
      <c r="F1846" s="30"/>
      <c r="G1846" s="30"/>
      <c r="H1846" s="30"/>
      <c r="I1846" s="30"/>
      <c r="J1846" s="30"/>
      <c r="K1846" s="30"/>
      <c r="L1846" s="30"/>
      <c r="M1846" s="30"/>
      <c r="N1846" s="30" t="str" cm="1">
        <f t="array" ref="N1846">Main_Log_Status(Main_Log[[#This Row],[Carrier]],Main_Log[[#This Row],[Net Weight]])</f>
        <v/>
      </c>
      <c r="O1846" s="30"/>
      <c r="P184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46" s="30"/>
      <c r="R1846" s="30" t="str" cm="1">
        <f t="array" ref="R1846">Main_Log_Ref(Main_Log[[#This Row],[Carrier]])</f>
        <v/>
      </c>
    </row>
    <row r="1847" spans="1:18" ht="29.85" customHeight="1" x14ac:dyDescent="0.45">
      <c r="A1847" s="30">
        <v>63</v>
      </c>
      <c r="B1847" s="30"/>
      <c r="C1847" s="30"/>
      <c r="D1847" s="30"/>
      <c r="E1847" s="30"/>
      <c r="F1847" s="30"/>
      <c r="G1847" s="30"/>
      <c r="H1847" s="30"/>
      <c r="I1847" s="30"/>
      <c r="J1847" s="30"/>
      <c r="K1847" s="30"/>
      <c r="L1847" s="30"/>
      <c r="M1847" s="30"/>
      <c r="N1847" s="30" t="str" cm="1">
        <f t="array" ref="N1847">Main_Log_Status(Main_Log[[#This Row],[Carrier]],Main_Log[[#This Row],[Net Weight]])</f>
        <v/>
      </c>
      <c r="O1847" s="30"/>
      <c r="P184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47" s="30"/>
      <c r="R1847" s="30" t="str" cm="1">
        <f t="array" ref="R1847">Main_Log_Ref(Main_Log[[#This Row],[Carrier]])</f>
        <v/>
      </c>
    </row>
    <row r="1848" spans="1:18" ht="29.85" customHeight="1" x14ac:dyDescent="0.45">
      <c r="A1848" s="30">
        <v>64</v>
      </c>
      <c r="B1848" s="30"/>
      <c r="C1848" s="30"/>
      <c r="D1848" s="30"/>
      <c r="E1848" s="30"/>
      <c r="F1848" s="30"/>
      <c r="G1848" s="30"/>
      <c r="H1848" s="30"/>
      <c r="I1848" s="30"/>
      <c r="J1848" s="30"/>
      <c r="K1848" s="30"/>
      <c r="L1848" s="30"/>
      <c r="M1848" s="30"/>
      <c r="N1848" s="30" t="str" cm="1">
        <f t="array" ref="N1848">Main_Log_Status(Main_Log[[#This Row],[Carrier]],Main_Log[[#This Row],[Net Weight]])</f>
        <v/>
      </c>
      <c r="O1848" s="30"/>
      <c r="P184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48" s="30"/>
      <c r="R1848" s="30" t="str" cm="1">
        <f t="array" ref="R1848">Main_Log_Ref(Main_Log[[#This Row],[Carrier]])</f>
        <v/>
      </c>
    </row>
    <row r="1849" spans="1:18" ht="29.85" customHeight="1" x14ac:dyDescent="0.45">
      <c r="A1849" s="30">
        <v>65</v>
      </c>
      <c r="B1849" s="30"/>
      <c r="C1849" s="30"/>
      <c r="D1849" s="30"/>
      <c r="E1849" s="30"/>
      <c r="F1849" s="30"/>
      <c r="G1849" s="30"/>
      <c r="H1849" s="30"/>
      <c r="I1849" s="30"/>
      <c r="J1849" s="30"/>
      <c r="K1849" s="30"/>
      <c r="L1849" s="30"/>
      <c r="M1849" s="30"/>
      <c r="N1849" s="30" t="str" cm="1">
        <f t="array" ref="N1849">Main_Log_Status(Main_Log[[#This Row],[Carrier]],Main_Log[[#This Row],[Net Weight]])</f>
        <v/>
      </c>
      <c r="O1849" s="30"/>
      <c r="P184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49" s="30"/>
      <c r="R1849" s="30" t="str" cm="1">
        <f t="array" ref="R1849">Main_Log_Ref(Main_Log[[#This Row],[Carrier]])</f>
        <v/>
      </c>
    </row>
    <row r="1850" spans="1:18" ht="29.85" customHeight="1" x14ac:dyDescent="0.45">
      <c r="A1850" s="30">
        <v>66</v>
      </c>
      <c r="B1850" s="30"/>
      <c r="C1850" s="30"/>
      <c r="D1850" s="30"/>
      <c r="E1850" s="30"/>
      <c r="F1850" s="30"/>
      <c r="G1850" s="30"/>
      <c r="H1850" s="30"/>
      <c r="I1850" s="30"/>
      <c r="J1850" s="30"/>
      <c r="K1850" s="30"/>
      <c r="L1850" s="30"/>
      <c r="M1850" s="30"/>
      <c r="N1850" s="30" t="str" cm="1">
        <f t="array" ref="N1850">Main_Log_Status(Main_Log[[#This Row],[Carrier]],Main_Log[[#This Row],[Net Weight]])</f>
        <v/>
      </c>
      <c r="O1850" s="30"/>
      <c r="P185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50" s="30"/>
      <c r="R1850" s="30" t="str" cm="1">
        <f t="array" ref="R1850">Main_Log_Ref(Main_Log[[#This Row],[Carrier]])</f>
        <v/>
      </c>
    </row>
    <row r="1851" spans="1:18" ht="29.85" customHeight="1" x14ac:dyDescent="0.45">
      <c r="A1851" s="30">
        <v>67</v>
      </c>
      <c r="B1851" s="30"/>
      <c r="C1851" s="30"/>
      <c r="D1851" s="30"/>
      <c r="E1851" s="30"/>
      <c r="F1851" s="30"/>
      <c r="G1851" s="30"/>
      <c r="H1851" s="30"/>
      <c r="I1851" s="30"/>
      <c r="J1851" s="30"/>
      <c r="K1851" s="30"/>
      <c r="L1851" s="30"/>
      <c r="M1851" s="30"/>
      <c r="N1851" s="30" t="str" cm="1">
        <f t="array" ref="N1851">Main_Log_Status(Main_Log[[#This Row],[Carrier]],Main_Log[[#This Row],[Net Weight]])</f>
        <v/>
      </c>
      <c r="O1851" s="30"/>
      <c r="P185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51" s="30"/>
      <c r="R1851" s="30" t="str" cm="1">
        <f t="array" ref="R1851">Main_Log_Ref(Main_Log[[#This Row],[Carrier]])</f>
        <v/>
      </c>
    </row>
    <row r="1852" spans="1:18" ht="29.85" customHeight="1" x14ac:dyDescent="0.45">
      <c r="A1852" s="30">
        <v>68</v>
      </c>
      <c r="B1852" s="30"/>
      <c r="C1852" s="30"/>
      <c r="D1852" s="30"/>
      <c r="E1852" s="30"/>
      <c r="F1852" s="30"/>
      <c r="G1852" s="30"/>
      <c r="H1852" s="30"/>
      <c r="I1852" s="30"/>
      <c r="J1852" s="30"/>
      <c r="K1852" s="30"/>
      <c r="L1852" s="30"/>
      <c r="M1852" s="30"/>
      <c r="N1852" s="30" t="str" cm="1">
        <f t="array" ref="N1852">Main_Log_Status(Main_Log[[#This Row],[Carrier]],Main_Log[[#This Row],[Net Weight]])</f>
        <v/>
      </c>
      <c r="O1852" s="30"/>
      <c r="P185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52" s="30"/>
      <c r="R1852" s="30" t="str" cm="1">
        <f t="array" ref="R1852">Main_Log_Ref(Main_Log[[#This Row],[Carrier]])</f>
        <v/>
      </c>
    </row>
    <row r="1853" spans="1:18" ht="29.85" customHeight="1" x14ac:dyDescent="0.45">
      <c r="A1853" s="30">
        <v>69</v>
      </c>
      <c r="B1853" s="30"/>
      <c r="C1853" s="30"/>
      <c r="D1853" s="30"/>
      <c r="E1853" s="30"/>
      <c r="F1853" s="30"/>
      <c r="G1853" s="30"/>
      <c r="H1853" s="30"/>
      <c r="I1853" s="30"/>
      <c r="J1853" s="30"/>
      <c r="K1853" s="30"/>
      <c r="L1853" s="30"/>
      <c r="M1853" s="30"/>
      <c r="N1853" s="30" t="str" cm="1">
        <f t="array" ref="N1853">Main_Log_Status(Main_Log[[#This Row],[Carrier]],Main_Log[[#This Row],[Net Weight]])</f>
        <v/>
      </c>
      <c r="O1853" s="30"/>
      <c r="P185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53" s="30"/>
      <c r="R1853" s="30" t="str" cm="1">
        <f t="array" ref="R1853">Main_Log_Ref(Main_Log[[#This Row],[Carrier]])</f>
        <v/>
      </c>
    </row>
    <row r="1854" spans="1:18" ht="29.85" customHeight="1" x14ac:dyDescent="0.45">
      <c r="A1854" s="30">
        <v>70</v>
      </c>
      <c r="B1854" s="30"/>
      <c r="C1854" s="30"/>
      <c r="D1854" s="30"/>
      <c r="E1854" s="30"/>
      <c r="F1854" s="30"/>
      <c r="G1854" s="30"/>
      <c r="H1854" s="30"/>
      <c r="I1854" s="30"/>
      <c r="J1854" s="30"/>
      <c r="K1854" s="30"/>
      <c r="L1854" s="30"/>
      <c r="M1854" s="30"/>
      <c r="N1854" s="30" t="str" cm="1">
        <f t="array" ref="N1854">Main_Log_Status(Main_Log[[#This Row],[Carrier]],Main_Log[[#This Row],[Net Weight]])</f>
        <v/>
      </c>
      <c r="O1854" s="30"/>
      <c r="P185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54" s="30"/>
      <c r="R1854" s="30" t="str" cm="1">
        <f t="array" ref="R1854">Main_Log_Ref(Main_Log[[#This Row],[Carrier]])</f>
        <v/>
      </c>
    </row>
    <row r="1855" spans="1:18" ht="29.85" customHeight="1" x14ac:dyDescent="0.45">
      <c r="A1855" s="30">
        <v>71</v>
      </c>
      <c r="B1855" s="30"/>
      <c r="C1855" s="30"/>
      <c r="D1855" s="30"/>
      <c r="E1855" s="30"/>
      <c r="F1855" s="30"/>
      <c r="G1855" s="30"/>
      <c r="H1855" s="30"/>
      <c r="I1855" s="30"/>
      <c r="J1855" s="30"/>
      <c r="K1855" s="30"/>
      <c r="L1855" s="30"/>
      <c r="M1855" s="30"/>
      <c r="N1855" s="30" t="str" cm="1">
        <f t="array" ref="N1855">Main_Log_Status(Main_Log[[#This Row],[Carrier]],Main_Log[[#This Row],[Net Weight]])</f>
        <v/>
      </c>
      <c r="O1855" s="30"/>
      <c r="P185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55" s="30"/>
      <c r="R1855" s="30" t="str" cm="1">
        <f t="array" ref="R1855">Main_Log_Ref(Main_Log[[#This Row],[Carrier]])</f>
        <v/>
      </c>
    </row>
    <row r="1856" spans="1:18" ht="29.85" customHeight="1" x14ac:dyDescent="0.45">
      <c r="A1856" s="30">
        <v>72</v>
      </c>
      <c r="B1856" s="30"/>
      <c r="C1856" s="30"/>
      <c r="D1856" s="30"/>
      <c r="E1856" s="30"/>
      <c r="F1856" s="30"/>
      <c r="G1856" s="30"/>
      <c r="H1856" s="30"/>
      <c r="I1856" s="30"/>
      <c r="J1856" s="30"/>
      <c r="K1856" s="30"/>
      <c r="L1856" s="30"/>
      <c r="M1856" s="30"/>
      <c r="N1856" s="30" t="str" cm="1">
        <f t="array" ref="N1856">Main_Log_Status(Main_Log[[#This Row],[Carrier]],Main_Log[[#This Row],[Net Weight]])</f>
        <v/>
      </c>
      <c r="O1856" s="30"/>
      <c r="P185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56" s="30"/>
      <c r="R1856" s="30" t="str" cm="1">
        <f t="array" ref="R1856">Main_Log_Ref(Main_Log[[#This Row],[Carrier]])</f>
        <v/>
      </c>
    </row>
    <row r="1857" spans="1:18" ht="29.85" customHeight="1" x14ac:dyDescent="0.45">
      <c r="A1857" s="30">
        <v>73</v>
      </c>
      <c r="B1857" s="30"/>
      <c r="C1857" s="30"/>
      <c r="D1857" s="30"/>
      <c r="E1857" s="30"/>
      <c r="F1857" s="30"/>
      <c r="G1857" s="30"/>
      <c r="H1857" s="30"/>
      <c r="I1857" s="30"/>
      <c r="J1857" s="30"/>
      <c r="K1857" s="30"/>
      <c r="L1857" s="30"/>
      <c r="M1857" s="30"/>
      <c r="N1857" s="30" t="str" cm="1">
        <f t="array" ref="N1857">Main_Log_Status(Main_Log[[#This Row],[Carrier]],Main_Log[[#This Row],[Net Weight]])</f>
        <v/>
      </c>
      <c r="O1857" s="30"/>
      <c r="P185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57" s="30"/>
      <c r="R1857" s="30" t="str" cm="1">
        <f t="array" ref="R1857">Main_Log_Ref(Main_Log[[#This Row],[Carrier]])</f>
        <v/>
      </c>
    </row>
    <row r="1858" spans="1:18" ht="29.85" customHeight="1" x14ac:dyDescent="0.45">
      <c r="A1858" s="30">
        <v>74</v>
      </c>
      <c r="B1858" s="30"/>
      <c r="C1858" s="30"/>
      <c r="D1858" s="30"/>
      <c r="E1858" s="30"/>
      <c r="F1858" s="30"/>
      <c r="G1858" s="30"/>
      <c r="H1858" s="30"/>
      <c r="I1858" s="30"/>
      <c r="J1858" s="30"/>
      <c r="K1858" s="30"/>
      <c r="L1858" s="30"/>
      <c r="M1858" s="30"/>
      <c r="N1858" s="30" t="str" cm="1">
        <f t="array" ref="N1858">Main_Log_Status(Main_Log[[#This Row],[Carrier]],Main_Log[[#This Row],[Net Weight]])</f>
        <v/>
      </c>
      <c r="O1858" s="30"/>
      <c r="P185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58" s="30"/>
      <c r="R1858" s="30" t="str" cm="1">
        <f t="array" ref="R1858">Main_Log_Ref(Main_Log[[#This Row],[Carrier]])</f>
        <v/>
      </c>
    </row>
    <row r="1859" spans="1:18" ht="29.85" customHeight="1" x14ac:dyDescent="0.45">
      <c r="A1859" s="30">
        <v>75</v>
      </c>
      <c r="B1859" s="30"/>
      <c r="C1859" s="30"/>
      <c r="D1859" s="30"/>
      <c r="E1859" s="30"/>
      <c r="F1859" s="30"/>
      <c r="G1859" s="30"/>
      <c r="H1859" s="30"/>
      <c r="I1859" s="30"/>
      <c r="J1859" s="30"/>
      <c r="K1859" s="30"/>
      <c r="L1859" s="30"/>
      <c r="M1859" s="30"/>
      <c r="N1859" s="30" t="str" cm="1">
        <f t="array" ref="N1859">Main_Log_Status(Main_Log[[#This Row],[Carrier]],Main_Log[[#This Row],[Net Weight]])</f>
        <v/>
      </c>
      <c r="O1859" s="30"/>
      <c r="P185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59" s="30"/>
      <c r="R1859" s="30" t="str" cm="1">
        <f t="array" ref="R1859">Main_Log_Ref(Main_Log[[#This Row],[Carrier]])</f>
        <v/>
      </c>
    </row>
    <row r="1860" spans="1:18" ht="29.85" customHeight="1" x14ac:dyDescent="0.45">
      <c r="A1860" s="30">
        <v>76</v>
      </c>
      <c r="B1860" s="30"/>
      <c r="C1860" s="30"/>
      <c r="D1860" s="30"/>
      <c r="E1860" s="30"/>
      <c r="F1860" s="30"/>
      <c r="G1860" s="30"/>
      <c r="H1860" s="30"/>
      <c r="I1860" s="30"/>
      <c r="J1860" s="30"/>
      <c r="K1860" s="30"/>
      <c r="L1860" s="30"/>
      <c r="M1860" s="30"/>
      <c r="N1860" s="30" t="str" cm="1">
        <f t="array" ref="N1860">Main_Log_Status(Main_Log[[#This Row],[Carrier]],Main_Log[[#This Row],[Net Weight]])</f>
        <v/>
      </c>
      <c r="O1860" s="30"/>
      <c r="P186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60" s="30"/>
      <c r="R1860" s="30" t="str" cm="1">
        <f t="array" ref="R1860">Main_Log_Ref(Main_Log[[#This Row],[Carrier]])</f>
        <v/>
      </c>
    </row>
    <row r="1861" spans="1:18" ht="29.85" customHeight="1" x14ac:dyDescent="0.45">
      <c r="A1861" s="30">
        <v>77</v>
      </c>
      <c r="B1861" s="30"/>
      <c r="C1861" s="30"/>
      <c r="D1861" s="30"/>
      <c r="E1861" s="30"/>
      <c r="F1861" s="30"/>
      <c r="G1861" s="30"/>
      <c r="H1861" s="30"/>
      <c r="I1861" s="30"/>
      <c r="J1861" s="30"/>
      <c r="K1861" s="30"/>
      <c r="L1861" s="30"/>
      <c r="M1861" s="30"/>
      <c r="N1861" s="30" t="str" cm="1">
        <f t="array" ref="N1861">Main_Log_Status(Main_Log[[#This Row],[Carrier]],Main_Log[[#This Row],[Net Weight]])</f>
        <v/>
      </c>
      <c r="O1861" s="30"/>
      <c r="P186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61" s="30"/>
      <c r="R1861" s="30" t="str" cm="1">
        <f t="array" ref="R1861">Main_Log_Ref(Main_Log[[#This Row],[Carrier]])</f>
        <v/>
      </c>
    </row>
    <row r="1862" spans="1:18" ht="29.85" customHeight="1" x14ac:dyDescent="0.45">
      <c r="A1862" s="30">
        <v>78</v>
      </c>
      <c r="B1862" s="30"/>
      <c r="C1862" s="30"/>
      <c r="D1862" s="30"/>
      <c r="E1862" s="30"/>
      <c r="F1862" s="30"/>
      <c r="G1862" s="30"/>
      <c r="H1862" s="30"/>
      <c r="I1862" s="30"/>
      <c r="J1862" s="30"/>
      <c r="K1862" s="30"/>
      <c r="L1862" s="30"/>
      <c r="M1862" s="30"/>
      <c r="N1862" s="30" t="str" cm="1">
        <f t="array" ref="N1862">Main_Log_Status(Main_Log[[#This Row],[Carrier]],Main_Log[[#This Row],[Net Weight]])</f>
        <v/>
      </c>
      <c r="O1862" s="30"/>
      <c r="P186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62" s="30"/>
      <c r="R1862" s="30" t="str" cm="1">
        <f t="array" ref="R1862">Main_Log_Ref(Main_Log[[#This Row],[Carrier]])</f>
        <v/>
      </c>
    </row>
    <row r="1863" spans="1:18" ht="29.85" customHeight="1" x14ac:dyDescent="0.45">
      <c r="A1863" s="30">
        <v>79</v>
      </c>
      <c r="B1863" s="30"/>
      <c r="C1863" s="30"/>
      <c r="D1863" s="30"/>
      <c r="E1863" s="30"/>
      <c r="F1863" s="30"/>
      <c r="G1863" s="30"/>
      <c r="H1863" s="30"/>
      <c r="I1863" s="30"/>
      <c r="J1863" s="30"/>
      <c r="K1863" s="30"/>
      <c r="L1863" s="30"/>
      <c r="M1863" s="30"/>
      <c r="N1863" s="30" t="str" cm="1">
        <f t="array" ref="N1863">Main_Log_Status(Main_Log[[#This Row],[Carrier]],Main_Log[[#This Row],[Net Weight]])</f>
        <v/>
      </c>
      <c r="O1863" s="30"/>
      <c r="P186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63" s="30"/>
      <c r="R1863" s="30" t="str" cm="1">
        <f t="array" ref="R1863">Main_Log_Ref(Main_Log[[#This Row],[Carrier]])</f>
        <v/>
      </c>
    </row>
    <row r="1864" spans="1:18" ht="29.85" customHeight="1" x14ac:dyDescent="0.45">
      <c r="A1864" s="30">
        <v>80</v>
      </c>
      <c r="B1864" s="30"/>
      <c r="C1864" s="30"/>
      <c r="D1864" s="30"/>
      <c r="E1864" s="30"/>
      <c r="F1864" s="30"/>
      <c r="G1864" s="30"/>
      <c r="H1864" s="30"/>
      <c r="I1864" s="30"/>
      <c r="J1864" s="30"/>
      <c r="K1864" s="30"/>
      <c r="L1864" s="30"/>
      <c r="M1864" s="30"/>
      <c r="N1864" s="30" t="str" cm="1">
        <f t="array" ref="N1864">Main_Log_Status(Main_Log[[#This Row],[Carrier]],Main_Log[[#This Row],[Net Weight]])</f>
        <v/>
      </c>
      <c r="O1864" s="30"/>
      <c r="P186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64" s="30"/>
      <c r="R1864" s="30" t="str" cm="1">
        <f t="array" ref="R1864">Main_Log_Ref(Main_Log[[#This Row],[Carrier]])</f>
        <v/>
      </c>
    </row>
    <row r="1865" spans="1:18" ht="29.85" customHeight="1" x14ac:dyDescent="0.45">
      <c r="A1865" s="30">
        <v>81</v>
      </c>
      <c r="B1865" s="30"/>
      <c r="C1865" s="30"/>
      <c r="D1865" s="30"/>
      <c r="E1865" s="30"/>
      <c r="F1865" s="30"/>
      <c r="G1865" s="30"/>
      <c r="H1865" s="30"/>
      <c r="I1865" s="30"/>
      <c r="J1865" s="30"/>
      <c r="K1865" s="30"/>
      <c r="L1865" s="30"/>
      <c r="M1865" s="30"/>
      <c r="N1865" s="30" t="str" cm="1">
        <f t="array" ref="N1865">Main_Log_Status(Main_Log[[#This Row],[Carrier]],Main_Log[[#This Row],[Net Weight]])</f>
        <v/>
      </c>
      <c r="O1865" s="30"/>
      <c r="P186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65" s="30"/>
      <c r="R1865" s="30" t="str" cm="1">
        <f t="array" ref="R1865">Main_Log_Ref(Main_Log[[#This Row],[Carrier]])</f>
        <v/>
      </c>
    </row>
    <row r="1866" spans="1:18" ht="29.85" customHeight="1" x14ac:dyDescent="0.45">
      <c r="A1866" s="30">
        <v>82</v>
      </c>
      <c r="B1866" s="30"/>
      <c r="C1866" s="30"/>
      <c r="D1866" s="30"/>
      <c r="E1866" s="30"/>
      <c r="F1866" s="30"/>
      <c r="G1866" s="30"/>
      <c r="H1866" s="30"/>
      <c r="I1866" s="30"/>
      <c r="J1866" s="30"/>
      <c r="K1866" s="30"/>
      <c r="L1866" s="30"/>
      <c r="M1866" s="30"/>
      <c r="N1866" s="30" t="str" cm="1">
        <f t="array" ref="N1866">Main_Log_Status(Main_Log[[#This Row],[Carrier]],Main_Log[[#This Row],[Net Weight]])</f>
        <v/>
      </c>
      <c r="O1866" s="30"/>
      <c r="P186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66" s="30"/>
      <c r="R1866" s="30" t="str" cm="1">
        <f t="array" ref="R1866">Main_Log_Ref(Main_Log[[#This Row],[Carrier]])</f>
        <v/>
      </c>
    </row>
    <row r="1867" spans="1:18" ht="29.85" customHeight="1" x14ac:dyDescent="0.45">
      <c r="A1867" s="30">
        <v>83</v>
      </c>
      <c r="B1867" s="30"/>
      <c r="C1867" s="30"/>
      <c r="D1867" s="30"/>
      <c r="E1867" s="30"/>
      <c r="F1867" s="30"/>
      <c r="G1867" s="30"/>
      <c r="H1867" s="30"/>
      <c r="I1867" s="30"/>
      <c r="J1867" s="30"/>
      <c r="K1867" s="30"/>
      <c r="L1867" s="30"/>
      <c r="M1867" s="30"/>
      <c r="N1867" s="30" t="str" cm="1">
        <f t="array" ref="N1867">Main_Log_Status(Main_Log[[#This Row],[Carrier]],Main_Log[[#This Row],[Net Weight]])</f>
        <v/>
      </c>
      <c r="O1867" s="30"/>
      <c r="P186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67" s="30"/>
      <c r="R1867" s="30" t="str" cm="1">
        <f t="array" ref="R1867">Main_Log_Ref(Main_Log[[#This Row],[Carrier]])</f>
        <v/>
      </c>
    </row>
    <row r="1868" spans="1:18" ht="29.85" customHeight="1" x14ac:dyDescent="0.45">
      <c r="A1868" s="30">
        <v>84</v>
      </c>
      <c r="B1868" s="30"/>
      <c r="C1868" s="30"/>
      <c r="D1868" s="30"/>
      <c r="E1868" s="30"/>
      <c r="F1868" s="30"/>
      <c r="G1868" s="30"/>
      <c r="H1868" s="30"/>
      <c r="I1868" s="30"/>
      <c r="J1868" s="30"/>
      <c r="K1868" s="30"/>
      <c r="L1868" s="30"/>
      <c r="M1868" s="30"/>
      <c r="N1868" s="30" t="str" cm="1">
        <f t="array" ref="N1868">Main_Log_Status(Main_Log[[#This Row],[Carrier]],Main_Log[[#This Row],[Net Weight]])</f>
        <v/>
      </c>
      <c r="O1868" s="30"/>
      <c r="P186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68" s="30"/>
      <c r="R1868" s="30" t="str" cm="1">
        <f t="array" ref="R1868">Main_Log_Ref(Main_Log[[#This Row],[Carrier]])</f>
        <v/>
      </c>
    </row>
    <row r="1869" spans="1:18" ht="29.85" customHeight="1" x14ac:dyDescent="0.45">
      <c r="A1869" s="30">
        <v>85</v>
      </c>
      <c r="B1869" s="30"/>
      <c r="C1869" s="30"/>
      <c r="D1869" s="30"/>
      <c r="E1869" s="30"/>
      <c r="F1869" s="30"/>
      <c r="G1869" s="30"/>
      <c r="H1869" s="30"/>
      <c r="I1869" s="30"/>
      <c r="J1869" s="30"/>
      <c r="K1869" s="30"/>
      <c r="L1869" s="30"/>
      <c r="M1869" s="30"/>
      <c r="N1869" s="30" t="str" cm="1">
        <f t="array" ref="N1869">Main_Log_Status(Main_Log[[#This Row],[Carrier]],Main_Log[[#This Row],[Net Weight]])</f>
        <v/>
      </c>
      <c r="O1869" s="30"/>
      <c r="P186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69" s="30"/>
      <c r="R1869" s="30" t="str" cm="1">
        <f t="array" ref="R1869">Main_Log_Ref(Main_Log[[#This Row],[Carrier]])</f>
        <v/>
      </c>
    </row>
    <row r="1870" spans="1:18" ht="29.85" customHeight="1" x14ac:dyDescent="0.45">
      <c r="A1870" s="30">
        <v>86</v>
      </c>
      <c r="B1870" s="30"/>
      <c r="C1870" s="30"/>
      <c r="D1870" s="30"/>
      <c r="E1870" s="30"/>
      <c r="F1870" s="30"/>
      <c r="G1870" s="30"/>
      <c r="H1870" s="30"/>
      <c r="I1870" s="30"/>
      <c r="J1870" s="30"/>
      <c r="K1870" s="30"/>
      <c r="L1870" s="30"/>
      <c r="M1870" s="30"/>
      <c r="N1870" s="30" t="str" cm="1">
        <f t="array" ref="N1870">Main_Log_Status(Main_Log[[#This Row],[Carrier]],Main_Log[[#This Row],[Net Weight]])</f>
        <v/>
      </c>
      <c r="O1870" s="30"/>
      <c r="P187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70" s="30"/>
      <c r="R1870" s="30" t="str" cm="1">
        <f t="array" ref="R1870">Main_Log_Ref(Main_Log[[#This Row],[Carrier]])</f>
        <v/>
      </c>
    </row>
    <row r="1871" spans="1:18" ht="29.85" customHeight="1" x14ac:dyDescent="0.45">
      <c r="A1871" s="30">
        <v>87</v>
      </c>
      <c r="B1871" s="30"/>
      <c r="C1871" s="30"/>
      <c r="D1871" s="30"/>
      <c r="E1871" s="30"/>
      <c r="F1871" s="30"/>
      <c r="G1871" s="30"/>
      <c r="H1871" s="30"/>
      <c r="I1871" s="30"/>
      <c r="J1871" s="30"/>
      <c r="K1871" s="30"/>
      <c r="L1871" s="30"/>
      <c r="M1871" s="30"/>
      <c r="N1871" s="30" t="str" cm="1">
        <f t="array" ref="N1871">Main_Log_Status(Main_Log[[#This Row],[Carrier]],Main_Log[[#This Row],[Net Weight]])</f>
        <v/>
      </c>
      <c r="O1871" s="30"/>
      <c r="P187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71" s="30"/>
      <c r="R1871" s="30" t="str" cm="1">
        <f t="array" ref="R1871">Main_Log_Ref(Main_Log[[#This Row],[Carrier]])</f>
        <v/>
      </c>
    </row>
    <row r="1872" spans="1:18" ht="29.85" customHeight="1" x14ac:dyDescent="0.45">
      <c r="A1872" s="30">
        <v>88</v>
      </c>
      <c r="B1872" s="30"/>
      <c r="C1872" s="30"/>
      <c r="D1872" s="30"/>
      <c r="E1872" s="30"/>
      <c r="F1872" s="30"/>
      <c r="G1872" s="30"/>
      <c r="H1872" s="30"/>
      <c r="I1872" s="30"/>
      <c r="J1872" s="30"/>
      <c r="K1872" s="30"/>
      <c r="L1872" s="30"/>
      <c r="M1872" s="30"/>
      <c r="N1872" s="30" t="str" cm="1">
        <f t="array" ref="N1872">Main_Log_Status(Main_Log[[#This Row],[Carrier]],Main_Log[[#This Row],[Net Weight]])</f>
        <v/>
      </c>
      <c r="O1872" s="30"/>
      <c r="P187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72" s="30"/>
      <c r="R1872" s="30" t="str" cm="1">
        <f t="array" ref="R1872">Main_Log_Ref(Main_Log[[#This Row],[Carrier]])</f>
        <v/>
      </c>
    </row>
    <row r="1873" spans="1:18" ht="29.85" customHeight="1" x14ac:dyDescent="0.45">
      <c r="A1873" s="30">
        <v>89</v>
      </c>
      <c r="B1873" s="30"/>
      <c r="C1873" s="30"/>
      <c r="D1873" s="30"/>
      <c r="E1873" s="30"/>
      <c r="F1873" s="30"/>
      <c r="G1873" s="30"/>
      <c r="H1873" s="30"/>
      <c r="I1873" s="30"/>
      <c r="J1873" s="30"/>
      <c r="K1873" s="30"/>
      <c r="L1873" s="30"/>
      <c r="M1873" s="30"/>
      <c r="N1873" s="30" t="str" cm="1">
        <f t="array" ref="N1873">Main_Log_Status(Main_Log[[#This Row],[Carrier]],Main_Log[[#This Row],[Net Weight]])</f>
        <v/>
      </c>
      <c r="O1873" s="30"/>
      <c r="P187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73" s="30"/>
      <c r="R1873" s="30" t="str" cm="1">
        <f t="array" ref="R1873">Main_Log_Ref(Main_Log[[#This Row],[Carrier]])</f>
        <v/>
      </c>
    </row>
    <row r="1874" spans="1:18" ht="29.85" customHeight="1" x14ac:dyDescent="0.45">
      <c r="A1874" s="30">
        <v>90</v>
      </c>
      <c r="B1874" s="30"/>
      <c r="C1874" s="30"/>
      <c r="D1874" s="30"/>
      <c r="E1874" s="30"/>
      <c r="F1874" s="30"/>
      <c r="G1874" s="30"/>
      <c r="H1874" s="30"/>
      <c r="I1874" s="30"/>
      <c r="J1874" s="30"/>
      <c r="K1874" s="30"/>
      <c r="L1874" s="30"/>
      <c r="M1874" s="30"/>
      <c r="N1874" s="30" t="str" cm="1">
        <f t="array" ref="N1874">Main_Log_Status(Main_Log[[#This Row],[Carrier]],Main_Log[[#This Row],[Net Weight]])</f>
        <v/>
      </c>
      <c r="O1874" s="30"/>
      <c r="P187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74" s="30"/>
      <c r="R1874" s="30" t="str" cm="1">
        <f t="array" ref="R1874">Main_Log_Ref(Main_Log[[#This Row],[Carrier]])</f>
        <v/>
      </c>
    </row>
    <row r="1875" spans="1:18" ht="29.85" customHeight="1" x14ac:dyDescent="0.45">
      <c r="A1875" s="30">
        <v>91</v>
      </c>
      <c r="B1875" s="30"/>
      <c r="C1875" s="30"/>
      <c r="D1875" s="30"/>
      <c r="E1875" s="30"/>
      <c r="F1875" s="30"/>
      <c r="G1875" s="30"/>
      <c r="H1875" s="30"/>
      <c r="I1875" s="30"/>
      <c r="J1875" s="30"/>
      <c r="K1875" s="30"/>
      <c r="L1875" s="30"/>
      <c r="M1875" s="30"/>
      <c r="N1875" s="30" t="str" cm="1">
        <f t="array" ref="N1875">Main_Log_Status(Main_Log[[#This Row],[Carrier]],Main_Log[[#This Row],[Net Weight]])</f>
        <v/>
      </c>
      <c r="O1875" s="30"/>
      <c r="P187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75" s="30"/>
      <c r="R1875" s="30" t="str" cm="1">
        <f t="array" ref="R1875">Main_Log_Ref(Main_Log[[#This Row],[Carrier]])</f>
        <v/>
      </c>
    </row>
    <row r="1876" spans="1:18" ht="29.85" customHeight="1" x14ac:dyDescent="0.45">
      <c r="A1876" s="30">
        <v>92</v>
      </c>
      <c r="B1876" s="30"/>
      <c r="C1876" s="30"/>
      <c r="D1876" s="30"/>
      <c r="E1876" s="30"/>
      <c r="F1876" s="30"/>
      <c r="G1876" s="30"/>
      <c r="H1876" s="30"/>
      <c r="I1876" s="30"/>
      <c r="J1876" s="30"/>
      <c r="K1876" s="30"/>
      <c r="L1876" s="30"/>
      <c r="M1876" s="30"/>
      <c r="N1876" s="30" t="str" cm="1">
        <f t="array" ref="N1876">Main_Log_Status(Main_Log[[#This Row],[Carrier]],Main_Log[[#This Row],[Net Weight]])</f>
        <v/>
      </c>
      <c r="O1876" s="30"/>
      <c r="P187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76" s="30"/>
      <c r="R1876" s="30" t="str" cm="1">
        <f t="array" ref="R1876">Main_Log_Ref(Main_Log[[#This Row],[Carrier]])</f>
        <v/>
      </c>
    </row>
    <row r="1877" spans="1:18" ht="29.85" customHeight="1" x14ac:dyDescent="0.45">
      <c r="A1877" s="30">
        <v>93</v>
      </c>
      <c r="B1877" s="30"/>
      <c r="C1877" s="30"/>
      <c r="D1877" s="30"/>
      <c r="E1877" s="30"/>
      <c r="F1877" s="30"/>
      <c r="G1877" s="30"/>
      <c r="H1877" s="30"/>
      <c r="I1877" s="30"/>
      <c r="J1877" s="30"/>
      <c r="K1877" s="30"/>
      <c r="L1877" s="30"/>
      <c r="M1877" s="30"/>
      <c r="N1877" s="30" t="str" cm="1">
        <f t="array" ref="N1877">Main_Log_Status(Main_Log[[#This Row],[Carrier]],Main_Log[[#This Row],[Net Weight]])</f>
        <v/>
      </c>
      <c r="O1877" s="30"/>
      <c r="P187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77" s="30"/>
      <c r="R1877" s="30" t="str" cm="1">
        <f t="array" ref="R1877">Main_Log_Ref(Main_Log[[#This Row],[Carrier]])</f>
        <v/>
      </c>
    </row>
    <row r="1878" spans="1:18" ht="29.85" customHeight="1" x14ac:dyDescent="0.45">
      <c r="A1878" s="30">
        <v>94</v>
      </c>
      <c r="B1878" s="30"/>
      <c r="C1878" s="30"/>
      <c r="D1878" s="30"/>
      <c r="E1878" s="30"/>
      <c r="F1878" s="30"/>
      <c r="G1878" s="30"/>
      <c r="H1878" s="30"/>
      <c r="I1878" s="30"/>
      <c r="J1878" s="30"/>
      <c r="K1878" s="30"/>
      <c r="L1878" s="30"/>
      <c r="M1878" s="30"/>
      <c r="N1878" s="30" t="str" cm="1">
        <f t="array" ref="N1878">Main_Log_Status(Main_Log[[#This Row],[Carrier]],Main_Log[[#This Row],[Net Weight]])</f>
        <v/>
      </c>
      <c r="O1878" s="30"/>
      <c r="P187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78" s="30"/>
      <c r="R1878" s="30" t="str" cm="1">
        <f t="array" ref="R1878">Main_Log_Ref(Main_Log[[#This Row],[Carrier]])</f>
        <v/>
      </c>
    </row>
    <row r="1879" spans="1:18" ht="29.85" customHeight="1" x14ac:dyDescent="0.45">
      <c r="A1879" s="30">
        <v>95</v>
      </c>
      <c r="B1879" s="30"/>
      <c r="C1879" s="30"/>
      <c r="D1879" s="30"/>
      <c r="E1879" s="30"/>
      <c r="F1879" s="30"/>
      <c r="G1879" s="30"/>
      <c r="H1879" s="30"/>
      <c r="I1879" s="30"/>
      <c r="J1879" s="30"/>
      <c r="K1879" s="30"/>
      <c r="L1879" s="30"/>
      <c r="M1879" s="30"/>
      <c r="N1879" s="30" t="str" cm="1">
        <f t="array" ref="N1879">Main_Log_Status(Main_Log[[#This Row],[Carrier]],Main_Log[[#This Row],[Net Weight]])</f>
        <v/>
      </c>
      <c r="O1879" s="30"/>
      <c r="P187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79" s="30"/>
      <c r="R1879" s="30" t="str" cm="1">
        <f t="array" ref="R1879">Main_Log_Ref(Main_Log[[#This Row],[Carrier]])</f>
        <v/>
      </c>
    </row>
    <row r="1880" spans="1:18" ht="29.85" customHeight="1" x14ac:dyDescent="0.45">
      <c r="A1880" s="30">
        <v>96</v>
      </c>
      <c r="B1880" s="30"/>
      <c r="C1880" s="30"/>
      <c r="D1880" s="30"/>
      <c r="E1880" s="30"/>
      <c r="F1880" s="30"/>
      <c r="G1880" s="30"/>
      <c r="H1880" s="30"/>
      <c r="I1880" s="30"/>
      <c r="J1880" s="30"/>
      <c r="K1880" s="30"/>
      <c r="L1880" s="30"/>
      <c r="M1880" s="30"/>
      <c r="N1880" s="30" t="str" cm="1">
        <f t="array" ref="N1880">Main_Log_Status(Main_Log[[#This Row],[Carrier]],Main_Log[[#This Row],[Net Weight]])</f>
        <v/>
      </c>
      <c r="O1880" s="30"/>
      <c r="P188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80" s="30"/>
      <c r="R1880" s="30" t="str" cm="1">
        <f t="array" ref="R1880">Main_Log_Ref(Main_Log[[#This Row],[Carrier]])</f>
        <v/>
      </c>
    </row>
    <row r="1881" spans="1:18" ht="29.85" customHeight="1" x14ac:dyDescent="0.45">
      <c r="A1881" s="30">
        <v>97</v>
      </c>
      <c r="B1881" s="30"/>
      <c r="C1881" s="30"/>
      <c r="D1881" s="30"/>
      <c r="E1881" s="30"/>
      <c r="F1881" s="30"/>
      <c r="G1881" s="30"/>
      <c r="H1881" s="30"/>
      <c r="I1881" s="30"/>
      <c r="J1881" s="30"/>
      <c r="K1881" s="30"/>
      <c r="L1881" s="30"/>
      <c r="M1881" s="30"/>
      <c r="N1881" s="30" t="str" cm="1">
        <f t="array" ref="N1881">Main_Log_Status(Main_Log[[#This Row],[Carrier]],Main_Log[[#This Row],[Net Weight]])</f>
        <v/>
      </c>
      <c r="O1881" s="30"/>
      <c r="P188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81" s="30"/>
      <c r="R1881" s="30" t="str" cm="1">
        <f t="array" ref="R1881">Main_Log_Ref(Main_Log[[#This Row],[Carrier]])</f>
        <v/>
      </c>
    </row>
    <row r="1882" spans="1:18" ht="29.85" customHeight="1" x14ac:dyDescent="0.45">
      <c r="A1882" s="30">
        <v>98</v>
      </c>
      <c r="B1882" s="30"/>
      <c r="C1882" s="30"/>
      <c r="D1882" s="30"/>
      <c r="E1882" s="30"/>
      <c r="F1882" s="30"/>
      <c r="G1882" s="30"/>
      <c r="H1882" s="30"/>
      <c r="I1882" s="30"/>
      <c r="J1882" s="30"/>
      <c r="K1882" s="30"/>
      <c r="L1882" s="30"/>
      <c r="M1882" s="30"/>
      <c r="N1882" s="30" t="str" cm="1">
        <f t="array" ref="N1882">Main_Log_Status(Main_Log[[#This Row],[Carrier]],Main_Log[[#This Row],[Net Weight]])</f>
        <v/>
      </c>
      <c r="O1882" s="30"/>
      <c r="P188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82" s="30"/>
      <c r="R1882" s="30" t="str" cm="1">
        <f t="array" ref="R1882">Main_Log_Ref(Main_Log[[#This Row],[Carrier]])</f>
        <v/>
      </c>
    </row>
    <row r="1883" spans="1:18" ht="29.85" customHeight="1" x14ac:dyDescent="0.45">
      <c r="A1883" s="30">
        <v>99</v>
      </c>
      <c r="B1883" s="30"/>
      <c r="C1883" s="30"/>
      <c r="D1883" s="30"/>
      <c r="E1883" s="30"/>
      <c r="F1883" s="30"/>
      <c r="G1883" s="30"/>
      <c r="H1883" s="30"/>
      <c r="I1883" s="30"/>
      <c r="J1883" s="30"/>
      <c r="K1883" s="30"/>
      <c r="L1883" s="30"/>
      <c r="M1883" s="30"/>
      <c r="N1883" s="30" t="str" cm="1">
        <f t="array" ref="N1883">Main_Log_Status(Main_Log[[#This Row],[Carrier]],Main_Log[[#This Row],[Net Weight]])</f>
        <v/>
      </c>
      <c r="O1883" s="30"/>
      <c r="P188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83" s="30"/>
      <c r="R1883" s="30" t="str" cm="1">
        <f t="array" ref="R1883">Main_Log_Ref(Main_Log[[#This Row],[Carrier]])</f>
        <v/>
      </c>
    </row>
    <row r="1884" spans="1:18" ht="29.85" customHeight="1" x14ac:dyDescent="0.45">
      <c r="A1884" s="30">
        <v>1</v>
      </c>
      <c r="B1884" s="30"/>
      <c r="C1884" s="30"/>
      <c r="D1884" s="30"/>
      <c r="E1884" s="30"/>
      <c r="F1884" s="30"/>
      <c r="G1884" s="30"/>
      <c r="H1884" s="30"/>
      <c r="I1884" s="30"/>
      <c r="J1884" s="30"/>
      <c r="K1884" s="30"/>
      <c r="L1884" s="30"/>
      <c r="M1884" s="30"/>
      <c r="N1884" s="30" t="str" cm="1">
        <f t="array" ref="N1884">Main_Log_Status(Main_Log[[#This Row],[Carrier]],Main_Log[[#This Row],[Net Weight]])</f>
        <v/>
      </c>
      <c r="O1884" s="30"/>
      <c r="P188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84" s="30"/>
      <c r="R1884" s="30" t="str" cm="1">
        <f t="array" ref="R1884">Main_Log_Ref(Main_Log[[#This Row],[Carrier]])</f>
        <v/>
      </c>
    </row>
    <row r="1885" spans="1:18" ht="29.85" customHeight="1" x14ac:dyDescent="0.45">
      <c r="A1885" s="30">
        <v>2</v>
      </c>
      <c r="B1885" s="30"/>
      <c r="C1885" s="30"/>
      <c r="D1885" s="30"/>
      <c r="E1885" s="30"/>
      <c r="F1885" s="30"/>
      <c r="G1885" s="30"/>
      <c r="H1885" s="30"/>
      <c r="I1885" s="30"/>
      <c r="J1885" s="30"/>
      <c r="K1885" s="30"/>
      <c r="L1885" s="30"/>
      <c r="M1885" s="30"/>
      <c r="N1885" s="30" t="str" cm="1">
        <f t="array" ref="N1885">Main_Log_Status(Main_Log[[#This Row],[Carrier]],Main_Log[[#This Row],[Net Weight]])</f>
        <v/>
      </c>
      <c r="O1885" s="30"/>
      <c r="P188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85" s="30"/>
      <c r="R1885" s="30" t="str" cm="1">
        <f t="array" ref="R1885">Main_Log_Ref(Main_Log[[#This Row],[Carrier]])</f>
        <v/>
      </c>
    </row>
    <row r="1886" spans="1:18" ht="29.85" customHeight="1" x14ac:dyDescent="0.45">
      <c r="A1886" s="30">
        <v>3</v>
      </c>
      <c r="B1886" s="30"/>
      <c r="C1886" s="30"/>
      <c r="D1886" s="30"/>
      <c r="E1886" s="30"/>
      <c r="F1886" s="30"/>
      <c r="G1886" s="30"/>
      <c r="H1886" s="30"/>
      <c r="I1886" s="30"/>
      <c r="J1886" s="30"/>
      <c r="K1886" s="30"/>
      <c r="L1886" s="30"/>
      <c r="M1886" s="30"/>
      <c r="N1886" s="30" t="str" cm="1">
        <f t="array" ref="N1886">Main_Log_Status(Main_Log[[#This Row],[Carrier]],Main_Log[[#This Row],[Net Weight]])</f>
        <v/>
      </c>
      <c r="O1886" s="30"/>
      <c r="P188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86" s="30"/>
      <c r="R1886" s="30" t="str" cm="1">
        <f t="array" ref="R1886">Main_Log_Ref(Main_Log[[#This Row],[Carrier]])</f>
        <v/>
      </c>
    </row>
    <row r="1887" spans="1:18" ht="29.85" customHeight="1" x14ac:dyDescent="0.45">
      <c r="A1887" s="30">
        <v>4</v>
      </c>
      <c r="B1887" s="30"/>
      <c r="C1887" s="30"/>
      <c r="D1887" s="30"/>
      <c r="E1887" s="30"/>
      <c r="F1887" s="30"/>
      <c r="G1887" s="30"/>
      <c r="H1887" s="30"/>
      <c r="I1887" s="30"/>
      <c r="J1887" s="30"/>
      <c r="K1887" s="30"/>
      <c r="L1887" s="30"/>
      <c r="M1887" s="30"/>
      <c r="N1887" s="30" t="str" cm="1">
        <f t="array" ref="N1887">Main_Log_Status(Main_Log[[#This Row],[Carrier]],Main_Log[[#This Row],[Net Weight]])</f>
        <v/>
      </c>
      <c r="O1887" s="30"/>
      <c r="P188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87" s="30"/>
      <c r="R1887" s="30" t="str" cm="1">
        <f t="array" ref="R1887">Main_Log_Ref(Main_Log[[#This Row],[Carrier]])</f>
        <v/>
      </c>
    </row>
    <row r="1888" spans="1:18" ht="29.85" customHeight="1" x14ac:dyDescent="0.45">
      <c r="A1888" s="30">
        <v>5</v>
      </c>
      <c r="B1888" s="30"/>
      <c r="C1888" s="30"/>
      <c r="D1888" s="30"/>
      <c r="E1888" s="30"/>
      <c r="F1888" s="30"/>
      <c r="G1888" s="30"/>
      <c r="H1888" s="30"/>
      <c r="I1888" s="30"/>
      <c r="J1888" s="30"/>
      <c r="K1888" s="30"/>
      <c r="L1888" s="30"/>
      <c r="M1888" s="30"/>
      <c r="N1888" s="30" t="str" cm="1">
        <f t="array" ref="N1888">Main_Log_Status(Main_Log[[#This Row],[Carrier]],Main_Log[[#This Row],[Net Weight]])</f>
        <v/>
      </c>
      <c r="O1888" s="30"/>
      <c r="P188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88" s="30"/>
      <c r="R1888" s="30" t="str" cm="1">
        <f t="array" ref="R1888">Main_Log_Ref(Main_Log[[#This Row],[Carrier]])</f>
        <v/>
      </c>
    </row>
    <row r="1889" spans="1:18" ht="29.85" customHeight="1" x14ac:dyDescent="0.45">
      <c r="A1889" s="30">
        <v>6</v>
      </c>
      <c r="B1889" s="30"/>
      <c r="C1889" s="30"/>
      <c r="D1889" s="30"/>
      <c r="E1889" s="30"/>
      <c r="F1889" s="30"/>
      <c r="G1889" s="30"/>
      <c r="H1889" s="30"/>
      <c r="I1889" s="30"/>
      <c r="J1889" s="30"/>
      <c r="K1889" s="30"/>
      <c r="L1889" s="30"/>
      <c r="M1889" s="30"/>
      <c r="N1889" s="30" t="str" cm="1">
        <f t="array" ref="N1889">Main_Log_Status(Main_Log[[#This Row],[Carrier]],Main_Log[[#This Row],[Net Weight]])</f>
        <v/>
      </c>
      <c r="O1889" s="30"/>
      <c r="P188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89" s="30"/>
      <c r="R1889" s="30" t="str" cm="1">
        <f t="array" ref="R1889">Main_Log_Ref(Main_Log[[#This Row],[Carrier]])</f>
        <v/>
      </c>
    </row>
    <row r="1890" spans="1:18" ht="29.85" customHeight="1" x14ac:dyDescent="0.45">
      <c r="A1890" s="30">
        <v>7</v>
      </c>
      <c r="B1890" s="30"/>
      <c r="C1890" s="30"/>
      <c r="D1890" s="30"/>
      <c r="E1890" s="30"/>
      <c r="F1890" s="30"/>
      <c r="G1890" s="30"/>
      <c r="H1890" s="30"/>
      <c r="I1890" s="30"/>
      <c r="J1890" s="30"/>
      <c r="K1890" s="30"/>
      <c r="L1890" s="30"/>
      <c r="M1890" s="30"/>
      <c r="N1890" s="30" t="str" cm="1">
        <f t="array" ref="N1890">Main_Log_Status(Main_Log[[#This Row],[Carrier]],Main_Log[[#This Row],[Net Weight]])</f>
        <v/>
      </c>
      <c r="O1890" s="30"/>
      <c r="P189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90" s="30"/>
      <c r="R1890" s="30" t="str" cm="1">
        <f t="array" ref="R1890">Main_Log_Ref(Main_Log[[#This Row],[Carrier]])</f>
        <v/>
      </c>
    </row>
    <row r="1891" spans="1:18" ht="29.85" customHeight="1" x14ac:dyDescent="0.45">
      <c r="A1891" s="30">
        <v>8</v>
      </c>
      <c r="B1891" s="30"/>
      <c r="C1891" s="30"/>
      <c r="D1891" s="30"/>
      <c r="E1891" s="30"/>
      <c r="F1891" s="30"/>
      <c r="G1891" s="30"/>
      <c r="H1891" s="30"/>
      <c r="I1891" s="30"/>
      <c r="J1891" s="30"/>
      <c r="K1891" s="30"/>
      <c r="L1891" s="30"/>
      <c r="M1891" s="30"/>
      <c r="N1891" s="30" t="str" cm="1">
        <f t="array" ref="N1891">Main_Log_Status(Main_Log[[#This Row],[Carrier]],Main_Log[[#This Row],[Net Weight]])</f>
        <v/>
      </c>
      <c r="O1891" s="30"/>
      <c r="P189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91" s="30"/>
      <c r="R1891" s="30" t="str" cm="1">
        <f t="array" ref="R1891">Main_Log_Ref(Main_Log[[#This Row],[Carrier]])</f>
        <v/>
      </c>
    </row>
    <row r="1892" spans="1:18" ht="29.85" customHeight="1" x14ac:dyDescent="0.45">
      <c r="A1892" s="30">
        <v>9</v>
      </c>
      <c r="B1892" s="30"/>
      <c r="C1892" s="30"/>
      <c r="D1892" s="30"/>
      <c r="E1892" s="30"/>
      <c r="F1892" s="30"/>
      <c r="G1892" s="30"/>
      <c r="H1892" s="30"/>
      <c r="I1892" s="30"/>
      <c r="J1892" s="30"/>
      <c r="K1892" s="30"/>
      <c r="L1892" s="30"/>
      <c r="M1892" s="30"/>
      <c r="N1892" s="30" t="str" cm="1">
        <f t="array" ref="N1892">Main_Log_Status(Main_Log[[#This Row],[Carrier]],Main_Log[[#This Row],[Net Weight]])</f>
        <v/>
      </c>
      <c r="O1892" s="30"/>
      <c r="P189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92" s="30"/>
      <c r="R1892" s="30" t="str" cm="1">
        <f t="array" ref="R1892">Main_Log_Ref(Main_Log[[#This Row],[Carrier]])</f>
        <v/>
      </c>
    </row>
    <row r="1893" spans="1:18" ht="29.85" customHeight="1" x14ac:dyDescent="0.45">
      <c r="A1893" s="30">
        <v>10</v>
      </c>
      <c r="B1893" s="30"/>
      <c r="C1893" s="30"/>
      <c r="D1893" s="30"/>
      <c r="E1893" s="30"/>
      <c r="F1893" s="30"/>
      <c r="G1893" s="30"/>
      <c r="H1893" s="30"/>
      <c r="I1893" s="30"/>
      <c r="J1893" s="30"/>
      <c r="K1893" s="30"/>
      <c r="L1893" s="30"/>
      <c r="M1893" s="30"/>
      <c r="N1893" s="30" t="str" cm="1">
        <f t="array" ref="N1893">Main_Log_Status(Main_Log[[#This Row],[Carrier]],Main_Log[[#This Row],[Net Weight]])</f>
        <v/>
      </c>
      <c r="O1893" s="30"/>
      <c r="P189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93" s="30"/>
      <c r="R1893" s="30" t="str" cm="1">
        <f t="array" ref="R1893">Main_Log_Ref(Main_Log[[#This Row],[Carrier]])</f>
        <v/>
      </c>
    </row>
    <row r="1894" spans="1:18" ht="29.85" customHeight="1" x14ac:dyDescent="0.45">
      <c r="A1894" s="30">
        <v>11</v>
      </c>
      <c r="B1894" s="30"/>
      <c r="C1894" s="30"/>
      <c r="D1894" s="30"/>
      <c r="E1894" s="30"/>
      <c r="F1894" s="30"/>
      <c r="G1894" s="30"/>
      <c r="H1894" s="30"/>
      <c r="I1894" s="30"/>
      <c r="J1894" s="30"/>
      <c r="K1894" s="30"/>
      <c r="L1894" s="30"/>
      <c r="M1894" s="30"/>
      <c r="N1894" s="30" t="str" cm="1">
        <f t="array" ref="N1894">Main_Log_Status(Main_Log[[#This Row],[Carrier]],Main_Log[[#This Row],[Net Weight]])</f>
        <v/>
      </c>
      <c r="O1894" s="30"/>
      <c r="P189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94" s="30"/>
      <c r="R1894" s="30" t="str" cm="1">
        <f t="array" ref="R1894">Main_Log_Ref(Main_Log[[#This Row],[Carrier]])</f>
        <v/>
      </c>
    </row>
    <row r="1895" spans="1:18" ht="29.85" customHeight="1" x14ac:dyDescent="0.45">
      <c r="A1895" s="30">
        <v>12</v>
      </c>
      <c r="B1895" s="30"/>
      <c r="C1895" s="30"/>
      <c r="D1895" s="30"/>
      <c r="E1895" s="30"/>
      <c r="F1895" s="30"/>
      <c r="G1895" s="30"/>
      <c r="H1895" s="30"/>
      <c r="I1895" s="30"/>
      <c r="J1895" s="30"/>
      <c r="K1895" s="30"/>
      <c r="L1895" s="30"/>
      <c r="M1895" s="30"/>
      <c r="N1895" s="30" t="str" cm="1">
        <f t="array" ref="N1895">Main_Log_Status(Main_Log[[#This Row],[Carrier]],Main_Log[[#This Row],[Net Weight]])</f>
        <v/>
      </c>
      <c r="O1895" s="30"/>
      <c r="P189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95" s="30"/>
      <c r="R1895" s="30" t="str" cm="1">
        <f t="array" ref="R1895">Main_Log_Ref(Main_Log[[#This Row],[Carrier]])</f>
        <v/>
      </c>
    </row>
    <row r="1896" spans="1:18" ht="29.85" customHeight="1" x14ac:dyDescent="0.45">
      <c r="A1896" s="30">
        <v>13</v>
      </c>
      <c r="B1896" s="30"/>
      <c r="C1896" s="30"/>
      <c r="D1896" s="30"/>
      <c r="E1896" s="30"/>
      <c r="F1896" s="30"/>
      <c r="G1896" s="30"/>
      <c r="H1896" s="30"/>
      <c r="I1896" s="30"/>
      <c r="J1896" s="30"/>
      <c r="K1896" s="30"/>
      <c r="L1896" s="30"/>
      <c r="M1896" s="30"/>
      <c r="N1896" s="30" t="str" cm="1">
        <f t="array" ref="N1896">Main_Log_Status(Main_Log[[#This Row],[Carrier]],Main_Log[[#This Row],[Net Weight]])</f>
        <v/>
      </c>
      <c r="O1896" s="30"/>
      <c r="P189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96" s="30"/>
      <c r="R1896" s="30" t="str" cm="1">
        <f t="array" ref="R1896">Main_Log_Ref(Main_Log[[#This Row],[Carrier]])</f>
        <v/>
      </c>
    </row>
    <row r="1897" spans="1:18" ht="29.85" customHeight="1" x14ac:dyDescent="0.45">
      <c r="A1897" s="30">
        <v>14</v>
      </c>
      <c r="B1897" s="30"/>
      <c r="C1897" s="30"/>
      <c r="D1897" s="30"/>
      <c r="E1897" s="30"/>
      <c r="F1897" s="30"/>
      <c r="G1897" s="30"/>
      <c r="H1897" s="30"/>
      <c r="I1897" s="30"/>
      <c r="J1897" s="30"/>
      <c r="K1897" s="30"/>
      <c r="L1897" s="30"/>
      <c r="M1897" s="30"/>
      <c r="N1897" s="30" t="str" cm="1">
        <f t="array" ref="N1897">Main_Log_Status(Main_Log[[#This Row],[Carrier]],Main_Log[[#This Row],[Net Weight]])</f>
        <v/>
      </c>
      <c r="O1897" s="30"/>
      <c r="P189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97" s="30"/>
      <c r="R1897" s="30" t="str" cm="1">
        <f t="array" ref="R1897">Main_Log_Ref(Main_Log[[#This Row],[Carrier]])</f>
        <v/>
      </c>
    </row>
    <row r="1898" spans="1:18" ht="29.85" customHeight="1" x14ac:dyDescent="0.45">
      <c r="A1898" s="30">
        <v>15</v>
      </c>
      <c r="B1898" s="30"/>
      <c r="C1898" s="30"/>
      <c r="D1898" s="30"/>
      <c r="E1898" s="30"/>
      <c r="F1898" s="30"/>
      <c r="G1898" s="30"/>
      <c r="H1898" s="30"/>
      <c r="I1898" s="30"/>
      <c r="J1898" s="30"/>
      <c r="K1898" s="30"/>
      <c r="L1898" s="30"/>
      <c r="M1898" s="30"/>
      <c r="N1898" s="30" t="str" cm="1">
        <f t="array" ref="N1898">Main_Log_Status(Main_Log[[#This Row],[Carrier]],Main_Log[[#This Row],[Net Weight]])</f>
        <v/>
      </c>
      <c r="O1898" s="30"/>
      <c r="P189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98" s="30"/>
      <c r="R1898" s="30" t="str" cm="1">
        <f t="array" ref="R1898">Main_Log_Ref(Main_Log[[#This Row],[Carrier]])</f>
        <v/>
      </c>
    </row>
    <row r="1899" spans="1:18" ht="29.85" customHeight="1" x14ac:dyDescent="0.45">
      <c r="A1899" s="30">
        <v>16</v>
      </c>
      <c r="B1899" s="30"/>
      <c r="C1899" s="30"/>
      <c r="D1899" s="30"/>
      <c r="E1899" s="30"/>
      <c r="F1899" s="30"/>
      <c r="G1899" s="30"/>
      <c r="H1899" s="30"/>
      <c r="I1899" s="30"/>
      <c r="J1899" s="30"/>
      <c r="K1899" s="30"/>
      <c r="L1899" s="30"/>
      <c r="M1899" s="30"/>
      <c r="N1899" s="30" t="str" cm="1">
        <f t="array" ref="N1899">Main_Log_Status(Main_Log[[#This Row],[Carrier]],Main_Log[[#This Row],[Net Weight]])</f>
        <v/>
      </c>
      <c r="O1899" s="30"/>
      <c r="P189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899" s="30"/>
      <c r="R1899" s="30" t="str" cm="1">
        <f t="array" ref="R1899">Main_Log_Ref(Main_Log[[#This Row],[Carrier]])</f>
        <v/>
      </c>
    </row>
    <row r="1900" spans="1:18" ht="29.85" customHeight="1" x14ac:dyDescent="0.45">
      <c r="A1900" s="30">
        <v>17</v>
      </c>
      <c r="B1900" s="30"/>
      <c r="C1900" s="30"/>
      <c r="D1900" s="30"/>
      <c r="E1900" s="30"/>
      <c r="F1900" s="30"/>
      <c r="G1900" s="30"/>
      <c r="H1900" s="30"/>
      <c r="I1900" s="30"/>
      <c r="J1900" s="30"/>
      <c r="K1900" s="30"/>
      <c r="L1900" s="30"/>
      <c r="M1900" s="30"/>
      <c r="N1900" s="30" t="str" cm="1">
        <f t="array" ref="N1900">Main_Log_Status(Main_Log[[#This Row],[Carrier]],Main_Log[[#This Row],[Net Weight]])</f>
        <v/>
      </c>
      <c r="O1900" s="30"/>
      <c r="P190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00" s="30"/>
      <c r="R1900" s="30" t="str" cm="1">
        <f t="array" ref="R1900">Main_Log_Ref(Main_Log[[#This Row],[Carrier]])</f>
        <v/>
      </c>
    </row>
    <row r="1901" spans="1:18" ht="29.85" customHeight="1" x14ac:dyDescent="0.45">
      <c r="A1901" s="30">
        <v>18</v>
      </c>
      <c r="B1901" s="30"/>
      <c r="C1901" s="30"/>
      <c r="D1901" s="30"/>
      <c r="E1901" s="30"/>
      <c r="F1901" s="30"/>
      <c r="G1901" s="30"/>
      <c r="H1901" s="30"/>
      <c r="I1901" s="30"/>
      <c r="J1901" s="30"/>
      <c r="K1901" s="30"/>
      <c r="L1901" s="30"/>
      <c r="M1901" s="30"/>
      <c r="N1901" s="30" t="str" cm="1">
        <f t="array" ref="N1901">Main_Log_Status(Main_Log[[#This Row],[Carrier]],Main_Log[[#This Row],[Net Weight]])</f>
        <v/>
      </c>
      <c r="O1901" s="30"/>
      <c r="P190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01" s="30"/>
      <c r="R1901" s="30" t="str" cm="1">
        <f t="array" ref="R1901">Main_Log_Ref(Main_Log[[#This Row],[Carrier]])</f>
        <v/>
      </c>
    </row>
    <row r="1902" spans="1:18" ht="29.85" customHeight="1" x14ac:dyDescent="0.45">
      <c r="A1902" s="30">
        <v>19</v>
      </c>
      <c r="B1902" s="30"/>
      <c r="C1902" s="30"/>
      <c r="D1902" s="30"/>
      <c r="E1902" s="30"/>
      <c r="F1902" s="30"/>
      <c r="G1902" s="30"/>
      <c r="H1902" s="30"/>
      <c r="I1902" s="30"/>
      <c r="J1902" s="30"/>
      <c r="K1902" s="30"/>
      <c r="L1902" s="30"/>
      <c r="M1902" s="30"/>
      <c r="N1902" s="30" t="str" cm="1">
        <f t="array" ref="N1902">Main_Log_Status(Main_Log[[#This Row],[Carrier]],Main_Log[[#This Row],[Net Weight]])</f>
        <v/>
      </c>
      <c r="O1902" s="30"/>
      <c r="P190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02" s="30"/>
      <c r="R1902" s="30" t="str" cm="1">
        <f t="array" ref="R1902">Main_Log_Ref(Main_Log[[#This Row],[Carrier]])</f>
        <v/>
      </c>
    </row>
    <row r="1903" spans="1:18" ht="29.85" customHeight="1" x14ac:dyDescent="0.45">
      <c r="A1903" s="30">
        <v>20</v>
      </c>
      <c r="B1903" s="30"/>
      <c r="C1903" s="30"/>
      <c r="D1903" s="30"/>
      <c r="E1903" s="30"/>
      <c r="F1903" s="30"/>
      <c r="G1903" s="30"/>
      <c r="H1903" s="30"/>
      <c r="I1903" s="30"/>
      <c r="J1903" s="30"/>
      <c r="K1903" s="30"/>
      <c r="L1903" s="30"/>
      <c r="M1903" s="30"/>
      <c r="N1903" s="30" t="str" cm="1">
        <f t="array" ref="N1903">Main_Log_Status(Main_Log[[#This Row],[Carrier]],Main_Log[[#This Row],[Net Weight]])</f>
        <v/>
      </c>
      <c r="O1903" s="30"/>
      <c r="P190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03" s="30"/>
      <c r="R1903" s="30" t="str" cm="1">
        <f t="array" ref="R1903">Main_Log_Ref(Main_Log[[#This Row],[Carrier]])</f>
        <v/>
      </c>
    </row>
    <row r="1904" spans="1:18" ht="29.85" customHeight="1" x14ac:dyDescent="0.45">
      <c r="A1904" s="30">
        <v>21</v>
      </c>
      <c r="B1904" s="30"/>
      <c r="C1904" s="30"/>
      <c r="D1904" s="30"/>
      <c r="E1904" s="30"/>
      <c r="F1904" s="30"/>
      <c r="G1904" s="30"/>
      <c r="H1904" s="30"/>
      <c r="I1904" s="30"/>
      <c r="J1904" s="30"/>
      <c r="K1904" s="30"/>
      <c r="L1904" s="30"/>
      <c r="M1904" s="30"/>
      <c r="N1904" s="30" t="str" cm="1">
        <f t="array" ref="N1904">Main_Log_Status(Main_Log[[#This Row],[Carrier]],Main_Log[[#This Row],[Net Weight]])</f>
        <v/>
      </c>
      <c r="O1904" s="30"/>
      <c r="P190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04" s="30"/>
      <c r="R1904" s="30" t="str" cm="1">
        <f t="array" ref="R1904">Main_Log_Ref(Main_Log[[#This Row],[Carrier]])</f>
        <v/>
      </c>
    </row>
    <row r="1905" spans="1:18" ht="29.85" customHeight="1" x14ac:dyDescent="0.45">
      <c r="A1905" s="30">
        <v>22</v>
      </c>
      <c r="B1905" s="30"/>
      <c r="C1905" s="30"/>
      <c r="D1905" s="30"/>
      <c r="E1905" s="30"/>
      <c r="F1905" s="30"/>
      <c r="G1905" s="30"/>
      <c r="H1905" s="30"/>
      <c r="I1905" s="30"/>
      <c r="J1905" s="30"/>
      <c r="K1905" s="30"/>
      <c r="L1905" s="30"/>
      <c r="M1905" s="30"/>
      <c r="N1905" s="30" t="str" cm="1">
        <f t="array" ref="N1905">Main_Log_Status(Main_Log[[#This Row],[Carrier]],Main_Log[[#This Row],[Net Weight]])</f>
        <v/>
      </c>
      <c r="O1905" s="30"/>
      <c r="P190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05" s="30"/>
      <c r="R1905" s="30" t="str" cm="1">
        <f t="array" ref="R1905">Main_Log_Ref(Main_Log[[#This Row],[Carrier]])</f>
        <v/>
      </c>
    </row>
    <row r="1906" spans="1:18" ht="29.85" customHeight="1" x14ac:dyDescent="0.45">
      <c r="A1906" s="30">
        <v>23</v>
      </c>
      <c r="B1906" s="30"/>
      <c r="C1906" s="30"/>
      <c r="D1906" s="30"/>
      <c r="E1906" s="30"/>
      <c r="F1906" s="30"/>
      <c r="G1906" s="30"/>
      <c r="H1906" s="30"/>
      <c r="I1906" s="30"/>
      <c r="J1906" s="30"/>
      <c r="K1906" s="30"/>
      <c r="L1906" s="30"/>
      <c r="M1906" s="30"/>
      <c r="N1906" s="30" t="str" cm="1">
        <f t="array" ref="N1906">Main_Log_Status(Main_Log[[#This Row],[Carrier]],Main_Log[[#This Row],[Net Weight]])</f>
        <v/>
      </c>
      <c r="O1906" s="30"/>
      <c r="P190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06" s="30"/>
      <c r="R1906" s="30" t="str" cm="1">
        <f t="array" ref="R1906">Main_Log_Ref(Main_Log[[#This Row],[Carrier]])</f>
        <v/>
      </c>
    </row>
    <row r="1907" spans="1:18" ht="29.85" customHeight="1" x14ac:dyDescent="0.45">
      <c r="A1907" s="30">
        <v>24</v>
      </c>
      <c r="B1907" s="30"/>
      <c r="C1907" s="30"/>
      <c r="D1907" s="30"/>
      <c r="E1907" s="30"/>
      <c r="F1907" s="30"/>
      <c r="G1907" s="30"/>
      <c r="H1907" s="30"/>
      <c r="I1907" s="30"/>
      <c r="J1907" s="30"/>
      <c r="K1907" s="30"/>
      <c r="L1907" s="30"/>
      <c r="M1907" s="30"/>
      <c r="N1907" s="30" t="str" cm="1">
        <f t="array" ref="N1907">Main_Log_Status(Main_Log[[#This Row],[Carrier]],Main_Log[[#This Row],[Net Weight]])</f>
        <v/>
      </c>
      <c r="O1907" s="30"/>
      <c r="P190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07" s="30"/>
      <c r="R1907" s="30" t="str" cm="1">
        <f t="array" ref="R1907">Main_Log_Ref(Main_Log[[#This Row],[Carrier]])</f>
        <v/>
      </c>
    </row>
    <row r="1908" spans="1:18" ht="29.85" customHeight="1" x14ac:dyDescent="0.45">
      <c r="A1908" s="30">
        <v>25</v>
      </c>
      <c r="B1908" s="30"/>
      <c r="C1908" s="30"/>
      <c r="D1908" s="30"/>
      <c r="E1908" s="30"/>
      <c r="F1908" s="30"/>
      <c r="G1908" s="30"/>
      <c r="H1908" s="30"/>
      <c r="I1908" s="30"/>
      <c r="J1908" s="30"/>
      <c r="K1908" s="30"/>
      <c r="L1908" s="30"/>
      <c r="M1908" s="30"/>
      <c r="N1908" s="30" t="str" cm="1">
        <f t="array" ref="N1908">Main_Log_Status(Main_Log[[#This Row],[Carrier]],Main_Log[[#This Row],[Net Weight]])</f>
        <v/>
      </c>
      <c r="O1908" s="30"/>
      <c r="P190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08" s="30"/>
      <c r="R1908" s="30" t="str" cm="1">
        <f t="array" ref="R1908">Main_Log_Ref(Main_Log[[#This Row],[Carrier]])</f>
        <v/>
      </c>
    </row>
    <row r="1909" spans="1:18" ht="29.85" customHeight="1" x14ac:dyDescent="0.45">
      <c r="A1909" s="30">
        <v>26</v>
      </c>
      <c r="B1909" s="30"/>
      <c r="C1909" s="30"/>
      <c r="D1909" s="30"/>
      <c r="E1909" s="30"/>
      <c r="F1909" s="30"/>
      <c r="G1909" s="30"/>
      <c r="H1909" s="30"/>
      <c r="I1909" s="30"/>
      <c r="J1909" s="30"/>
      <c r="K1909" s="30"/>
      <c r="L1909" s="30"/>
      <c r="M1909" s="30"/>
      <c r="N1909" s="30" t="str" cm="1">
        <f t="array" ref="N1909">Main_Log_Status(Main_Log[[#This Row],[Carrier]],Main_Log[[#This Row],[Net Weight]])</f>
        <v/>
      </c>
      <c r="O1909" s="30"/>
      <c r="P190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09" s="30"/>
      <c r="R1909" s="30" t="str" cm="1">
        <f t="array" ref="R1909">Main_Log_Ref(Main_Log[[#This Row],[Carrier]])</f>
        <v/>
      </c>
    </row>
    <row r="1910" spans="1:18" ht="29.85" customHeight="1" x14ac:dyDescent="0.45">
      <c r="A1910" s="30">
        <v>27</v>
      </c>
      <c r="B1910" s="30"/>
      <c r="C1910" s="30"/>
      <c r="D1910" s="30"/>
      <c r="E1910" s="30"/>
      <c r="F1910" s="30"/>
      <c r="G1910" s="30"/>
      <c r="H1910" s="30"/>
      <c r="I1910" s="30"/>
      <c r="J1910" s="30"/>
      <c r="K1910" s="30"/>
      <c r="L1910" s="30"/>
      <c r="M1910" s="30"/>
      <c r="N1910" s="30" t="str" cm="1">
        <f t="array" ref="N1910">Main_Log_Status(Main_Log[[#This Row],[Carrier]],Main_Log[[#This Row],[Net Weight]])</f>
        <v/>
      </c>
      <c r="O1910" s="30"/>
      <c r="P191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10" s="30"/>
      <c r="R1910" s="30" t="str" cm="1">
        <f t="array" ref="R1910">Main_Log_Ref(Main_Log[[#This Row],[Carrier]])</f>
        <v/>
      </c>
    </row>
    <row r="1911" spans="1:18" ht="29.85" customHeight="1" x14ac:dyDescent="0.45">
      <c r="A1911" s="30">
        <v>28</v>
      </c>
      <c r="B1911" s="30"/>
      <c r="C1911" s="30"/>
      <c r="D1911" s="30"/>
      <c r="E1911" s="30"/>
      <c r="F1911" s="30"/>
      <c r="G1911" s="30"/>
      <c r="H1911" s="30"/>
      <c r="I1911" s="30"/>
      <c r="J1911" s="30"/>
      <c r="K1911" s="30"/>
      <c r="L1911" s="30"/>
      <c r="M1911" s="30"/>
      <c r="N1911" s="30" t="str" cm="1">
        <f t="array" ref="N1911">Main_Log_Status(Main_Log[[#This Row],[Carrier]],Main_Log[[#This Row],[Net Weight]])</f>
        <v/>
      </c>
      <c r="O1911" s="30"/>
      <c r="P191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11" s="30"/>
      <c r="R1911" s="30" t="str" cm="1">
        <f t="array" ref="R1911">Main_Log_Ref(Main_Log[[#This Row],[Carrier]])</f>
        <v/>
      </c>
    </row>
    <row r="1912" spans="1:18" ht="29.85" customHeight="1" x14ac:dyDescent="0.45">
      <c r="A1912" s="30">
        <v>29</v>
      </c>
      <c r="B1912" s="30"/>
      <c r="C1912" s="30"/>
      <c r="D1912" s="30"/>
      <c r="E1912" s="30"/>
      <c r="F1912" s="30"/>
      <c r="G1912" s="30"/>
      <c r="H1912" s="30"/>
      <c r="I1912" s="30"/>
      <c r="J1912" s="30"/>
      <c r="K1912" s="30"/>
      <c r="L1912" s="30"/>
      <c r="M1912" s="30"/>
      <c r="N1912" s="30" t="str" cm="1">
        <f t="array" ref="N1912">Main_Log_Status(Main_Log[[#This Row],[Carrier]],Main_Log[[#This Row],[Net Weight]])</f>
        <v/>
      </c>
      <c r="O1912" s="30"/>
      <c r="P191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12" s="30"/>
      <c r="R1912" s="30" t="str" cm="1">
        <f t="array" ref="R1912">Main_Log_Ref(Main_Log[[#This Row],[Carrier]])</f>
        <v/>
      </c>
    </row>
    <row r="1913" spans="1:18" ht="29.85" customHeight="1" x14ac:dyDescent="0.45">
      <c r="A1913" s="30">
        <v>30</v>
      </c>
      <c r="B1913" s="30"/>
      <c r="C1913" s="30"/>
      <c r="D1913" s="30"/>
      <c r="E1913" s="30"/>
      <c r="F1913" s="30"/>
      <c r="G1913" s="30"/>
      <c r="H1913" s="30"/>
      <c r="I1913" s="30"/>
      <c r="J1913" s="30"/>
      <c r="K1913" s="30"/>
      <c r="L1913" s="30"/>
      <c r="M1913" s="30"/>
      <c r="N1913" s="30" t="str" cm="1">
        <f t="array" ref="N1913">Main_Log_Status(Main_Log[[#This Row],[Carrier]],Main_Log[[#This Row],[Net Weight]])</f>
        <v/>
      </c>
      <c r="O1913" s="30"/>
      <c r="P191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13" s="30"/>
      <c r="R1913" s="30" t="str" cm="1">
        <f t="array" ref="R1913">Main_Log_Ref(Main_Log[[#This Row],[Carrier]])</f>
        <v/>
      </c>
    </row>
    <row r="1914" spans="1:18" ht="29.85" customHeight="1" x14ac:dyDescent="0.45">
      <c r="A1914" s="30">
        <v>31</v>
      </c>
      <c r="B1914" s="30"/>
      <c r="C1914" s="30"/>
      <c r="D1914" s="30"/>
      <c r="E1914" s="30"/>
      <c r="F1914" s="30"/>
      <c r="G1914" s="30"/>
      <c r="H1914" s="30"/>
      <c r="I1914" s="30"/>
      <c r="J1914" s="30"/>
      <c r="K1914" s="30"/>
      <c r="L1914" s="30"/>
      <c r="M1914" s="30"/>
      <c r="N1914" s="30" t="str" cm="1">
        <f t="array" ref="N1914">Main_Log_Status(Main_Log[[#This Row],[Carrier]],Main_Log[[#This Row],[Net Weight]])</f>
        <v/>
      </c>
      <c r="O1914" s="30"/>
      <c r="P191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14" s="30"/>
      <c r="R1914" s="30" t="str" cm="1">
        <f t="array" ref="R1914">Main_Log_Ref(Main_Log[[#This Row],[Carrier]])</f>
        <v/>
      </c>
    </row>
    <row r="1915" spans="1:18" ht="29.85" customHeight="1" x14ac:dyDescent="0.45">
      <c r="A1915" s="30">
        <v>32</v>
      </c>
      <c r="B1915" s="30"/>
      <c r="C1915" s="30"/>
      <c r="D1915" s="30"/>
      <c r="E1915" s="30"/>
      <c r="F1915" s="30"/>
      <c r="G1915" s="30"/>
      <c r="H1915" s="30"/>
      <c r="I1915" s="30"/>
      <c r="J1915" s="30"/>
      <c r="K1915" s="30"/>
      <c r="L1915" s="30"/>
      <c r="M1915" s="30"/>
      <c r="N1915" s="30" t="str" cm="1">
        <f t="array" ref="N1915">Main_Log_Status(Main_Log[[#This Row],[Carrier]],Main_Log[[#This Row],[Net Weight]])</f>
        <v/>
      </c>
      <c r="O1915" s="30"/>
      <c r="P191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15" s="30"/>
      <c r="R1915" s="30" t="str" cm="1">
        <f t="array" ref="R1915">Main_Log_Ref(Main_Log[[#This Row],[Carrier]])</f>
        <v/>
      </c>
    </row>
    <row r="1916" spans="1:18" ht="29.85" customHeight="1" x14ac:dyDescent="0.45">
      <c r="A1916" s="30">
        <v>33</v>
      </c>
      <c r="B1916" s="30"/>
      <c r="C1916" s="30"/>
      <c r="D1916" s="30"/>
      <c r="E1916" s="30"/>
      <c r="F1916" s="30"/>
      <c r="G1916" s="30"/>
      <c r="H1916" s="30"/>
      <c r="I1916" s="30"/>
      <c r="J1916" s="30"/>
      <c r="K1916" s="30"/>
      <c r="L1916" s="30"/>
      <c r="M1916" s="30"/>
      <c r="N1916" s="30" t="str" cm="1">
        <f t="array" ref="N1916">Main_Log_Status(Main_Log[[#This Row],[Carrier]],Main_Log[[#This Row],[Net Weight]])</f>
        <v/>
      </c>
      <c r="O1916" s="30"/>
      <c r="P191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16" s="30"/>
      <c r="R1916" s="30" t="str" cm="1">
        <f t="array" ref="R1916">Main_Log_Ref(Main_Log[[#This Row],[Carrier]])</f>
        <v/>
      </c>
    </row>
    <row r="1917" spans="1:18" ht="29.85" customHeight="1" x14ac:dyDescent="0.45">
      <c r="A1917" s="30">
        <v>34</v>
      </c>
      <c r="B1917" s="30"/>
      <c r="C1917" s="30"/>
      <c r="D1917" s="30"/>
      <c r="E1917" s="30"/>
      <c r="F1917" s="30"/>
      <c r="G1917" s="30"/>
      <c r="H1917" s="30"/>
      <c r="I1917" s="30"/>
      <c r="J1917" s="30"/>
      <c r="K1917" s="30"/>
      <c r="L1917" s="30"/>
      <c r="M1917" s="30"/>
      <c r="N1917" s="30" t="str" cm="1">
        <f t="array" ref="N1917">Main_Log_Status(Main_Log[[#This Row],[Carrier]],Main_Log[[#This Row],[Net Weight]])</f>
        <v/>
      </c>
      <c r="O1917" s="30"/>
      <c r="P191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17" s="30"/>
      <c r="R1917" s="30" t="str" cm="1">
        <f t="array" ref="R1917">Main_Log_Ref(Main_Log[[#This Row],[Carrier]])</f>
        <v/>
      </c>
    </row>
    <row r="1918" spans="1:18" ht="29.85" customHeight="1" x14ac:dyDescent="0.45">
      <c r="A1918" s="30">
        <v>35</v>
      </c>
      <c r="B1918" s="30"/>
      <c r="C1918" s="30"/>
      <c r="D1918" s="30"/>
      <c r="E1918" s="30"/>
      <c r="F1918" s="30"/>
      <c r="G1918" s="30"/>
      <c r="H1918" s="30"/>
      <c r="I1918" s="30"/>
      <c r="J1918" s="30"/>
      <c r="K1918" s="30"/>
      <c r="L1918" s="30"/>
      <c r="M1918" s="30"/>
      <c r="N1918" s="30" t="str" cm="1">
        <f t="array" ref="N1918">Main_Log_Status(Main_Log[[#This Row],[Carrier]],Main_Log[[#This Row],[Net Weight]])</f>
        <v/>
      </c>
      <c r="O1918" s="30"/>
      <c r="P191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18" s="30"/>
      <c r="R1918" s="30" t="str" cm="1">
        <f t="array" ref="R1918">Main_Log_Ref(Main_Log[[#This Row],[Carrier]])</f>
        <v/>
      </c>
    </row>
    <row r="1919" spans="1:18" ht="29.85" customHeight="1" x14ac:dyDescent="0.45">
      <c r="A1919" s="30">
        <v>36</v>
      </c>
      <c r="B1919" s="30"/>
      <c r="C1919" s="30"/>
      <c r="D1919" s="30"/>
      <c r="E1919" s="30"/>
      <c r="F1919" s="30"/>
      <c r="G1919" s="30"/>
      <c r="H1919" s="30"/>
      <c r="I1919" s="30"/>
      <c r="J1919" s="30"/>
      <c r="K1919" s="30"/>
      <c r="L1919" s="30"/>
      <c r="M1919" s="30"/>
      <c r="N1919" s="30" t="str" cm="1">
        <f t="array" ref="N1919">Main_Log_Status(Main_Log[[#This Row],[Carrier]],Main_Log[[#This Row],[Net Weight]])</f>
        <v/>
      </c>
      <c r="O1919" s="30"/>
      <c r="P191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19" s="30"/>
      <c r="R1919" s="30" t="str" cm="1">
        <f t="array" ref="R1919">Main_Log_Ref(Main_Log[[#This Row],[Carrier]])</f>
        <v/>
      </c>
    </row>
    <row r="1920" spans="1:18" ht="29.85" customHeight="1" x14ac:dyDescent="0.45">
      <c r="A1920" s="30">
        <v>37</v>
      </c>
      <c r="B1920" s="30"/>
      <c r="C1920" s="30"/>
      <c r="D1920" s="30"/>
      <c r="E1920" s="30"/>
      <c r="F1920" s="30"/>
      <c r="G1920" s="30"/>
      <c r="H1920" s="30"/>
      <c r="I1920" s="30"/>
      <c r="J1920" s="30"/>
      <c r="K1920" s="30"/>
      <c r="L1920" s="30"/>
      <c r="M1920" s="30"/>
      <c r="N1920" s="30" t="str" cm="1">
        <f t="array" ref="N1920">Main_Log_Status(Main_Log[[#This Row],[Carrier]],Main_Log[[#This Row],[Net Weight]])</f>
        <v/>
      </c>
      <c r="O1920" s="30"/>
      <c r="P192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20" s="30"/>
      <c r="R1920" s="30" t="str" cm="1">
        <f t="array" ref="R1920">Main_Log_Ref(Main_Log[[#This Row],[Carrier]])</f>
        <v/>
      </c>
    </row>
    <row r="1921" spans="1:18" ht="29.85" customHeight="1" x14ac:dyDescent="0.45">
      <c r="A1921" s="30">
        <v>38</v>
      </c>
      <c r="B1921" s="30"/>
      <c r="C1921" s="30"/>
      <c r="D1921" s="30"/>
      <c r="E1921" s="30"/>
      <c r="F1921" s="30"/>
      <c r="G1921" s="30"/>
      <c r="H1921" s="30"/>
      <c r="I1921" s="30"/>
      <c r="J1921" s="30"/>
      <c r="K1921" s="30"/>
      <c r="L1921" s="30"/>
      <c r="M1921" s="30"/>
      <c r="N1921" s="30" t="str" cm="1">
        <f t="array" ref="N1921">Main_Log_Status(Main_Log[[#This Row],[Carrier]],Main_Log[[#This Row],[Net Weight]])</f>
        <v/>
      </c>
      <c r="O1921" s="30"/>
      <c r="P192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21" s="30"/>
      <c r="R1921" s="30" t="str" cm="1">
        <f t="array" ref="R1921">Main_Log_Ref(Main_Log[[#This Row],[Carrier]])</f>
        <v/>
      </c>
    </row>
    <row r="1922" spans="1:18" ht="29.85" customHeight="1" x14ac:dyDescent="0.45">
      <c r="A1922" s="30">
        <v>39</v>
      </c>
      <c r="B1922" s="30"/>
      <c r="C1922" s="30"/>
      <c r="D1922" s="30"/>
      <c r="E1922" s="30"/>
      <c r="F1922" s="30"/>
      <c r="G1922" s="30"/>
      <c r="H1922" s="30"/>
      <c r="I1922" s="30"/>
      <c r="J1922" s="30"/>
      <c r="K1922" s="30"/>
      <c r="L1922" s="30"/>
      <c r="M1922" s="30"/>
      <c r="N1922" s="30" t="str" cm="1">
        <f t="array" ref="N1922">Main_Log_Status(Main_Log[[#This Row],[Carrier]],Main_Log[[#This Row],[Net Weight]])</f>
        <v/>
      </c>
      <c r="O1922" s="30"/>
      <c r="P192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22" s="30"/>
      <c r="R1922" s="30" t="str" cm="1">
        <f t="array" ref="R1922">Main_Log_Ref(Main_Log[[#This Row],[Carrier]])</f>
        <v/>
      </c>
    </row>
    <row r="1923" spans="1:18" ht="29.85" customHeight="1" x14ac:dyDescent="0.45">
      <c r="A1923" s="30">
        <v>40</v>
      </c>
      <c r="B1923" s="30"/>
      <c r="C1923" s="30"/>
      <c r="D1923" s="30"/>
      <c r="E1923" s="30"/>
      <c r="F1923" s="30"/>
      <c r="G1923" s="30"/>
      <c r="H1923" s="30"/>
      <c r="I1923" s="30"/>
      <c r="J1923" s="30"/>
      <c r="K1923" s="30"/>
      <c r="L1923" s="30"/>
      <c r="M1923" s="30"/>
      <c r="N1923" s="30" t="str" cm="1">
        <f t="array" ref="N1923">Main_Log_Status(Main_Log[[#This Row],[Carrier]],Main_Log[[#This Row],[Net Weight]])</f>
        <v/>
      </c>
      <c r="O1923" s="30"/>
      <c r="P192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23" s="30"/>
      <c r="R1923" s="30" t="str" cm="1">
        <f t="array" ref="R1923">Main_Log_Ref(Main_Log[[#This Row],[Carrier]])</f>
        <v/>
      </c>
    </row>
    <row r="1924" spans="1:18" ht="29.85" customHeight="1" x14ac:dyDescent="0.45">
      <c r="A1924" s="30">
        <v>41</v>
      </c>
      <c r="B1924" s="30"/>
      <c r="C1924" s="30"/>
      <c r="D1924" s="30"/>
      <c r="E1924" s="30"/>
      <c r="F1924" s="30"/>
      <c r="G1924" s="30"/>
      <c r="H1924" s="30"/>
      <c r="I1924" s="30"/>
      <c r="J1924" s="30"/>
      <c r="K1924" s="30"/>
      <c r="L1924" s="30"/>
      <c r="M1924" s="30"/>
      <c r="N1924" s="30" t="str" cm="1">
        <f t="array" ref="N1924">Main_Log_Status(Main_Log[[#This Row],[Carrier]],Main_Log[[#This Row],[Net Weight]])</f>
        <v/>
      </c>
      <c r="O1924" s="30"/>
      <c r="P192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24" s="30"/>
      <c r="R1924" s="30" t="str" cm="1">
        <f t="array" ref="R1924">Main_Log_Ref(Main_Log[[#This Row],[Carrier]])</f>
        <v/>
      </c>
    </row>
    <row r="1925" spans="1:18" ht="29.85" customHeight="1" x14ac:dyDescent="0.45">
      <c r="A1925" s="30">
        <v>42</v>
      </c>
      <c r="B1925" s="30"/>
      <c r="C1925" s="30"/>
      <c r="D1925" s="30"/>
      <c r="E1925" s="30"/>
      <c r="F1925" s="30"/>
      <c r="G1925" s="30"/>
      <c r="H1925" s="30"/>
      <c r="I1925" s="30"/>
      <c r="J1925" s="30"/>
      <c r="K1925" s="30"/>
      <c r="L1925" s="30"/>
      <c r="M1925" s="30"/>
      <c r="N1925" s="30" t="str" cm="1">
        <f t="array" ref="N1925">Main_Log_Status(Main_Log[[#This Row],[Carrier]],Main_Log[[#This Row],[Net Weight]])</f>
        <v/>
      </c>
      <c r="O1925" s="30"/>
      <c r="P192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25" s="30"/>
      <c r="R1925" s="30" t="str" cm="1">
        <f t="array" ref="R1925">Main_Log_Ref(Main_Log[[#This Row],[Carrier]])</f>
        <v/>
      </c>
    </row>
    <row r="1926" spans="1:18" ht="29.85" customHeight="1" x14ac:dyDescent="0.45">
      <c r="A1926" s="30">
        <v>43</v>
      </c>
      <c r="B1926" s="30"/>
      <c r="C1926" s="30"/>
      <c r="D1926" s="30"/>
      <c r="E1926" s="30"/>
      <c r="F1926" s="30"/>
      <c r="G1926" s="30"/>
      <c r="H1926" s="30"/>
      <c r="I1926" s="30"/>
      <c r="J1926" s="30"/>
      <c r="K1926" s="30"/>
      <c r="L1926" s="30"/>
      <c r="M1926" s="30"/>
      <c r="N1926" s="30" t="str" cm="1">
        <f t="array" ref="N1926">Main_Log_Status(Main_Log[[#This Row],[Carrier]],Main_Log[[#This Row],[Net Weight]])</f>
        <v/>
      </c>
      <c r="O1926" s="30"/>
      <c r="P192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26" s="30"/>
      <c r="R1926" s="30" t="str" cm="1">
        <f t="array" ref="R1926">Main_Log_Ref(Main_Log[[#This Row],[Carrier]])</f>
        <v/>
      </c>
    </row>
    <row r="1927" spans="1:18" ht="29.85" customHeight="1" x14ac:dyDescent="0.45">
      <c r="A1927" s="30">
        <v>44</v>
      </c>
      <c r="B1927" s="30"/>
      <c r="C1927" s="30"/>
      <c r="D1927" s="30"/>
      <c r="E1927" s="30"/>
      <c r="F1927" s="30"/>
      <c r="G1927" s="30"/>
      <c r="H1927" s="30"/>
      <c r="I1927" s="30"/>
      <c r="J1927" s="30"/>
      <c r="K1927" s="30"/>
      <c r="L1927" s="30"/>
      <c r="M1927" s="30"/>
      <c r="N1927" s="30" t="str" cm="1">
        <f t="array" ref="N1927">Main_Log_Status(Main_Log[[#This Row],[Carrier]],Main_Log[[#This Row],[Net Weight]])</f>
        <v/>
      </c>
      <c r="O1927" s="30"/>
      <c r="P192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27" s="30"/>
      <c r="R1927" s="30" t="str" cm="1">
        <f t="array" ref="R1927">Main_Log_Ref(Main_Log[[#This Row],[Carrier]])</f>
        <v/>
      </c>
    </row>
    <row r="1928" spans="1:18" ht="29.85" customHeight="1" x14ac:dyDescent="0.45">
      <c r="A1928" s="30">
        <v>45</v>
      </c>
      <c r="B1928" s="30"/>
      <c r="C1928" s="30"/>
      <c r="D1928" s="30"/>
      <c r="E1928" s="30"/>
      <c r="F1928" s="30"/>
      <c r="G1928" s="30"/>
      <c r="H1928" s="30"/>
      <c r="I1928" s="30"/>
      <c r="J1928" s="30"/>
      <c r="K1928" s="30"/>
      <c r="L1928" s="30"/>
      <c r="M1928" s="30"/>
      <c r="N1928" s="30" t="str" cm="1">
        <f t="array" ref="N1928">Main_Log_Status(Main_Log[[#This Row],[Carrier]],Main_Log[[#This Row],[Net Weight]])</f>
        <v/>
      </c>
      <c r="O1928" s="30"/>
      <c r="P192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28" s="30"/>
      <c r="R1928" s="30" t="str" cm="1">
        <f t="array" ref="R1928">Main_Log_Ref(Main_Log[[#This Row],[Carrier]])</f>
        <v/>
      </c>
    </row>
    <row r="1929" spans="1:18" ht="29.85" customHeight="1" x14ac:dyDescent="0.45">
      <c r="A1929" s="30">
        <v>46</v>
      </c>
      <c r="B1929" s="30"/>
      <c r="C1929" s="30"/>
      <c r="D1929" s="30"/>
      <c r="E1929" s="30"/>
      <c r="F1929" s="30"/>
      <c r="G1929" s="30"/>
      <c r="H1929" s="30"/>
      <c r="I1929" s="30"/>
      <c r="J1929" s="30"/>
      <c r="K1929" s="30"/>
      <c r="L1929" s="30"/>
      <c r="M1929" s="30"/>
      <c r="N1929" s="30" t="str" cm="1">
        <f t="array" ref="N1929">Main_Log_Status(Main_Log[[#This Row],[Carrier]],Main_Log[[#This Row],[Net Weight]])</f>
        <v/>
      </c>
      <c r="O1929" s="30"/>
      <c r="P192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29" s="30"/>
      <c r="R1929" s="30" t="str" cm="1">
        <f t="array" ref="R1929">Main_Log_Ref(Main_Log[[#This Row],[Carrier]])</f>
        <v/>
      </c>
    </row>
    <row r="1930" spans="1:18" ht="29.85" customHeight="1" x14ac:dyDescent="0.45">
      <c r="A1930" s="30">
        <v>47</v>
      </c>
      <c r="B1930" s="30"/>
      <c r="C1930" s="30"/>
      <c r="D1930" s="30"/>
      <c r="E1930" s="30"/>
      <c r="F1930" s="30"/>
      <c r="G1930" s="30"/>
      <c r="H1930" s="30"/>
      <c r="I1930" s="30"/>
      <c r="J1930" s="30"/>
      <c r="K1930" s="30"/>
      <c r="L1930" s="30"/>
      <c r="M1930" s="30"/>
      <c r="N1930" s="30" t="str" cm="1">
        <f t="array" ref="N1930">Main_Log_Status(Main_Log[[#This Row],[Carrier]],Main_Log[[#This Row],[Net Weight]])</f>
        <v/>
      </c>
      <c r="O1930" s="30"/>
      <c r="P193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30" s="30"/>
      <c r="R1930" s="30" t="str" cm="1">
        <f t="array" ref="R1930">Main_Log_Ref(Main_Log[[#This Row],[Carrier]])</f>
        <v/>
      </c>
    </row>
    <row r="1931" spans="1:18" ht="29.85" customHeight="1" x14ac:dyDescent="0.45">
      <c r="A1931" s="30">
        <v>48</v>
      </c>
      <c r="B1931" s="30"/>
      <c r="C1931" s="30"/>
      <c r="D1931" s="30"/>
      <c r="E1931" s="30"/>
      <c r="F1931" s="30"/>
      <c r="G1931" s="30"/>
      <c r="H1931" s="30"/>
      <c r="I1931" s="30"/>
      <c r="J1931" s="30"/>
      <c r="K1931" s="30"/>
      <c r="L1931" s="30"/>
      <c r="M1931" s="30"/>
      <c r="N1931" s="30" t="str" cm="1">
        <f t="array" ref="N1931">Main_Log_Status(Main_Log[[#This Row],[Carrier]],Main_Log[[#This Row],[Net Weight]])</f>
        <v/>
      </c>
      <c r="O1931" s="30"/>
      <c r="P193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31" s="30"/>
      <c r="R1931" s="30" t="str" cm="1">
        <f t="array" ref="R1931">Main_Log_Ref(Main_Log[[#This Row],[Carrier]])</f>
        <v/>
      </c>
    </row>
    <row r="1932" spans="1:18" ht="29.85" customHeight="1" x14ac:dyDescent="0.45">
      <c r="A1932" s="30">
        <v>49</v>
      </c>
      <c r="B1932" s="30"/>
      <c r="C1932" s="30"/>
      <c r="D1932" s="30"/>
      <c r="E1932" s="30"/>
      <c r="F1932" s="30"/>
      <c r="G1932" s="30"/>
      <c r="H1932" s="30"/>
      <c r="I1932" s="30"/>
      <c r="J1932" s="30"/>
      <c r="K1932" s="30"/>
      <c r="L1932" s="30"/>
      <c r="M1932" s="30"/>
      <c r="N1932" s="30" t="str" cm="1">
        <f t="array" ref="N1932">Main_Log_Status(Main_Log[[#This Row],[Carrier]],Main_Log[[#This Row],[Net Weight]])</f>
        <v/>
      </c>
      <c r="O1932" s="30"/>
      <c r="P193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32" s="30"/>
      <c r="R1932" s="30" t="str" cm="1">
        <f t="array" ref="R1932">Main_Log_Ref(Main_Log[[#This Row],[Carrier]])</f>
        <v/>
      </c>
    </row>
    <row r="1933" spans="1:18" ht="29.85" customHeight="1" x14ac:dyDescent="0.45">
      <c r="A1933" s="30">
        <v>50</v>
      </c>
      <c r="B1933" s="30"/>
      <c r="C1933" s="30"/>
      <c r="D1933" s="30"/>
      <c r="E1933" s="30"/>
      <c r="F1933" s="30"/>
      <c r="G1933" s="30"/>
      <c r="H1933" s="30"/>
      <c r="I1933" s="30"/>
      <c r="J1933" s="30"/>
      <c r="K1933" s="30"/>
      <c r="L1933" s="30"/>
      <c r="M1933" s="30"/>
      <c r="N1933" s="30" t="str" cm="1">
        <f t="array" ref="N1933">Main_Log_Status(Main_Log[[#This Row],[Carrier]],Main_Log[[#This Row],[Net Weight]])</f>
        <v/>
      </c>
      <c r="O1933" s="30"/>
      <c r="P193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33" s="30"/>
      <c r="R1933" s="30" t="str" cm="1">
        <f t="array" ref="R1933">Main_Log_Ref(Main_Log[[#This Row],[Carrier]])</f>
        <v/>
      </c>
    </row>
    <row r="1934" spans="1:18" ht="29.85" customHeight="1" x14ac:dyDescent="0.45">
      <c r="A1934" s="30">
        <v>51</v>
      </c>
      <c r="B1934" s="30"/>
      <c r="C1934" s="30"/>
      <c r="D1934" s="30"/>
      <c r="E1934" s="30"/>
      <c r="F1934" s="30"/>
      <c r="G1934" s="30"/>
      <c r="H1934" s="30"/>
      <c r="I1934" s="30"/>
      <c r="J1934" s="30"/>
      <c r="K1934" s="30"/>
      <c r="L1934" s="30"/>
      <c r="M1934" s="30"/>
      <c r="N1934" s="30" t="str" cm="1">
        <f t="array" ref="N1934">Main_Log_Status(Main_Log[[#This Row],[Carrier]],Main_Log[[#This Row],[Net Weight]])</f>
        <v/>
      </c>
      <c r="O1934" s="30"/>
      <c r="P193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34" s="30"/>
      <c r="R1934" s="30" t="str" cm="1">
        <f t="array" ref="R1934">Main_Log_Ref(Main_Log[[#This Row],[Carrier]])</f>
        <v/>
      </c>
    </row>
    <row r="1935" spans="1:18" ht="29.85" customHeight="1" x14ac:dyDescent="0.45">
      <c r="A1935" s="30">
        <v>52</v>
      </c>
      <c r="B1935" s="30"/>
      <c r="C1935" s="30"/>
      <c r="D1935" s="30"/>
      <c r="E1935" s="30"/>
      <c r="F1935" s="30"/>
      <c r="G1935" s="30"/>
      <c r="H1935" s="30"/>
      <c r="I1935" s="30"/>
      <c r="J1935" s="30"/>
      <c r="K1935" s="30"/>
      <c r="L1935" s="30"/>
      <c r="M1935" s="30"/>
      <c r="N1935" s="30" t="str" cm="1">
        <f t="array" ref="N1935">Main_Log_Status(Main_Log[[#This Row],[Carrier]],Main_Log[[#This Row],[Net Weight]])</f>
        <v/>
      </c>
      <c r="O1935" s="30"/>
      <c r="P193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35" s="30"/>
      <c r="R1935" s="30" t="str" cm="1">
        <f t="array" ref="R1935">Main_Log_Ref(Main_Log[[#This Row],[Carrier]])</f>
        <v/>
      </c>
    </row>
    <row r="1936" spans="1:18" ht="29.85" customHeight="1" x14ac:dyDescent="0.45">
      <c r="A1936" s="30">
        <v>53</v>
      </c>
      <c r="B1936" s="30"/>
      <c r="C1936" s="30"/>
      <c r="D1936" s="30"/>
      <c r="E1936" s="30"/>
      <c r="F1936" s="30"/>
      <c r="G1936" s="30"/>
      <c r="H1936" s="30"/>
      <c r="I1936" s="30"/>
      <c r="J1936" s="30"/>
      <c r="K1936" s="30"/>
      <c r="L1936" s="30"/>
      <c r="M1936" s="30"/>
      <c r="N1936" s="30" t="str" cm="1">
        <f t="array" ref="N1936">Main_Log_Status(Main_Log[[#This Row],[Carrier]],Main_Log[[#This Row],[Net Weight]])</f>
        <v/>
      </c>
      <c r="O1936" s="30"/>
      <c r="P193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36" s="30"/>
      <c r="R1936" s="30" t="str" cm="1">
        <f t="array" ref="R1936">Main_Log_Ref(Main_Log[[#This Row],[Carrier]])</f>
        <v/>
      </c>
    </row>
    <row r="1937" spans="1:18" ht="29.85" customHeight="1" x14ac:dyDescent="0.45">
      <c r="A1937" s="30">
        <v>54</v>
      </c>
      <c r="B1937" s="30"/>
      <c r="C1937" s="30"/>
      <c r="D1937" s="30"/>
      <c r="E1937" s="30"/>
      <c r="F1937" s="30"/>
      <c r="G1937" s="30"/>
      <c r="H1937" s="30"/>
      <c r="I1937" s="30"/>
      <c r="J1937" s="30"/>
      <c r="K1937" s="30"/>
      <c r="L1937" s="30"/>
      <c r="M1937" s="30"/>
      <c r="N1937" s="30" t="str" cm="1">
        <f t="array" ref="N1937">Main_Log_Status(Main_Log[[#This Row],[Carrier]],Main_Log[[#This Row],[Net Weight]])</f>
        <v/>
      </c>
      <c r="O1937" s="30"/>
      <c r="P193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37" s="30"/>
      <c r="R1937" s="30" t="str" cm="1">
        <f t="array" ref="R1937">Main_Log_Ref(Main_Log[[#This Row],[Carrier]])</f>
        <v/>
      </c>
    </row>
    <row r="1938" spans="1:18" ht="29.85" customHeight="1" x14ac:dyDescent="0.45">
      <c r="A1938" s="30">
        <v>55</v>
      </c>
      <c r="B1938" s="30"/>
      <c r="C1938" s="30"/>
      <c r="D1938" s="30"/>
      <c r="E1938" s="30"/>
      <c r="F1938" s="30"/>
      <c r="G1938" s="30"/>
      <c r="H1938" s="30"/>
      <c r="I1938" s="30"/>
      <c r="J1938" s="30"/>
      <c r="K1938" s="30"/>
      <c r="L1938" s="30"/>
      <c r="M1938" s="30"/>
      <c r="N1938" s="30" t="str" cm="1">
        <f t="array" ref="N1938">Main_Log_Status(Main_Log[[#This Row],[Carrier]],Main_Log[[#This Row],[Net Weight]])</f>
        <v/>
      </c>
      <c r="O1938" s="30"/>
      <c r="P193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38" s="30"/>
      <c r="R1938" s="30" t="str" cm="1">
        <f t="array" ref="R1938">Main_Log_Ref(Main_Log[[#This Row],[Carrier]])</f>
        <v/>
      </c>
    </row>
    <row r="1939" spans="1:18" ht="29.85" customHeight="1" x14ac:dyDescent="0.45">
      <c r="A1939" s="30">
        <v>56</v>
      </c>
      <c r="B1939" s="30"/>
      <c r="C1939" s="30"/>
      <c r="D1939" s="30"/>
      <c r="E1939" s="30"/>
      <c r="F1939" s="30"/>
      <c r="G1939" s="30"/>
      <c r="H1939" s="30"/>
      <c r="I1939" s="30"/>
      <c r="J1939" s="30"/>
      <c r="K1939" s="30"/>
      <c r="L1939" s="30"/>
      <c r="M1939" s="30"/>
      <c r="N1939" s="30" t="str" cm="1">
        <f t="array" ref="N1939">Main_Log_Status(Main_Log[[#This Row],[Carrier]],Main_Log[[#This Row],[Net Weight]])</f>
        <v/>
      </c>
      <c r="O1939" s="30"/>
      <c r="P193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39" s="30"/>
      <c r="R1939" s="30" t="str" cm="1">
        <f t="array" ref="R1939">Main_Log_Ref(Main_Log[[#This Row],[Carrier]])</f>
        <v/>
      </c>
    </row>
    <row r="1940" spans="1:18" ht="29.85" customHeight="1" x14ac:dyDescent="0.45">
      <c r="A1940" s="30">
        <v>57</v>
      </c>
      <c r="B1940" s="30"/>
      <c r="C1940" s="30"/>
      <c r="D1940" s="30"/>
      <c r="E1940" s="30"/>
      <c r="F1940" s="30"/>
      <c r="G1940" s="30"/>
      <c r="H1940" s="30"/>
      <c r="I1940" s="30"/>
      <c r="J1940" s="30"/>
      <c r="K1940" s="30"/>
      <c r="L1940" s="30"/>
      <c r="M1940" s="30"/>
      <c r="N1940" s="30" t="str" cm="1">
        <f t="array" ref="N1940">Main_Log_Status(Main_Log[[#This Row],[Carrier]],Main_Log[[#This Row],[Net Weight]])</f>
        <v/>
      </c>
      <c r="O1940" s="30"/>
      <c r="P194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40" s="30"/>
      <c r="R1940" s="30" t="str" cm="1">
        <f t="array" ref="R1940">Main_Log_Ref(Main_Log[[#This Row],[Carrier]])</f>
        <v/>
      </c>
    </row>
    <row r="1941" spans="1:18" ht="29.85" customHeight="1" x14ac:dyDescent="0.45">
      <c r="A1941" s="30">
        <v>58</v>
      </c>
      <c r="B1941" s="30"/>
      <c r="C1941" s="30"/>
      <c r="D1941" s="30"/>
      <c r="E1941" s="30"/>
      <c r="F1941" s="30"/>
      <c r="G1941" s="30"/>
      <c r="H1941" s="30"/>
      <c r="I1941" s="30"/>
      <c r="J1941" s="30"/>
      <c r="K1941" s="30"/>
      <c r="L1941" s="30"/>
      <c r="M1941" s="30"/>
      <c r="N1941" s="30" t="str" cm="1">
        <f t="array" ref="N1941">Main_Log_Status(Main_Log[[#This Row],[Carrier]],Main_Log[[#This Row],[Net Weight]])</f>
        <v/>
      </c>
      <c r="O1941" s="30"/>
      <c r="P194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41" s="30"/>
      <c r="R1941" s="30" t="str" cm="1">
        <f t="array" ref="R1941">Main_Log_Ref(Main_Log[[#This Row],[Carrier]])</f>
        <v/>
      </c>
    </row>
    <row r="1942" spans="1:18" ht="29.85" customHeight="1" x14ac:dyDescent="0.45">
      <c r="A1942" s="30">
        <v>59</v>
      </c>
      <c r="B1942" s="30"/>
      <c r="C1942" s="30"/>
      <c r="D1942" s="30"/>
      <c r="E1942" s="30"/>
      <c r="F1942" s="30"/>
      <c r="G1942" s="30"/>
      <c r="H1942" s="30"/>
      <c r="I1942" s="30"/>
      <c r="J1942" s="30"/>
      <c r="K1942" s="30"/>
      <c r="L1942" s="30"/>
      <c r="M1942" s="30"/>
      <c r="N1942" s="30" t="str" cm="1">
        <f t="array" ref="N1942">Main_Log_Status(Main_Log[[#This Row],[Carrier]],Main_Log[[#This Row],[Net Weight]])</f>
        <v/>
      </c>
      <c r="O1942" s="30"/>
      <c r="P194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42" s="30"/>
      <c r="R1942" s="30" t="str" cm="1">
        <f t="array" ref="R1942">Main_Log_Ref(Main_Log[[#This Row],[Carrier]])</f>
        <v/>
      </c>
    </row>
    <row r="1943" spans="1:18" ht="29.85" customHeight="1" x14ac:dyDescent="0.45">
      <c r="A1943" s="30">
        <v>60</v>
      </c>
      <c r="B1943" s="30"/>
      <c r="C1943" s="30"/>
      <c r="D1943" s="30"/>
      <c r="E1943" s="30"/>
      <c r="F1943" s="30"/>
      <c r="G1943" s="30"/>
      <c r="H1943" s="30"/>
      <c r="I1943" s="30"/>
      <c r="J1943" s="30"/>
      <c r="K1943" s="30"/>
      <c r="L1943" s="30"/>
      <c r="M1943" s="30"/>
      <c r="N1943" s="30" t="str" cm="1">
        <f t="array" ref="N1943">Main_Log_Status(Main_Log[[#This Row],[Carrier]],Main_Log[[#This Row],[Net Weight]])</f>
        <v/>
      </c>
      <c r="O1943" s="30"/>
      <c r="P194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43" s="30"/>
      <c r="R1943" s="30" t="str" cm="1">
        <f t="array" ref="R1943">Main_Log_Ref(Main_Log[[#This Row],[Carrier]])</f>
        <v/>
      </c>
    </row>
    <row r="1944" spans="1:18" ht="29.85" customHeight="1" x14ac:dyDescent="0.45">
      <c r="A1944" s="30">
        <v>61</v>
      </c>
      <c r="B1944" s="30"/>
      <c r="C1944" s="30"/>
      <c r="D1944" s="30"/>
      <c r="E1944" s="30"/>
      <c r="F1944" s="30"/>
      <c r="G1944" s="30"/>
      <c r="H1944" s="30"/>
      <c r="I1944" s="30"/>
      <c r="J1944" s="30"/>
      <c r="K1944" s="30"/>
      <c r="L1944" s="30"/>
      <c r="M1944" s="30"/>
      <c r="N1944" s="30" t="str" cm="1">
        <f t="array" ref="N1944">Main_Log_Status(Main_Log[[#This Row],[Carrier]],Main_Log[[#This Row],[Net Weight]])</f>
        <v/>
      </c>
      <c r="O1944" s="30"/>
      <c r="P194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44" s="30"/>
      <c r="R1944" s="30" t="str" cm="1">
        <f t="array" ref="R1944">Main_Log_Ref(Main_Log[[#This Row],[Carrier]])</f>
        <v/>
      </c>
    </row>
    <row r="1945" spans="1:18" ht="29.85" customHeight="1" x14ac:dyDescent="0.45">
      <c r="A1945" s="30">
        <v>62</v>
      </c>
      <c r="B1945" s="30"/>
      <c r="C1945" s="30"/>
      <c r="D1945" s="30"/>
      <c r="E1945" s="30"/>
      <c r="F1945" s="30"/>
      <c r="G1945" s="30"/>
      <c r="H1945" s="30"/>
      <c r="I1945" s="30"/>
      <c r="J1945" s="30"/>
      <c r="K1945" s="30"/>
      <c r="L1945" s="30"/>
      <c r="M1945" s="30"/>
      <c r="N1945" s="30" t="str" cm="1">
        <f t="array" ref="N1945">Main_Log_Status(Main_Log[[#This Row],[Carrier]],Main_Log[[#This Row],[Net Weight]])</f>
        <v/>
      </c>
      <c r="O1945" s="30"/>
      <c r="P194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45" s="30"/>
      <c r="R1945" s="30" t="str" cm="1">
        <f t="array" ref="R1945">Main_Log_Ref(Main_Log[[#This Row],[Carrier]])</f>
        <v/>
      </c>
    </row>
    <row r="1946" spans="1:18" ht="29.85" customHeight="1" x14ac:dyDescent="0.45">
      <c r="A1946" s="30">
        <v>63</v>
      </c>
      <c r="B1946" s="30"/>
      <c r="C1946" s="30"/>
      <c r="D1946" s="30"/>
      <c r="E1946" s="30"/>
      <c r="F1946" s="30"/>
      <c r="G1946" s="30"/>
      <c r="H1946" s="30"/>
      <c r="I1946" s="30"/>
      <c r="J1946" s="30"/>
      <c r="K1946" s="30"/>
      <c r="L1946" s="30"/>
      <c r="M1946" s="30"/>
      <c r="N1946" s="30" t="str" cm="1">
        <f t="array" ref="N1946">Main_Log_Status(Main_Log[[#This Row],[Carrier]],Main_Log[[#This Row],[Net Weight]])</f>
        <v/>
      </c>
      <c r="O1946" s="30"/>
      <c r="P194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46" s="30"/>
      <c r="R1946" s="30" t="str" cm="1">
        <f t="array" ref="R1946">Main_Log_Ref(Main_Log[[#This Row],[Carrier]])</f>
        <v/>
      </c>
    </row>
    <row r="1947" spans="1:18" ht="29.85" customHeight="1" x14ac:dyDescent="0.45">
      <c r="A1947" s="30">
        <v>64</v>
      </c>
      <c r="B1947" s="30"/>
      <c r="C1947" s="30"/>
      <c r="D1947" s="30"/>
      <c r="E1947" s="30"/>
      <c r="F1947" s="30"/>
      <c r="G1947" s="30"/>
      <c r="H1947" s="30"/>
      <c r="I1947" s="30"/>
      <c r="J1947" s="30"/>
      <c r="K1947" s="30"/>
      <c r="L1947" s="30"/>
      <c r="M1947" s="30"/>
      <c r="N1947" s="30" t="str" cm="1">
        <f t="array" ref="N1947">Main_Log_Status(Main_Log[[#This Row],[Carrier]],Main_Log[[#This Row],[Net Weight]])</f>
        <v/>
      </c>
      <c r="O1947" s="30"/>
      <c r="P194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47" s="30"/>
      <c r="R1947" s="30" t="str" cm="1">
        <f t="array" ref="R1947">Main_Log_Ref(Main_Log[[#This Row],[Carrier]])</f>
        <v/>
      </c>
    </row>
    <row r="1948" spans="1:18" ht="29.85" customHeight="1" x14ac:dyDescent="0.45">
      <c r="A1948" s="30">
        <v>65</v>
      </c>
      <c r="B1948" s="30"/>
      <c r="C1948" s="30"/>
      <c r="D1948" s="30"/>
      <c r="E1948" s="30"/>
      <c r="F1948" s="30"/>
      <c r="G1948" s="30"/>
      <c r="H1948" s="30"/>
      <c r="I1948" s="30"/>
      <c r="J1948" s="30"/>
      <c r="K1948" s="30"/>
      <c r="L1948" s="30"/>
      <c r="M1948" s="30"/>
      <c r="N1948" s="30" t="str" cm="1">
        <f t="array" ref="N1948">Main_Log_Status(Main_Log[[#This Row],[Carrier]],Main_Log[[#This Row],[Net Weight]])</f>
        <v/>
      </c>
      <c r="O1948" s="30"/>
      <c r="P194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48" s="30"/>
      <c r="R1948" s="30" t="str" cm="1">
        <f t="array" ref="R1948">Main_Log_Ref(Main_Log[[#This Row],[Carrier]])</f>
        <v/>
      </c>
    </row>
    <row r="1949" spans="1:18" ht="29.85" customHeight="1" x14ac:dyDescent="0.45">
      <c r="A1949" s="30">
        <v>66</v>
      </c>
      <c r="B1949" s="30"/>
      <c r="C1949" s="30"/>
      <c r="D1949" s="30"/>
      <c r="E1949" s="30"/>
      <c r="F1949" s="30"/>
      <c r="G1949" s="30"/>
      <c r="H1949" s="30"/>
      <c r="I1949" s="30"/>
      <c r="J1949" s="30"/>
      <c r="K1949" s="30"/>
      <c r="L1949" s="30"/>
      <c r="M1949" s="30"/>
      <c r="N1949" s="30" t="str" cm="1">
        <f t="array" ref="N1949">Main_Log_Status(Main_Log[[#This Row],[Carrier]],Main_Log[[#This Row],[Net Weight]])</f>
        <v/>
      </c>
      <c r="O1949" s="30"/>
      <c r="P194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49" s="30"/>
      <c r="R1949" s="30" t="str" cm="1">
        <f t="array" ref="R1949">Main_Log_Ref(Main_Log[[#This Row],[Carrier]])</f>
        <v/>
      </c>
    </row>
    <row r="1950" spans="1:18" ht="29.85" customHeight="1" x14ac:dyDescent="0.45">
      <c r="A1950" s="30">
        <v>67</v>
      </c>
      <c r="B1950" s="30"/>
      <c r="C1950" s="30"/>
      <c r="D1950" s="30"/>
      <c r="E1950" s="30"/>
      <c r="F1950" s="30"/>
      <c r="G1950" s="30"/>
      <c r="H1950" s="30"/>
      <c r="I1950" s="30"/>
      <c r="J1950" s="30"/>
      <c r="K1950" s="30"/>
      <c r="L1950" s="30"/>
      <c r="M1950" s="30"/>
      <c r="N1950" s="30" t="str" cm="1">
        <f t="array" ref="N1950">Main_Log_Status(Main_Log[[#This Row],[Carrier]],Main_Log[[#This Row],[Net Weight]])</f>
        <v/>
      </c>
      <c r="O1950" s="30"/>
      <c r="P195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50" s="30"/>
      <c r="R1950" s="30" t="str" cm="1">
        <f t="array" ref="R1950">Main_Log_Ref(Main_Log[[#This Row],[Carrier]])</f>
        <v/>
      </c>
    </row>
    <row r="1951" spans="1:18" ht="29.85" customHeight="1" x14ac:dyDescent="0.45">
      <c r="A1951" s="30">
        <v>68</v>
      </c>
      <c r="B1951" s="30"/>
      <c r="C1951" s="30"/>
      <c r="D1951" s="30"/>
      <c r="E1951" s="30"/>
      <c r="F1951" s="30"/>
      <c r="G1951" s="30"/>
      <c r="H1951" s="30"/>
      <c r="I1951" s="30"/>
      <c r="J1951" s="30"/>
      <c r="K1951" s="30"/>
      <c r="L1951" s="30"/>
      <c r="M1951" s="30"/>
      <c r="N1951" s="30" t="str" cm="1">
        <f t="array" ref="N1951">Main_Log_Status(Main_Log[[#This Row],[Carrier]],Main_Log[[#This Row],[Net Weight]])</f>
        <v/>
      </c>
      <c r="O1951" s="30"/>
      <c r="P195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51" s="30"/>
      <c r="R1951" s="30" t="str" cm="1">
        <f t="array" ref="R1951">Main_Log_Ref(Main_Log[[#This Row],[Carrier]])</f>
        <v/>
      </c>
    </row>
    <row r="1952" spans="1:18" ht="29.85" customHeight="1" x14ac:dyDescent="0.45">
      <c r="A1952" s="30">
        <v>69</v>
      </c>
      <c r="B1952" s="30"/>
      <c r="C1952" s="30"/>
      <c r="D1952" s="30"/>
      <c r="E1952" s="30"/>
      <c r="F1952" s="30"/>
      <c r="G1952" s="30"/>
      <c r="H1952" s="30"/>
      <c r="I1952" s="30"/>
      <c r="J1952" s="30"/>
      <c r="K1952" s="30"/>
      <c r="L1952" s="30"/>
      <c r="M1952" s="30"/>
      <c r="N1952" s="30" t="str" cm="1">
        <f t="array" ref="N1952">Main_Log_Status(Main_Log[[#This Row],[Carrier]],Main_Log[[#This Row],[Net Weight]])</f>
        <v/>
      </c>
      <c r="O1952" s="30"/>
      <c r="P195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52" s="30"/>
      <c r="R1952" s="30" t="str" cm="1">
        <f t="array" ref="R1952">Main_Log_Ref(Main_Log[[#This Row],[Carrier]])</f>
        <v/>
      </c>
    </row>
    <row r="1953" spans="1:18" ht="29.85" customHeight="1" x14ac:dyDescent="0.45">
      <c r="A1953" s="30">
        <v>70</v>
      </c>
      <c r="B1953" s="30"/>
      <c r="C1953" s="30"/>
      <c r="D1953" s="30"/>
      <c r="E1953" s="30"/>
      <c r="F1953" s="30"/>
      <c r="G1953" s="30"/>
      <c r="H1953" s="30"/>
      <c r="I1953" s="30"/>
      <c r="J1953" s="30"/>
      <c r="K1953" s="30"/>
      <c r="L1953" s="30"/>
      <c r="M1953" s="30"/>
      <c r="N1953" s="30" t="str" cm="1">
        <f t="array" ref="N1953">Main_Log_Status(Main_Log[[#This Row],[Carrier]],Main_Log[[#This Row],[Net Weight]])</f>
        <v/>
      </c>
      <c r="O1953" s="30"/>
      <c r="P195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53" s="30"/>
      <c r="R1953" s="30" t="str" cm="1">
        <f t="array" ref="R1953">Main_Log_Ref(Main_Log[[#This Row],[Carrier]])</f>
        <v/>
      </c>
    </row>
    <row r="1954" spans="1:18" ht="29.85" customHeight="1" x14ac:dyDescent="0.45">
      <c r="A1954" s="30">
        <v>71</v>
      </c>
      <c r="B1954" s="30"/>
      <c r="C1954" s="30"/>
      <c r="D1954" s="30"/>
      <c r="E1954" s="30"/>
      <c r="F1954" s="30"/>
      <c r="G1954" s="30"/>
      <c r="H1954" s="30"/>
      <c r="I1954" s="30"/>
      <c r="J1954" s="30"/>
      <c r="K1954" s="30"/>
      <c r="L1954" s="30"/>
      <c r="M1954" s="30"/>
      <c r="N1954" s="30" t="str" cm="1">
        <f t="array" ref="N1954">Main_Log_Status(Main_Log[[#This Row],[Carrier]],Main_Log[[#This Row],[Net Weight]])</f>
        <v/>
      </c>
      <c r="O1954" s="30"/>
      <c r="P195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54" s="30"/>
      <c r="R1954" s="30" t="str" cm="1">
        <f t="array" ref="R1954">Main_Log_Ref(Main_Log[[#This Row],[Carrier]])</f>
        <v/>
      </c>
    </row>
    <row r="1955" spans="1:18" ht="29.85" customHeight="1" x14ac:dyDescent="0.45">
      <c r="A1955" s="30">
        <v>72</v>
      </c>
      <c r="B1955" s="30"/>
      <c r="C1955" s="30"/>
      <c r="D1955" s="30"/>
      <c r="E1955" s="30"/>
      <c r="F1955" s="30"/>
      <c r="G1955" s="30"/>
      <c r="H1955" s="30"/>
      <c r="I1955" s="30"/>
      <c r="J1955" s="30"/>
      <c r="K1955" s="30"/>
      <c r="L1955" s="30"/>
      <c r="M1955" s="30"/>
      <c r="N1955" s="30" t="str" cm="1">
        <f t="array" ref="N1955">Main_Log_Status(Main_Log[[#This Row],[Carrier]],Main_Log[[#This Row],[Net Weight]])</f>
        <v/>
      </c>
      <c r="O1955" s="30"/>
      <c r="P195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55" s="30"/>
      <c r="R1955" s="30" t="str" cm="1">
        <f t="array" ref="R1955">Main_Log_Ref(Main_Log[[#This Row],[Carrier]])</f>
        <v/>
      </c>
    </row>
    <row r="1956" spans="1:18" ht="29.85" customHeight="1" x14ac:dyDescent="0.45">
      <c r="A1956" s="30">
        <v>73</v>
      </c>
      <c r="B1956" s="30"/>
      <c r="C1956" s="30"/>
      <c r="D1956" s="30"/>
      <c r="E1956" s="30"/>
      <c r="F1956" s="30"/>
      <c r="G1956" s="30"/>
      <c r="H1956" s="30"/>
      <c r="I1956" s="30"/>
      <c r="J1956" s="30"/>
      <c r="K1956" s="30"/>
      <c r="L1956" s="30"/>
      <c r="M1956" s="30"/>
      <c r="N1956" s="30" t="str" cm="1">
        <f t="array" ref="N1956">Main_Log_Status(Main_Log[[#This Row],[Carrier]],Main_Log[[#This Row],[Net Weight]])</f>
        <v/>
      </c>
      <c r="O1956" s="30"/>
      <c r="P195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56" s="30"/>
      <c r="R1956" s="30" t="str" cm="1">
        <f t="array" ref="R1956">Main_Log_Ref(Main_Log[[#This Row],[Carrier]])</f>
        <v/>
      </c>
    </row>
    <row r="1957" spans="1:18" ht="29.85" customHeight="1" x14ac:dyDescent="0.45">
      <c r="A1957" s="30">
        <v>74</v>
      </c>
      <c r="B1957" s="30"/>
      <c r="C1957" s="30"/>
      <c r="D1957" s="30"/>
      <c r="E1957" s="30"/>
      <c r="F1957" s="30"/>
      <c r="G1957" s="30"/>
      <c r="H1957" s="30"/>
      <c r="I1957" s="30"/>
      <c r="J1957" s="30"/>
      <c r="K1957" s="30"/>
      <c r="L1957" s="30"/>
      <c r="M1957" s="30"/>
      <c r="N1957" s="30" t="str" cm="1">
        <f t="array" ref="N1957">Main_Log_Status(Main_Log[[#This Row],[Carrier]],Main_Log[[#This Row],[Net Weight]])</f>
        <v/>
      </c>
      <c r="O1957" s="30"/>
      <c r="P195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57" s="30"/>
      <c r="R1957" s="30" t="str" cm="1">
        <f t="array" ref="R1957">Main_Log_Ref(Main_Log[[#This Row],[Carrier]])</f>
        <v/>
      </c>
    </row>
    <row r="1958" spans="1:18" ht="29.85" customHeight="1" x14ac:dyDescent="0.45">
      <c r="A1958" s="30">
        <v>75</v>
      </c>
      <c r="B1958" s="30"/>
      <c r="C1958" s="30"/>
      <c r="D1958" s="30"/>
      <c r="E1958" s="30"/>
      <c r="F1958" s="30"/>
      <c r="G1958" s="30"/>
      <c r="H1958" s="30"/>
      <c r="I1958" s="30"/>
      <c r="J1958" s="30"/>
      <c r="K1958" s="30"/>
      <c r="L1958" s="30"/>
      <c r="M1958" s="30"/>
      <c r="N1958" s="30" t="str" cm="1">
        <f t="array" ref="N1958">Main_Log_Status(Main_Log[[#This Row],[Carrier]],Main_Log[[#This Row],[Net Weight]])</f>
        <v/>
      </c>
      <c r="O1958" s="30"/>
      <c r="P195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58" s="30"/>
      <c r="R1958" s="30" t="str" cm="1">
        <f t="array" ref="R1958">Main_Log_Ref(Main_Log[[#This Row],[Carrier]])</f>
        <v/>
      </c>
    </row>
    <row r="1959" spans="1:18" ht="29.85" customHeight="1" x14ac:dyDescent="0.45">
      <c r="A1959" s="30">
        <v>76</v>
      </c>
      <c r="B1959" s="30"/>
      <c r="C1959" s="30"/>
      <c r="D1959" s="30"/>
      <c r="E1959" s="30"/>
      <c r="F1959" s="30"/>
      <c r="G1959" s="30"/>
      <c r="H1959" s="30"/>
      <c r="I1959" s="30"/>
      <c r="J1959" s="30"/>
      <c r="K1959" s="30"/>
      <c r="L1959" s="30"/>
      <c r="M1959" s="30"/>
      <c r="N1959" s="30" t="str" cm="1">
        <f t="array" ref="N1959">Main_Log_Status(Main_Log[[#This Row],[Carrier]],Main_Log[[#This Row],[Net Weight]])</f>
        <v/>
      </c>
      <c r="O1959" s="30"/>
      <c r="P195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59" s="30"/>
      <c r="R1959" s="30" t="str" cm="1">
        <f t="array" ref="R1959">Main_Log_Ref(Main_Log[[#This Row],[Carrier]])</f>
        <v/>
      </c>
    </row>
    <row r="1960" spans="1:18" ht="29.85" customHeight="1" x14ac:dyDescent="0.45">
      <c r="A1960" s="30">
        <v>77</v>
      </c>
      <c r="B1960" s="30"/>
      <c r="C1960" s="30"/>
      <c r="D1960" s="30"/>
      <c r="E1960" s="30"/>
      <c r="F1960" s="30"/>
      <c r="G1960" s="30"/>
      <c r="H1960" s="30"/>
      <c r="I1960" s="30"/>
      <c r="J1960" s="30"/>
      <c r="K1960" s="30"/>
      <c r="L1960" s="30"/>
      <c r="M1960" s="30"/>
      <c r="N1960" s="30" t="str" cm="1">
        <f t="array" ref="N1960">Main_Log_Status(Main_Log[[#This Row],[Carrier]],Main_Log[[#This Row],[Net Weight]])</f>
        <v/>
      </c>
      <c r="O1960" s="30"/>
      <c r="P196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60" s="30"/>
      <c r="R1960" s="30" t="str" cm="1">
        <f t="array" ref="R1960">Main_Log_Ref(Main_Log[[#This Row],[Carrier]])</f>
        <v/>
      </c>
    </row>
    <row r="1961" spans="1:18" ht="29.85" customHeight="1" x14ac:dyDescent="0.45">
      <c r="A1961" s="30">
        <v>78</v>
      </c>
      <c r="B1961" s="30"/>
      <c r="C1961" s="30"/>
      <c r="D1961" s="30"/>
      <c r="E1961" s="30"/>
      <c r="F1961" s="30"/>
      <c r="G1961" s="30"/>
      <c r="H1961" s="30"/>
      <c r="I1961" s="30"/>
      <c r="J1961" s="30"/>
      <c r="K1961" s="30"/>
      <c r="L1961" s="30"/>
      <c r="M1961" s="30"/>
      <c r="N1961" s="30" t="str" cm="1">
        <f t="array" ref="N1961">Main_Log_Status(Main_Log[[#This Row],[Carrier]],Main_Log[[#This Row],[Net Weight]])</f>
        <v/>
      </c>
      <c r="O1961" s="30"/>
      <c r="P196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61" s="30"/>
      <c r="R1961" s="30" t="str" cm="1">
        <f t="array" ref="R1961">Main_Log_Ref(Main_Log[[#This Row],[Carrier]])</f>
        <v/>
      </c>
    </row>
    <row r="1962" spans="1:18" ht="29.85" customHeight="1" x14ac:dyDescent="0.45">
      <c r="A1962" s="30">
        <v>79</v>
      </c>
      <c r="B1962" s="30"/>
      <c r="C1962" s="30"/>
      <c r="D1962" s="30"/>
      <c r="E1962" s="30"/>
      <c r="F1962" s="30"/>
      <c r="G1962" s="30"/>
      <c r="H1962" s="30"/>
      <c r="I1962" s="30"/>
      <c r="J1962" s="30"/>
      <c r="K1962" s="30"/>
      <c r="L1962" s="30"/>
      <c r="M1962" s="30"/>
      <c r="N1962" s="30" t="str" cm="1">
        <f t="array" ref="N1962">Main_Log_Status(Main_Log[[#This Row],[Carrier]],Main_Log[[#This Row],[Net Weight]])</f>
        <v/>
      </c>
      <c r="O1962" s="30"/>
      <c r="P196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62" s="30"/>
      <c r="R1962" s="30" t="str" cm="1">
        <f t="array" ref="R1962">Main_Log_Ref(Main_Log[[#This Row],[Carrier]])</f>
        <v/>
      </c>
    </row>
    <row r="1963" spans="1:18" ht="29.85" customHeight="1" x14ac:dyDescent="0.45">
      <c r="A1963" s="30">
        <v>80</v>
      </c>
      <c r="B1963" s="30"/>
      <c r="C1963" s="30"/>
      <c r="D1963" s="30"/>
      <c r="E1963" s="30"/>
      <c r="F1963" s="30"/>
      <c r="G1963" s="30"/>
      <c r="H1963" s="30"/>
      <c r="I1963" s="30"/>
      <c r="J1963" s="30"/>
      <c r="K1963" s="30"/>
      <c r="L1963" s="30"/>
      <c r="M1963" s="30"/>
      <c r="N1963" s="30" t="str" cm="1">
        <f t="array" ref="N1963">Main_Log_Status(Main_Log[[#This Row],[Carrier]],Main_Log[[#This Row],[Net Weight]])</f>
        <v/>
      </c>
      <c r="O1963" s="30"/>
      <c r="P196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63" s="30"/>
      <c r="R1963" s="30" t="str" cm="1">
        <f t="array" ref="R1963">Main_Log_Ref(Main_Log[[#This Row],[Carrier]])</f>
        <v/>
      </c>
    </row>
    <row r="1964" spans="1:18" ht="29.85" customHeight="1" x14ac:dyDescent="0.45">
      <c r="A1964" s="30">
        <v>81</v>
      </c>
      <c r="B1964" s="30"/>
      <c r="C1964" s="30"/>
      <c r="D1964" s="30"/>
      <c r="E1964" s="30"/>
      <c r="F1964" s="30"/>
      <c r="G1964" s="30"/>
      <c r="H1964" s="30"/>
      <c r="I1964" s="30"/>
      <c r="J1964" s="30"/>
      <c r="K1964" s="30"/>
      <c r="L1964" s="30"/>
      <c r="M1964" s="30"/>
      <c r="N1964" s="30" t="str" cm="1">
        <f t="array" ref="N1964">Main_Log_Status(Main_Log[[#This Row],[Carrier]],Main_Log[[#This Row],[Net Weight]])</f>
        <v/>
      </c>
      <c r="O1964" s="30"/>
      <c r="P196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64" s="30"/>
      <c r="R1964" s="30" t="str" cm="1">
        <f t="array" ref="R1964">Main_Log_Ref(Main_Log[[#This Row],[Carrier]])</f>
        <v/>
      </c>
    </row>
    <row r="1965" spans="1:18" ht="29.85" customHeight="1" x14ac:dyDescent="0.45">
      <c r="A1965" s="30">
        <v>82</v>
      </c>
      <c r="B1965" s="30"/>
      <c r="C1965" s="30"/>
      <c r="D1965" s="30"/>
      <c r="E1965" s="30"/>
      <c r="F1965" s="30"/>
      <c r="G1965" s="30"/>
      <c r="H1965" s="30"/>
      <c r="I1965" s="30"/>
      <c r="J1965" s="30"/>
      <c r="K1965" s="30"/>
      <c r="L1965" s="30"/>
      <c r="M1965" s="30"/>
      <c r="N1965" s="30" t="str" cm="1">
        <f t="array" ref="N1965">Main_Log_Status(Main_Log[[#This Row],[Carrier]],Main_Log[[#This Row],[Net Weight]])</f>
        <v/>
      </c>
      <c r="O1965" s="30"/>
      <c r="P196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65" s="30"/>
      <c r="R1965" s="30" t="str" cm="1">
        <f t="array" ref="R1965">Main_Log_Ref(Main_Log[[#This Row],[Carrier]])</f>
        <v/>
      </c>
    </row>
    <row r="1966" spans="1:18" ht="29.85" customHeight="1" x14ac:dyDescent="0.45">
      <c r="A1966" s="30">
        <v>83</v>
      </c>
      <c r="B1966" s="30"/>
      <c r="C1966" s="30"/>
      <c r="D1966" s="30"/>
      <c r="E1966" s="30"/>
      <c r="F1966" s="30"/>
      <c r="G1966" s="30"/>
      <c r="H1966" s="30"/>
      <c r="I1966" s="30"/>
      <c r="J1966" s="30"/>
      <c r="K1966" s="30"/>
      <c r="L1966" s="30"/>
      <c r="M1966" s="30"/>
      <c r="N1966" s="30" t="str" cm="1">
        <f t="array" ref="N1966">Main_Log_Status(Main_Log[[#This Row],[Carrier]],Main_Log[[#This Row],[Net Weight]])</f>
        <v/>
      </c>
      <c r="O1966" s="30"/>
      <c r="P196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66" s="30"/>
      <c r="R1966" s="30" t="str" cm="1">
        <f t="array" ref="R1966">Main_Log_Ref(Main_Log[[#This Row],[Carrier]])</f>
        <v/>
      </c>
    </row>
    <row r="1967" spans="1:18" ht="29.85" customHeight="1" x14ac:dyDescent="0.45">
      <c r="A1967" s="30">
        <v>84</v>
      </c>
      <c r="B1967" s="30"/>
      <c r="C1967" s="30"/>
      <c r="D1967" s="30"/>
      <c r="E1967" s="30"/>
      <c r="F1967" s="30"/>
      <c r="G1967" s="30"/>
      <c r="H1967" s="30"/>
      <c r="I1967" s="30"/>
      <c r="J1967" s="30"/>
      <c r="K1967" s="30"/>
      <c r="L1967" s="30"/>
      <c r="M1967" s="30"/>
      <c r="N1967" s="30" t="str" cm="1">
        <f t="array" ref="N1967">Main_Log_Status(Main_Log[[#This Row],[Carrier]],Main_Log[[#This Row],[Net Weight]])</f>
        <v/>
      </c>
      <c r="O1967" s="30"/>
      <c r="P196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67" s="30"/>
      <c r="R1967" s="30" t="str" cm="1">
        <f t="array" ref="R1967">Main_Log_Ref(Main_Log[[#This Row],[Carrier]])</f>
        <v/>
      </c>
    </row>
    <row r="1968" spans="1:18" ht="29.85" customHeight="1" x14ac:dyDescent="0.45">
      <c r="A1968" s="30">
        <v>85</v>
      </c>
      <c r="B1968" s="30"/>
      <c r="C1968" s="30"/>
      <c r="D1968" s="30"/>
      <c r="E1968" s="30"/>
      <c r="F1968" s="30"/>
      <c r="G1968" s="30"/>
      <c r="H1968" s="30"/>
      <c r="I1968" s="30"/>
      <c r="J1968" s="30"/>
      <c r="K1968" s="30"/>
      <c r="L1968" s="30"/>
      <c r="M1968" s="30"/>
      <c r="N1968" s="30" t="str" cm="1">
        <f t="array" ref="N1968">Main_Log_Status(Main_Log[[#This Row],[Carrier]],Main_Log[[#This Row],[Net Weight]])</f>
        <v/>
      </c>
      <c r="O1968" s="30"/>
      <c r="P196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68" s="30"/>
      <c r="R1968" s="30" t="str" cm="1">
        <f t="array" ref="R1968">Main_Log_Ref(Main_Log[[#This Row],[Carrier]])</f>
        <v/>
      </c>
    </row>
    <row r="1969" spans="1:18" ht="29.85" customHeight="1" x14ac:dyDescent="0.45">
      <c r="A1969" s="30">
        <v>86</v>
      </c>
      <c r="B1969" s="30"/>
      <c r="C1969" s="30"/>
      <c r="D1969" s="30"/>
      <c r="E1969" s="30"/>
      <c r="F1969" s="30"/>
      <c r="G1969" s="30"/>
      <c r="H1969" s="30"/>
      <c r="I1969" s="30"/>
      <c r="J1969" s="30"/>
      <c r="K1969" s="30"/>
      <c r="L1969" s="30"/>
      <c r="M1969" s="30"/>
      <c r="N1969" s="30" t="str" cm="1">
        <f t="array" ref="N1969">Main_Log_Status(Main_Log[[#This Row],[Carrier]],Main_Log[[#This Row],[Net Weight]])</f>
        <v/>
      </c>
      <c r="O1969" s="30"/>
      <c r="P196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69" s="30"/>
      <c r="R1969" s="30" t="str" cm="1">
        <f t="array" ref="R1969">Main_Log_Ref(Main_Log[[#This Row],[Carrier]])</f>
        <v/>
      </c>
    </row>
    <row r="1970" spans="1:18" ht="29.85" customHeight="1" x14ac:dyDescent="0.45">
      <c r="A1970" s="30">
        <v>87</v>
      </c>
      <c r="B1970" s="30"/>
      <c r="C1970" s="30"/>
      <c r="D1970" s="30"/>
      <c r="E1970" s="30"/>
      <c r="F1970" s="30"/>
      <c r="G1970" s="30"/>
      <c r="H1970" s="30"/>
      <c r="I1970" s="30"/>
      <c r="J1970" s="30"/>
      <c r="K1970" s="30"/>
      <c r="L1970" s="30"/>
      <c r="M1970" s="30"/>
      <c r="N1970" s="30" t="str" cm="1">
        <f t="array" ref="N1970">Main_Log_Status(Main_Log[[#This Row],[Carrier]],Main_Log[[#This Row],[Net Weight]])</f>
        <v/>
      </c>
      <c r="O1970" s="30"/>
      <c r="P197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70" s="30"/>
      <c r="R1970" s="30" t="str" cm="1">
        <f t="array" ref="R1970">Main_Log_Ref(Main_Log[[#This Row],[Carrier]])</f>
        <v/>
      </c>
    </row>
    <row r="1971" spans="1:18" ht="29.85" customHeight="1" x14ac:dyDescent="0.45">
      <c r="A1971" s="30">
        <v>88</v>
      </c>
      <c r="B1971" s="30"/>
      <c r="C1971" s="30"/>
      <c r="D1971" s="30"/>
      <c r="E1971" s="30"/>
      <c r="F1971" s="30"/>
      <c r="G1971" s="30"/>
      <c r="H1971" s="30"/>
      <c r="I1971" s="30"/>
      <c r="J1971" s="30"/>
      <c r="K1971" s="30"/>
      <c r="L1971" s="30"/>
      <c r="M1971" s="30"/>
      <c r="N1971" s="30" t="str" cm="1">
        <f t="array" ref="N1971">Main_Log_Status(Main_Log[[#This Row],[Carrier]],Main_Log[[#This Row],[Net Weight]])</f>
        <v/>
      </c>
      <c r="O1971" s="30"/>
      <c r="P197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71" s="30"/>
      <c r="R1971" s="30" t="str" cm="1">
        <f t="array" ref="R1971">Main_Log_Ref(Main_Log[[#This Row],[Carrier]])</f>
        <v/>
      </c>
    </row>
    <row r="1972" spans="1:18" ht="29.85" customHeight="1" x14ac:dyDescent="0.45">
      <c r="A1972" s="30">
        <v>89</v>
      </c>
      <c r="B1972" s="30"/>
      <c r="C1972" s="30"/>
      <c r="D1972" s="30"/>
      <c r="E1972" s="30"/>
      <c r="F1972" s="30"/>
      <c r="G1972" s="30"/>
      <c r="H1972" s="30"/>
      <c r="I1972" s="30"/>
      <c r="J1972" s="30"/>
      <c r="K1972" s="30"/>
      <c r="L1972" s="30"/>
      <c r="M1972" s="30"/>
      <c r="N1972" s="30" t="str" cm="1">
        <f t="array" ref="N1972">Main_Log_Status(Main_Log[[#This Row],[Carrier]],Main_Log[[#This Row],[Net Weight]])</f>
        <v/>
      </c>
      <c r="O1972" s="30"/>
      <c r="P197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72" s="30"/>
      <c r="R1972" s="30" t="str" cm="1">
        <f t="array" ref="R1972">Main_Log_Ref(Main_Log[[#This Row],[Carrier]])</f>
        <v/>
      </c>
    </row>
    <row r="1973" spans="1:18" ht="29.85" customHeight="1" x14ac:dyDescent="0.45">
      <c r="A1973" s="30">
        <v>90</v>
      </c>
      <c r="B1973" s="30"/>
      <c r="C1973" s="30"/>
      <c r="D1973" s="30"/>
      <c r="E1973" s="30"/>
      <c r="F1973" s="30"/>
      <c r="G1973" s="30"/>
      <c r="H1973" s="30"/>
      <c r="I1973" s="30"/>
      <c r="J1973" s="30"/>
      <c r="K1973" s="30"/>
      <c r="L1973" s="30"/>
      <c r="M1973" s="30"/>
      <c r="N1973" s="30" t="str" cm="1">
        <f t="array" ref="N1973">Main_Log_Status(Main_Log[[#This Row],[Carrier]],Main_Log[[#This Row],[Net Weight]])</f>
        <v/>
      </c>
      <c r="O1973" s="30"/>
      <c r="P197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73" s="30"/>
      <c r="R1973" s="30" t="str" cm="1">
        <f t="array" ref="R1973">Main_Log_Ref(Main_Log[[#This Row],[Carrier]])</f>
        <v/>
      </c>
    </row>
    <row r="1974" spans="1:18" ht="29.85" customHeight="1" x14ac:dyDescent="0.45">
      <c r="A1974" s="30">
        <v>91</v>
      </c>
      <c r="B1974" s="30"/>
      <c r="C1974" s="30"/>
      <c r="D1974" s="30"/>
      <c r="E1974" s="30"/>
      <c r="F1974" s="30"/>
      <c r="G1974" s="30"/>
      <c r="H1974" s="30"/>
      <c r="I1974" s="30"/>
      <c r="J1974" s="30"/>
      <c r="K1974" s="30"/>
      <c r="L1974" s="30"/>
      <c r="M1974" s="30"/>
      <c r="N1974" s="30" t="str" cm="1">
        <f t="array" ref="N1974">Main_Log_Status(Main_Log[[#This Row],[Carrier]],Main_Log[[#This Row],[Net Weight]])</f>
        <v/>
      </c>
      <c r="O1974" s="30"/>
      <c r="P197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74" s="30"/>
      <c r="R1974" s="30" t="str" cm="1">
        <f t="array" ref="R1974">Main_Log_Ref(Main_Log[[#This Row],[Carrier]])</f>
        <v/>
      </c>
    </row>
    <row r="1975" spans="1:18" ht="29.85" customHeight="1" x14ac:dyDescent="0.45">
      <c r="A1975" s="30">
        <v>92</v>
      </c>
      <c r="B1975" s="30"/>
      <c r="C1975" s="30"/>
      <c r="D1975" s="30"/>
      <c r="E1975" s="30"/>
      <c r="F1975" s="30"/>
      <c r="G1975" s="30"/>
      <c r="H1975" s="30"/>
      <c r="I1975" s="30"/>
      <c r="J1975" s="30"/>
      <c r="K1975" s="30"/>
      <c r="L1975" s="30"/>
      <c r="M1975" s="30"/>
      <c r="N1975" s="30" t="str" cm="1">
        <f t="array" ref="N1975">Main_Log_Status(Main_Log[[#This Row],[Carrier]],Main_Log[[#This Row],[Net Weight]])</f>
        <v/>
      </c>
      <c r="O1975" s="30"/>
      <c r="P197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75" s="30"/>
      <c r="R1975" s="30" t="str" cm="1">
        <f t="array" ref="R1975">Main_Log_Ref(Main_Log[[#This Row],[Carrier]])</f>
        <v/>
      </c>
    </row>
    <row r="1976" spans="1:18" ht="29.85" customHeight="1" x14ac:dyDescent="0.45">
      <c r="A1976" s="30">
        <v>93</v>
      </c>
      <c r="B1976" s="30"/>
      <c r="C1976" s="30"/>
      <c r="D1976" s="30"/>
      <c r="E1976" s="30"/>
      <c r="F1976" s="30"/>
      <c r="G1976" s="30"/>
      <c r="H1976" s="30"/>
      <c r="I1976" s="30"/>
      <c r="J1976" s="30"/>
      <c r="K1976" s="30"/>
      <c r="L1976" s="30"/>
      <c r="M1976" s="30"/>
      <c r="N1976" s="30" t="str" cm="1">
        <f t="array" ref="N1976">Main_Log_Status(Main_Log[[#This Row],[Carrier]],Main_Log[[#This Row],[Net Weight]])</f>
        <v/>
      </c>
      <c r="O1976" s="30"/>
      <c r="P197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76" s="30"/>
      <c r="R1976" s="30" t="str" cm="1">
        <f t="array" ref="R1976">Main_Log_Ref(Main_Log[[#This Row],[Carrier]])</f>
        <v/>
      </c>
    </row>
    <row r="1977" spans="1:18" ht="29.85" customHeight="1" x14ac:dyDescent="0.45">
      <c r="A1977" s="30">
        <v>94</v>
      </c>
      <c r="B1977" s="30"/>
      <c r="C1977" s="30"/>
      <c r="D1977" s="30"/>
      <c r="E1977" s="30"/>
      <c r="F1977" s="30"/>
      <c r="G1977" s="30"/>
      <c r="H1977" s="30"/>
      <c r="I1977" s="30"/>
      <c r="J1977" s="30"/>
      <c r="K1977" s="30"/>
      <c r="L1977" s="30"/>
      <c r="M1977" s="30"/>
      <c r="N1977" s="30" t="str" cm="1">
        <f t="array" ref="N1977">Main_Log_Status(Main_Log[[#This Row],[Carrier]],Main_Log[[#This Row],[Net Weight]])</f>
        <v/>
      </c>
      <c r="O1977" s="30"/>
      <c r="P197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77" s="30"/>
      <c r="R1977" s="30" t="str" cm="1">
        <f t="array" ref="R1977">Main_Log_Ref(Main_Log[[#This Row],[Carrier]])</f>
        <v/>
      </c>
    </row>
    <row r="1978" spans="1:18" ht="29.85" customHeight="1" x14ac:dyDescent="0.45">
      <c r="A1978" s="30">
        <v>95</v>
      </c>
      <c r="B1978" s="30"/>
      <c r="C1978" s="30"/>
      <c r="D1978" s="30"/>
      <c r="E1978" s="30"/>
      <c r="F1978" s="30"/>
      <c r="G1978" s="30"/>
      <c r="H1978" s="30"/>
      <c r="I1978" s="30"/>
      <c r="J1978" s="30"/>
      <c r="K1978" s="30"/>
      <c r="L1978" s="30"/>
      <c r="M1978" s="30"/>
      <c r="N1978" s="30" t="str" cm="1">
        <f t="array" ref="N1978">Main_Log_Status(Main_Log[[#This Row],[Carrier]],Main_Log[[#This Row],[Net Weight]])</f>
        <v/>
      </c>
      <c r="O1978" s="30"/>
      <c r="P197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78" s="30"/>
      <c r="R1978" s="30" t="str" cm="1">
        <f t="array" ref="R1978">Main_Log_Ref(Main_Log[[#This Row],[Carrier]])</f>
        <v/>
      </c>
    </row>
    <row r="1979" spans="1:18" ht="29.85" customHeight="1" x14ac:dyDescent="0.45">
      <c r="A1979" s="30">
        <v>96</v>
      </c>
      <c r="B1979" s="30"/>
      <c r="C1979" s="30"/>
      <c r="D1979" s="30"/>
      <c r="E1979" s="30"/>
      <c r="F1979" s="30"/>
      <c r="G1979" s="30"/>
      <c r="H1979" s="30"/>
      <c r="I1979" s="30"/>
      <c r="J1979" s="30"/>
      <c r="K1979" s="30"/>
      <c r="L1979" s="30"/>
      <c r="M1979" s="30"/>
      <c r="N1979" s="30" t="str" cm="1">
        <f t="array" ref="N1979">Main_Log_Status(Main_Log[[#This Row],[Carrier]],Main_Log[[#This Row],[Net Weight]])</f>
        <v/>
      </c>
      <c r="O1979" s="30"/>
      <c r="P197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79" s="30"/>
      <c r="R1979" s="30" t="str" cm="1">
        <f t="array" ref="R1979">Main_Log_Ref(Main_Log[[#This Row],[Carrier]])</f>
        <v/>
      </c>
    </row>
    <row r="1980" spans="1:18" ht="29.85" customHeight="1" x14ac:dyDescent="0.45">
      <c r="A1980" s="30">
        <v>97</v>
      </c>
      <c r="B1980" s="30"/>
      <c r="C1980" s="30"/>
      <c r="D1980" s="30"/>
      <c r="E1980" s="30"/>
      <c r="F1980" s="30"/>
      <c r="G1980" s="30"/>
      <c r="H1980" s="30"/>
      <c r="I1980" s="30"/>
      <c r="J1980" s="30"/>
      <c r="K1980" s="30"/>
      <c r="L1980" s="30"/>
      <c r="M1980" s="30"/>
      <c r="N1980" s="30" t="str" cm="1">
        <f t="array" ref="N1980">Main_Log_Status(Main_Log[[#This Row],[Carrier]],Main_Log[[#This Row],[Net Weight]])</f>
        <v/>
      </c>
      <c r="O1980" s="30"/>
      <c r="P198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80" s="30"/>
      <c r="R1980" s="30" t="str" cm="1">
        <f t="array" ref="R1980">Main_Log_Ref(Main_Log[[#This Row],[Carrier]])</f>
        <v/>
      </c>
    </row>
    <row r="1981" spans="1:18" ht="29.85" customHeight="1" x14ac:dyDescent="0.45">
      <c r="A1981" s="30">
        <v>98</v>
      </c>
      <c r="B1981" s="30"/>
      <c r="C1981" s="30"/>
      <c r="D1981" s="30"/>
      <c r="E1981" s="30"/>
      <c r="F1981" s="30"/>
      <c r="G1981" s="30"/>
      <c r="H1981" s="30"/>
      <c r="I1981" s="30"/>
      <c r="J1981" s="30"/>
      <c r="K1981" s="30"/>
      <c r="L1981" s="30"/>
      <c r="M1981" s="30"/>
      <c r="N1981" s="30" t="str" cm="1">
        <f t="array" ref="N1981">Main_Log_Status(Main_Log[[#This Row],[Carrier]],Main_Log[[#This Row],[Net Weight]])</f>
        <v/>
      </c>
      <c r="O1981" s="30"/>
      <c r="P198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81" s="30"/>
      <c r="R1981" s="30" t="str" cm="1">
        <f t="array" ref="R1981">Main_Log_Ref(Main_Log[[#This Row],[Carrier]])</f>
        <v/>
      </c>
    </row>
    <row r="1982" spans="1:18" ht="29.85" customHeight="1" x14ac:dyDescent="0.45">
      <c r="A1982" s="30">
        <v>99</v>
      </c>
      <c r="B1982" s="30"/>
      <c r="C1982" s="30"/>
      <c r="D1982" s="30"/>
      <c r="E1982" s="30"/>
      <c r="F1982" s="30"/>
      <c r="G1982" s="30"/>
      <c r="H1982" s="30"/>
      <c r="I1982" s="30"/>
      <c r="J1982" s="30"/>
      <c r="K1982" s="30"/>
      <c r="L1982" s="30"/>
      <c r="M1982" s="30"/>
      <c r="N1982" s="30" t="str" cm="1">
        <f t="array" ref="N1982">Main_Log_Status(Main_Log[[#This Row],[Carrier]],Main_Log[[#This Row],[Net Weight]])</f>
        <v/>
      </c>
      <c r="O1982" s="30"/>
      <c r="P198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82" s="30"/>
      <c r="R1982" s="30" t="str" cm="1">
        <f t="array" ref="R1982">Main_Log_Ref(Main_Log[[#This Row],[Carrier]])</f>
        <v/>
      </c>
    </row>
    <row r="1983" spans="1:18" ht="29.85" customHeight="1" x14ac:dyDescent="0.45">
      <c r="A1983" s="30">
        <v>1</v>
      </c>
      <c r="B1983" s="30"/>
      <c r="C1983" s="30"/>
      <c r="D1983" s="30"/>
      <c r="E1983" s="30"/>
      <c r="F1983" s="30"/>
      <c r="G1983" s="30"/>
      <c r="H1983" s="30"/>
      <c r="I1983" s="30"/>
      <c r="J1983" s="30"/>
      <c r="K1983" s="30"/>
      <c r="L1983" s="30"/>
      <c r="M1983" s="30"/>
      <c r="N1983" s="30" t="str" cm="1">
        <f t="array" ref="N1983">Main_Log_Status(Main_Log[[#This Row],[Carrier]],Main_Log[[#This Row],[Net Weight]])</f>
        <v/>
      </c>
      <c r="O1983" s="30"/>
      <c r="P198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83" s="30"/>
      <c r="R1983" s="30" t="str" cm="1">
        <f t="array" ref="R1983">Main_Log_Ref(Main_Log[[#This Row],[Carrier]])</f>
        <v/>
      </c>
    </row>
    <row r="1984" spans="1:18" ht="29.85" customHeight="1" x14ac:dyDescent="0.45">
      <c r="A1984" s="30">
        <v>2</v>
      </c>
      <c r="B1984" s="30"/>
      <c r="C1984" s="30"/>
      <c r="D1984" s="30"/>
      <c r="E1984" s="30"/>
      <c r="F1984" s="30"/>
      <c r="G1984" s="30"/>
      <c r="H1984" s="30"/>
      <c r="I1984" s="30"/>
      <c r="J1984" s="30"/>
      <c r="K1984" s="30"/>
      <c r="L1984" s="30"/>
      <c r="M1984" s="30"/>
      <c r="N1984" s="30" t="str" cm="1">
        <f t="array" ref="N1984">Main_Log_Status(Main_Log[[#This Row],[Carrier]],Main_Log[[#This Row],[Net Weight]])</f>
        <v/>
      </c>
      <c r="O1984" s="30"/>
      <c r="P198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84" s="30"/>
      <c r="R1984" s="30" t="str" cm="1">
        <f t="array" ref="R1984">Main_Log_Ref(Main_Log[[#This Row],[Carrier]])</f>
        <v/>
      </c>
    </row>
    <row r="1985" spans="1:18" ht="29.85" customHeight="1" x14ac:dyDescent="0.45">
      <c r="A1985" s="30">
        <v>3</v>
      </c>
      <c r="B1985" s="30"/>
      <c r="C1985" s="30"/>
      <c r="D1985" s="30"/>
      <c r="E1985" s="30"/>
      <c r="F1985" s="30"/>
      <c r="G1985" s="30"/>
      <c r="H1985" s="30"/>
      <c r="I1985" s="30"/>
      <c r="J1985" s="30"/>
      <c r="K1985" s="30"/>
      <c r="L1985" s="30"/>
      <c r="M1985" s="30"/>
      <c r="N1985" s="30" t="str" cm="1">
        <f t="array" ref="N1985">Main_Log_Status(Main_Log[[#This Row],[Carrier]],Main_Log[[#This Row],[Net Weight]])</f>
        <v/>
      </c>
      <c r="O1985" s="30"/>
      <c r="P198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85" s="30"/>
      <c r="R1985" s="30" t="str" cm="1">
        <f t="array" ref="R1985">Main_Log_Ref(Main_Log[[#This Row],[Carrier]])</f>
        <v/>
      </c>
    </row>
    <row r="1986" spans="1:18" ht="29.85" customHeight="1" x14ac:dyDescent="0.45">
      <c r="A1986" s="30">
        <v>4</v>
      </c>
      <c r="B1986" s="30"/>
      <c r="C1986" s="30"/>
      <c r="D1986" s="30"/>
      <c r="E1986" s="30"/>
      <c r="F1986" s="30"/>
      <c r="G1986" s="30"/>
      <c r="H1986" s="30"/>
      <c r="I1986" s="30"/>
      <c r="J1986" s="30"/>
      <c r="K1986" s="30"/>
      <c r="L1986" s="30"/>
      <c r="M1986" s="30"/>
      <c r="N1986" s="30" t="str" cm="1">
        <f t="array" ref="N1986">Main_Log_Status(Main_Log[[#This Row],[Carrier]],Main_Log[[#This Row],[Net Weight]])</f>
        <v/>
      </c>
      <c r="O1986" s="30"/>
      <c r="P198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86" s="30"/>
      <c r="R1986" s="30" t="str" cm="1">
        <f t="array" ref="R1986">Main_Log_Ref(Main_Log[[#This Row],[Carrier]])</f>
        <v/>
      </c>
    </row>
    <row r="1987" spans="1:18" ht="29.85" customHeight="1" x14ac:dyDescent="0.45">
      <c r="A1987" s="30">
        <v>5</v>
      </c>
      <c r="B1987" s="30"/>
      <c r="C1987" s="30"/>
      <c r="D1987" s="30"/>
      <c r="E1987" s="30"/>
      <c r="F1987" s="30"/>
      <c r="G1987" s="30"/>
      <c r="H1987" s="30"/>
      <c r="I1987" s="30"/>
      <c r="J1987" s="30"/>
      <c r="K1987" s="30"/>
      <c r="L1987" s="30"/>
      <c r="M1987" s="30"/>
      <c r="N1987" s="30" t="str" cm="1">
        <f t="array" ref="N1987">Main_Log_Status(Main_Log[[#This Row],[Carrier]],Main_Log[[#This Row],[Net Weight]])</f>
        <v/>
      </c>
      <c r="O1987" s="30"/>
      <c r="P198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87" s="30"/>
      <c r="R1987" s="30" t="str" cm="1">
        <f t="array" ref="R1987">Main_Log_Ref(Main_Log[[#This Row],[Carrier]])</f>
        <v/>
      </c>
    </row>
    <row r="1988" spans="1:18" ht="29.85" customHeight="1" x14ac:dyDescent="0.45">
      <c r="A1988" s="30">
        <v>6</v>
      </c>
      <c r="B1988" s="30"/>
      <c r="C1988" s="30"/>
      <c r="D1988" s="30"/>
      <c r="E1988" s="30"/>
      <c r="F1988" s="30"/>
      <c r="G1988" s="30"/>
      <c r="H1988" s="30"/>
      <c r="I1988" s="30"/>
      <c r="J1988" s="30"/>
      <c r="K1988" s="30"/>
      <c r="L1988" s="30"/>
      <c r="M1988" s="30"/>
      <c r="N1988" s="30" t="str" cm="1">
        <f t="array" ref="N1988">Main_Log_Status(Main_Log[[#This Row],[Carrier]],Main_Log[[#This Row],[Net Weight]])</f>
        <v/>
      </c>
      <c r="O1988" s="30"/>
      <c r="P198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88" s="30"/>
      <c r="R1988" s="30" t="str" cm="1">
        <f t="array" ref="R1988">Main_Log_Ref(Main_Log[[#This Row],[Carrier]])</f>
        <v/>
      </c>
    </row>
    <row r="1989" spans="1:18" ht="29.85" customHeight="1" x14ac:dyDescent="0.45">
      <c r="A1989" s="30">
        <v>7</v>
      </c>
      <c r="B1989" s="30"/>
      <c r="C1989" s="30"/>
      <c r="D1989" s="30"/>
      <c r="E1989" s="30"/>
      <c r="F1989" s="30"/>
      <c r="G1989" s="30"/>
      <c r="H1989" s="30"/>
      <c r="I1989" s="30"/>
      <c r="J1989" s="30"/>
      <c r="K1989" s="30"/>
      <c r="L1989" s="30"/>
      <c r="M1989" s="30"/>
      <c r="N1989" s="30" t="str" cm="1">
        <f t="array" ref="N1989">Main_Log_Status(Main_Log[[#This Row],[Carrier]],Main_Log[[#This Row],[Net Weight]])</f>
        <v/>
      </c>
      <c r="O1989" s="30"/>
      <c r="P198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89" s="30"/>
      <c r="R1989" s="30" t="str" cm="1">
        <f t="array" ref="R1989">Main_Log_Ref(Main_Log[[#This Row],[Carrier]])</f>
        <v/>
      </c>
    </row>
    <row r="1990" spans="1:18" ht="29.85" customHeight="1" x14ac:dyDescent="0.45">
      <c r="A1990" s="30">
        <v>8</v>
      </c>
      <c r="B1990" s="30"/>
      <c r="C1990" s="30"/>
      <c r="D1990" s="30"/>
      <c r="E1990" s="30"/>
      <c r="F1990" s="30"/>
      <c r="G1990" s="30"/>
      <c r="H1990" s="30"/>
      <c r="I1990" s="30"/>
      <c r="J1990" s="30"/>
      <c r="K1990" s="30"/>
      <c r="L1990" s="30"/>
      <c r="M1990" s="30"/>
      <c r="N1990" s="30" t="str" cm="1">
        <f t="array" ref="N1990">Main_Log_Status(Main_Log[[#This Row],[Carrier]],Main_Log[[#This Row],[Net Weight]])</f>
        <v/>
      </c>
      <c r="O1990" s="30"/>
      <c r="P199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90" s="30"/>
      <c r="R1990" s="30" t="str" cm="1">
        <f t="array" ref="R1990">Main_Log_Ref(Main_Log[[#This Row],[Carrier]])</f>
        <v/>
      </c>
    </row>
    <row r="1991" spans="1:18" ht="29.85" customHeight="1" x14ac:dyDescent="0.45">
      <c r="A1991" s="30">
        <v>9</v>
      </c>
      <c r="B1991" s="30"/>
      <c r="C1991" s="30"/>
      <c r="D1991" s="30"/>
      <c r="E1991" s="30"/>
      <c r="F1991" s="30"/>
      <c r="G1991" s="30"/>
      <c r="H1991" s="30"/>
      <c r="I1991" s="30"/>
      <c r="J1991" s="30"/>
      <c r="K1991" s="30"/>
      <c r="L1991" s="30"/>
      <c r="M1991" s="30"/>
      <c r="N1991" s="30" t="str" cm="1">
        <f t="array" ref="N1991">Main_Log_Status(Main_Log[[#This Row],[Carrier]],Main_Log[[#This Row],[Net Weight]])</f>
        <v/>
      </c>
      <c r="O1991" s="30"/>
      <c r="P199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91" s="30"/>
      <c r="R1991" s="30" t="str" cm="1">
        <f t="array" ref="R1991">Main_Log_Ref(Main_Log[[#This Row],[Carrier]])</f>
        <v/>
      </c>
    </row>
    <row r="1992" spans="1:18" ht="29.85" customHeight="1" x14ac:dyDescent="0.45">
      <c r="A1992" s="30">
        <v>10</v>
      </c>
      <c r="B1992" s="30"/>
      <c r="C1992" s="30"/>
      <c r="D1992" s="30"/>
      <c r="E1992" s="30"/>
      <c r="F1992" s="30"/>
      <c r="G1992" s="30"/>
      <c r="H1992" s="30"/>
      <c r="I1992" s="30"/>
      <c r="J1992" s="30"/>
      <c r="K1992" s="30"/>
      <c r="L1992" s="30"/>
      <c r="M1992" s="30"/>
      <c r="N1992" s="30" t="str" cm="1">
        <f t="array" ref="N1992">Main_Log_Status(Main_Log[[#This Row],[Carrier]],Main_Log[[#This Row],[Net Weight]])</f>
        <v/>
      </c>
      <c r="O1992" s="30"/>
      <c r="P199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92" s="30"/>
      <c r="R1992" s="30" t="str" cm="1">
        <f t="array" ref="R1992">Main_Log_Ref(Main_Log[[#This Row],[Carrier]])</f>
        <v/>
      </c>
    </row>
    <row r="1993" spans="1:18" ht="29.85" customHeight="1" x14ac:dyDescent="0.45">
      <c r="A1993" s="30">
        <v>11</v>
      </c>
      <c r="B1993" s="30"/>
      <c r="C1993" s="30"/>
      <c r="D1993" s="30"/>
      <c r="E1993" s="30"/>
      <c r="F1993" s="30"/>
      <c r="G1993" s="30"/>
      <c r="H1993" s="30"/>
      <c r="I1993" s="30"/>
      <c r="J1993" s="30"/>
      <c r="K1993" s="30"/>
      <c r="L1993" s="30"/>
      <c r="M1993" s="30"/>
      <c r="N1993" s="30" t="str" cm="1">
        <f t="array" ref="N1993">Main_Log_Status(Main_Log[[#This Row],[Carrier]],Main_Log[[#This Row],[Net Weight]])</f>
        <v/>
      </c>
      <c r="O1993" s="30"/>
      <c r="P199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93" s="30"/>
      <c r="R1993" s="30" t="str" cm="1">
        <f t="array" ref="R1993">Main_Log_Ref(Main_Log[[#This Row],[Carrier]])</f>
        <v/>
      </c>
    </row>
    <row r="1994" spans="1:18" ht="29.85" customHeight="1" x14ac:dyDescent="0.45">
      <c r="A1994" s="30">
        <v>12</v>
      </c>
      <c r="B1994" s="30"/>
      <c r="C1994" s="30"/>
      <c r="D1994" s="30"/>
      <c r="E1994" s="30"/>
      <c r="F1994" s="30"/>
      <c r="G1994" s="30"/>
      <c r="H1994" s="30"/>
      <c r="I1994" s="30"/>
      <c r="J1994" s="30"/>
      <c r="K1994" s="30"/>
      <c r="L1994" s="30"/>
      <c r="M1994" s="30"/>
      <c r="N1994" s="30" t="str" cm="1">
        <f t="array" ref="N1994">Main_Log_Status(Main_Log[[#This Row],[Carrier]],Main_Log[[#This Row],[Net Weight]])</f>
        <v/>
      </c>
      <c r="O1994" s="30"/>
      <c r="P199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94" s="30"/>
      <c r="R1994" s="30" t="str" cm="1">
        <f t="array" ref="R1994">Main_Log_Ref(Main_Log[[#This Row],[Carrier]])</f>
        <v/>
      </c>
    </row>
    <row r="1995" spans="1:18" ht="29.85" customHeight="1" x14ac:dyDescent="0.45">
      <c r="A1995" s="30">
        <v>13</v>
      </c>
      <c r="B1995" s="30"/>
      <c r="C1995" s="30"/>
      <c r="D1995" s="30"/>
      <c r="E1995" s="30"/>
      <c r="F1995" s="30"/>
      <c r="G1995" s="30"/>
      <c r="H1995" s="30"/>
      <c r="I1995" s="30"/>
      <c r="J1995" s="30"/>
      <c r="K1995" s="30"/>
      <c r="L1995" s="30"/>
      <c r="M1995" s="30"/>
      <c r="N1995" s="30" t="str" cm="1">
        <f t="array" ref="N1995">Main_Log_Status(Main_Log[[#This Row],[Carrier]],Main_Log[[#This Row],[Net Weight]])</f>
        <v/>
      </c>
      <c r="O1995" s="30"/>
      <c r="P199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95" s="30"/>
      <c r="R1995" s="30" t="str" cm="1">
        <f t="array" ref="R1995">Main_Log_Ref(Main_Log[[#This Row],[Carrier]])</f>
        <v/>
      </c>
    </row>
    <row r="1996" spans="1:18" ht="29.85" customHeight="1" x14ac:dyDescent="0.45">
      <c r="A1996" s="30">
        <v>14</v>
      </c>
      <c r="B1996" s="30"/>
      <c r="C1996" s="30"/>
      <c r="D1996" s="30"/>
      <c r="E1996" s="30"/>
      <c r="F1996" s="30"/>
      <c r="G1996" s="30"/>
      <c r="H1996" s="30"/>
      <c r="I1996" s="30"/>
      <c r="J1996" s="30"/>
      <c r="K1996" s="30"/>
      <c r="L1996" s="30"/>
      <c r="M1996" s="30"/>
      <c r="N1996" s="30" t="str" cm="1">
        <f t="array" ref="N1996">Main_Log_Status(Main_Log[[#This Row],[Carrier]],Main_Log[[#This Row],[Net Weight]])</f>
        <v/>
      </c>
      <c r="O1996" s="30"/>
      <c r="P199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96" s="30"/>
      <c r="R1996" s="30" t="str" cm="1">
        <f t="array" ref="R1996">Main_Log_Ref(Main_Log[[#This Row],[Carrier]])</f>
        <v/>
      </c>
    </row>
    <row r="1997" spans="1:18" ht="29.85" customHeight="1" x14ac:dyDescent="0.45">
      <c r="A1997" s="30">
        <v>15</v>
      </c>
      <c r="B1997" s="30"/>
      <c r="C1997" s="30"/>
      <c r="D1997" s="30"/>
      <c r="E1997" s="30"/>
      <c r="F1997" s="30"/>
      <c r="G1997" s="30"/>
      <c r="H1997" s="30"/>
      <c r="I1997" s="30"/>
      <c r="J1997" s="30"/>
      <c r="K1997" s="30"/>
      <c r="L1997" s="30"/>
      <c r="M1997" s="30"/>
      <c r="N1997" s="30" t="str" cm="1">
        <f t="array" ref="N1997">Main_Log_Status(Main_Log[[#This Row],[Carrier]],Main_Log[[#This Row],[Net Weight]])</f>
        <v/>
      </c>
      <c r="O1997" s="30"/>
      <c r="P199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97" s="30"/>
      <c r="R1997" s="30" t="str" cm="1">
        <f t="array" ref="R1997">Main_Log_Ref(Main_Log[[#This Row],[Carrier]])</f>
        <v/>
      </c>
    </row>
    <row r="1998" spans="1:18" ht="29.85" customHeight="1" x14ac:dyDescent="0.45">
      <c r="A1998" s="30">
        <v>16</v>
      </c>
      <c r="B1998" s="30"/>
      <c r="C1998" s="30"/>
      <c r="D1998" s="30"/>
      <c r="E1998" s="30"/>
      <c r="F1998" s="30"/>
      <c r="G1998" s="30"/>
      <c r="H1998" s="30"/>
      <c r="I1998" s="30"/>
      <c r="J1998" s="30"/>
      <c r="K1998" s="30"/>
      <c r="L1998" s="30"/>
      <c r="M1998" s="30"/>
      <c r="N1998" s="30" t="str" cm="1">
        <f t="array" ref="N1998">Main_Log_Status(Main_Log[[#This Row],[Carrier]],Main_Log[[#This Row],[Net Weight]])</f>
        <v/>
      </c>
      <c r="O1998" s="30"/>
      <c r="P199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98" s="30"/>
      <c r="R1998" s="30" t="str" cm="1">
        <f t="array" ref="R1998">Main_Log_Ref(Main_Log[[#This Row],[Carrier]])</f>
        <v/>
      </c>
    </row>
    <row r="1999" spans="1:18" ht="29.85" customHeight="1" x14ac:dyDescent="0.45">
      <c r="A1999" s="30">
        <v>17</v>
      </c>
      <c r="B1999" s="30"/>
      <c r="C1999" s="30"/>
      <c r="D1999" s="30"/>
      <c r="E1999" s="30"/>
      <c r="F1999" s="30"/>
      <c r="G1999" s="30"/>
      <c r="H1999" s="30"/>
      <c r="I1999" s="30"/>
      <c r="J1999" s="30"/>
      <c r="K1999" s="30"/>
      <c r="L1999" s="30"/>
      <c r="M1999" s="30"/>
      <c r="N1999" s="30" t="str" cm="1">
        <f t="array" ref="N1999">Main_Log_Status(Main_Log[[#This Row],[Carrier]],Main_Log[[#This Row],[Net Weight]])</f>
        <v/>
      </c>
      <c r="O1999" s="30"/>
      <c r="P199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1999" s="30"/>
      <c r="R1999" s="30" t="str" cm="1">
        <f t="array" ref="R1999">Main_Log_Ref(Main_Log[[#This Row],[Carrier]])</f>
        <v/>
      </c>
    </row>
    <row r="2000" spans="1:18" ht="29.85" customHeight="1" x14ac:dyDescent="0.45">
      <c r="A2000" s="30">
        <v>18</v>
      </c>
      <c r="B2000" s="30"/>
      <c r="C2000" s="30"/>
      <c r="D2000" s="30"/>
      <c r="E2000" s="30"/>
      <c r="F2000" s="30"/>
      <c r="G2000" s="30"/>
      <c r="H2000" s="30"/>
      <c r="I2000" s="30"/>
      <c r="J2000" s="30"/>
      <c r="K2000" s="30"/>
      <c r="L2000" s="30"/>
      <c r="M2000" s="30"/>
      <c r="N2000" s="30" t="str" cm="1">
        <f t="array" ref="N2000">Main_Log_Status(Main_Log[[#This Row],[Carrier]],Main_Log[[#This Row],[Net Weight]])</f>
        <v/>
      </c>
      <c r="O2000" s="30"/>
      <c r="P200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00" s="30"/>
      <c r="R2000" s="30" t="str" cm="1">
        <f t="array" ref="R2000">Main_Log_Ref(Main_Log[[#This Row],[Carrier]])</f>
        <v/>
      </c>
    </row>
    <row r="2001" spans="1:18" ht="29.85" customHeight="1" x14ac:dyDescent="0.45">
      <c r="A2001" s="30">
        <v>19</v>
      </c>
      <c r="B2001" s="30"/>
      <c r="C2001" s="30"/>
      <c r="D2001" s="30"/>
      <c r="E2001" s="30"/>
      <c r="F2001" s="30"/>
      <c r="G2001" s="30"/>
      <c r="H2001" s="30"/>
      <c r="I2001" s="30"/>
      <c r="J2001" s="30"/>
      <c r="K2001" s="30"/>
      <c r="L2001" s="30"/>
      <c r="M2001" s="30"/>
      <c r="N2001" s="30" t="str" cm="1">
        <f t="array" ref="N2001">Main_Log_Status(Main_Log[[#This Row],[Carrier]],Main_Log[[#This Row],[Net Weight]])</f>
        <v/>
      </c>
      <c r="O2001" s="30"/>
      <c r="P200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01" s="30"/>
      <c r="R2001" s="30" t="str" cm="1">
        <f t="array" ref="R2001">Main_Log_Ref(Main_Log[[#This Row],[Carrier]])</f>
        <v/>
      </c>
    </row>
    <row r="2002" spans="1:18" ht="29.85" customHeight="1" x14ac:dyDescent="0.45">
      <c r="A2002" s="30">
        <v>20</v>
      </c>
      <c r="B2002" s="30"/>
      <c r="C2002" s="30"/>
      <c r="D2002" s="30"/>
      <c r="E2002" s="30"/>
      <c r="F2002" s="30"/>
      <c r="G2002" s="30"/>
      <c r="H2002" s="30"/>
      <c r="I2002" s="30"/>
      <c r="J2002" s="30"/>
      <c r="K2002" s="30"/>
      <c r="L2002" s="30"/>
      <c r="M2002" s="30"/>
      <c r="N2002" s="30" t="str" cm="1">
        <f t="array" ref="N2002">Main_Log_Status(Main_Log[[#This Row],[Carrier]],Main_Log[[#This Row],[Net Weight]])</f>
        <v/>
      </c>
      <c r="O2002" s="30"/>
      <c r="P200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02" s="30"/>
      <c r="R2002" s="30" t="str" cm="1">
        <f t="array" ref="R2002">Main_Log_Ref(Main_Log[[#This Row],[Carrier]])</f>
        <v/>
      </c>
    </row>
    <row r="2003" spans="1:18" ht="29.85" customHeight="1" x14ac:dyDescent="0.45">
      <c r="A2003" s="30">
        <v>21</v>
      </c>
      <c r="B2003" s="30"/>
      <c r="C2003" s="30"/>
      <c r="D2003" s="30"/>
      <c r="E2003" s="30"/>
      <c r="F2003" s="30"/>
      <c r="G2003" s="30"/>
      <c r="H2003" s="30"/>
      <c r="I2003" s="30"/>
      <c r="J2003" s="30"/>
      <c r="K2003" s="30"/>
      <c r="L2003" s="30"/>
      <c r="M2003" s="30"/>
      <c r="N2003" s="30" t="str" cm="1">
        <f t="array" ref="N2003">Main_Log_Status(Main_Log[[#This Row],[Carrier]],Main_Log[[#This Row],[Net Weight]])</f>
        <v/>
      </c>
      <c r="O2003" s="30"/>
      <c r="P200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03" s="30"/>
      <c r="R2003" s="30" t="str" cm="1">
        <f t="array" ref="R2003">Main_Log_Ref(Main_Log[[#This Row],[Carrier]])</f>
        <v/>
      </c>
    </row>
    <row r="2004" spans="1:18" ht="29.85" customHeight="1" x14ac:dyDescent="0.45">
      <c r="A2004" s="30">
        <v>22</v>
      </c>
      <c r="B2004" s="30"/>
      <c r="C2004" s="30"/>
      <c r="D2004" s="30"/>
      <c r="E2004" s="30"/>
      <c r="F2004" s="30"/>
      <c r="G2004" s="30"/>
      <c r="H2004" s="30"/>
      <c r="I2004" s="30"/>
      <c r="J2004" s="30"/>
      <c r="K2004" s="30"/>
      <c r="L2004" s="30"/>
      <c r="M2004" s="30"/>
      <c r="N2004" s="30" t="str" cm="1">
        <f t="array" ref="N2004">Main_Log_Status(Main_Log[[#This Row],[Carrier]],Main_Log[[#This Row],[Net Weight]])</f>
        <v/>
      </c>
      <c r="O2004" s="30"/>
      <c r="P200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04" s="30"/>
      <c r="R2004" s="30" t="str" cm="1">
        <f t="array" ref="R2004">Main_Log_Ref(Main_Log[[#This Row],[Carrier]])</f>
        <v/>
      </c>
    </row>
    <row r="2005" spans="1:18" ht="29.85" customHeight="1" x14ac:dyDescent="0.45">
      <c r="A2005" s="30">
        <v>23</v>
      </c>
      <c r="B2005" s="30"/>
      <c r="C2005" s="30"/>
      <c r="D2005" s="30"/>
      <c r="E2005" s="30"/>
      <c r="F2005" s="30"/>
      <c r="G2005" s="30"/>
      <c r="H2005" s="30"/>
      <c r="I2005" s="30"/>
      <c r="J2005" s="30"/>
      <c r="K2005" s="30"/>
      <c r="L2005" s="30"/>
      <c r="M2005" s="30"/>
      <c r="N2005" s="30" t="str" cm="1">
        <f t="array" ref="N2005">Main_Log_Status(Main_Log[[#This Row],[Carrier]],Main_Log[[#This Row],[Net Weight]])</f>
        <v/>
      </c>
      <c r="O2005" s="30"/>
      <c r="P200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05" s="30"/>
      <c r="R2005" s="30" t="str" cm="1">
        <f t="array" ref="R2005">Main_Log_Ref(Main_Log[[#This Row],[Carrier]])</f>
        <v/>
      </c>
    </row>
    <row r="2006" spans="1:18" ht="29.85" customHeight="1" x14ac:dyDescent="0.45">
      <c r="A2006" s="30">
        <v>24</v>
      </c>
      <c r="B2006" s="30"/>
      <c r="C2006" s="30"/>
      <c r="D2006" s="30"/>
      <c r="E2006" s="30"/>
      <c r="F2006" s="30"/>
      <c r="G2006" s="30"/>
      <c r="H2006" s="30"/>
      <c r="I2006" s="30"/>
      <c r="J2006" s="30"/>
      <c r="K2006" s="30"/>
      <c r="L2006" s="30"/>
      <c r="M2006" s="30"/>
      <c r="N2006" s="30" t="str" cm="1">
        <f t="array" ref="N2006">Main_Log_Status(Main_Log[[#This Row],[Carrier]],Main_Log[[#This Row],[Net Weight]])</f>
        <v/>
      </c>
      <c r="O2006" s="30"/>
      <c r="P200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06" s="30"/>
      <c r="R2006" s="30" t="str" cm="1">
        <f t="array" ref="R2006">Main_Log_Ref(Main_Log[[#This Row],[Carrier]])</f>
        <v/>
      </c>
    </row>
    <row r="2007" spans="1:18" ht="29.85" customHeight="1" x14ac:dyDescent="0.45">
      <c r="A2007" s="30">
        <v>25</v>
      </c>
      <c r="B2007" s="30"/>
      <c r="C2007" s="30"/>
      <c r="D2007" s="30"/>
      <c r="E2007" s="30"/>
      <c r="F2007" s="30"/>
      <c r="G2007" s="30"/>
      <c r="H2007" s="30"/>
      <c r="I2007" s="30"/>
      <c r="J2007" s="30"/>
      <c r="K2007" s="30"/>
      <c r="L2007" s="30"/>
      <c r="M2007" s="30"/>
      <c r="N2007" s="30" t="str" cm="1">
        <f t="array" ref="N2007">Main_Log_Status(Main_Log[[#This Row],[Carrier]],Main_Log[[#This Row],[Net Weight]])</f>
        <v/>
      </c>
      <c r="O2007" s="30"/>
      <c r="P200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07" s="30"/>
      <c r="R2007" s="30" t="str" cm="1">
        <f t="array" ref="R2007">Main_Log_Ref(Main_Log[[#This Row],[Carrier]])</f>
        <v/>
      </c>
    </row>
    <row r="2008" spans="1:18" ht="29.85" customHeight="1" x14ac:dyDescent="0.45">
      <c r="A2008" s="30">
        <v>26</v>
      </c>
      <c r="B2008" s="30"/>
      <c r="C2008" s="30"/>
      <c r="D2008" s="30"/>
      <c r="E2008" s="30"/>
      <c r="F2008" s="30"/>
      <c r="G2008" s="30"/>
      <c r="H2008" s="30"/>
      <c r="I2008" s="30"/>
      <c r="J2008" s="30"/>
      <c r="K2008" s="30"/>
      <c r="L2008" s="30"/>
      <c r="M2008" s="30"/>
      <c r="N2008" s="30" t="str" cm="1">
        <f t="array" ref="N2008">Main_Log_Status(Main_Log[[#This Row],[Carrier]],Main_Log[[#This Row],[Net Weight]])</f>
        <v/>
      </c>
      <c r="O2008" s="30"/>
      <c r="P200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08" s="30"/>
      <c r="R2008" s="30" t="str" cm="1">
        <f t="array" ref="R2008">Main_Log_Ref(Main_Log[[#This Row],[Carrier]])</f>
        <v/>
      </c>
    </row>
    <row r="2009" spans="1:18" ht="29.85" customHeight="1" x14ac:dyDescent="0.45">
      <c r="A2009" s="30">
        <v>27</v>
      </c>
      <c r="B2009" s="30"/>
      <c r="C2009" s="30"/>
      <c r="D2009" s="30"/>
      <c r="E2009" s="30"/>
      <c r="F2009" s="30"/>
      <c r="G2009" s="30"/>
      <c r="H2009" s="30"/>
      <c r="I2009" s="30"/>
      <c r="J2009" s="30"/>
      <c r="K2009" s="30"/>
      <c r="L2009" s="30"/>
      <c r="M2009" s="30"/>
      <c r="N2009" s="30" t="str" cm="1">
        <f t="array" ref="N2009">Main_Log_Status(Main_Log[[#This Row],[Carrier]],Main_Log[[#This Row],[Net Weight]])</f>
        <v/>
      </c>
      <c r="O2009" s="30"/>
      <c r="P200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09" s="30"/>
      <c r="R2009" s="30" t="str" cm="1">
        <f t="array" ref="R2009">Main_Log_Ref(Main_Log[[#This Row],[Carrier]])</f>
        <v/>
      </c>
    </row>
    <row r="2010" spans="1:18" ht="29.85" customHeight="1" x14ac:dyDescent="0.45">
      <c r="A2010" s="30">
        <v>28</v>
      </c>
      <c r="B2010" s="30"/>
      <c r="C2010" s="30"/>
      <c r="D2010" s="30"/>
      <c r="E2010" s="30"/>
      <c r="F2010" s="30"/>
      <c r="G2010" s="30"/>
      <c r="H2010" s="30"/>
      <c r="I2010" s="30"/>
      <c r="J2010" s="30"/>
      <c r="K2010" s="30"/>
      <c r="L2010" s="30"/>
      <c r="M2010" s="30"/>
      <c r="N2010" s="30" t="str" cm="1">
        <f t="array" ref="N2010">Main_Log_Status(Main_Log[[#This Row],[Carrier]],Main_Log[[#This Row],[Net Weight]])</f>
        <v/>
      </c>
      <c r="O2010" s="30"/>
      <c r="P201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10" s="30"/>
      <c r="R2010" s="30" t="str" cm="1">
        <f t="array" ref="R2010">Main_Log_Ref(Main_Log[[#This Row],[Carrier]])</f>
        <v/>
      </c>
    </row>
    <row r="2011" spans="1:18" ht="29.85" customHeight="1" x14ac:dyDescent="0.45">
      <c r="A2011" s="30">
        <v>29</v>
      </c>
      <c r="B2011" s="30"/>
      <c r="C2011" s="30"/>
      <c r="D2011" s="30"/>
      <c r="E2011" s="30"/>
      <c r="F2011" s="30"/>
      <c r="G2011" s="30"/>
      <c r="H2011" s="30"/>
      <c r="I2011" s="30"/>
      <c r="J2011" s="30"/>
      <c r="K2011" s="30"/>
      <c r="L2011" s="30"/>
      <c r="M2011" s="30"/>
      <c r="N2011" s="30" t="str" cm="1">
        <f t="array" ref="N2011">Main_Log_Status(Main_Log[[#This Row],[Carrier]],Main_Log[[#This Row],[Net Weight]])</f>
        <v/>
      </c>
      <c r="O2011" s="30"/>
      <c r="P201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11" s="30"/>
      <c r="R2011" s="30" t="str" cm="1">
        <f t="array" ref="R2011">Main_Log_Ref(Main_Log[[#This Row],[Carrier]])</f>
        <v/>
      </c>
    </row>
    <row r="2012" spans="1:18" ht="29.85" customHeight="1" x14ac:dyDescent="0.45">
      <c r="A2012" s="30">
        <v>30</v>
      </c>
      <c r="B2012" s="30"/>
      <c r="C2012" s="30"/>
      <c r="D2012" s="30"/>
      <c r="E2012" s="30"/>
      <c r="F2012" s="30"/>
      <c r="G2012" s="30"/>
      <c r="H2012" s="30"/>
      <c r="I2012" s="30"/>
      <c r="J2012" s="30"/>
      <c r="K2012" s="30"/>
      <c r="L2012" s="30"/>
      <c r="M2012" s="30"/>
      <c r="N2012" s="30" t="str" cm="1">
        <f t="array" ref="N2012">Main_Log_Status(Main_Log[[#This Row],[Carrier]],Main_Log[[#This Row],[Net Weight]])</f>
        <v/>
      </c>
      <c r="O2012" s="30"/>
      <c r="P201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12" s="30"/>
      <c r="R2012" s="30" t="str" cm="1">
        <f t="array" ref="R2012">Main_Log_Ref(Main_Log[[#This Row],[Carrier]])</f>
        <v/>
      </c>
    </row>
    <row r="2013" spans="1:18" ht="29.85" customHeight="1" x14ac:dyDescent="0.45">
      <c r="A2013" s="30">
        <v>31</v>
      </c>
      <c r="B2013" s="30"/>
      <c r="C2013" s="30"/>
      <c r="D2013" s="30"/>
      <c r="E2013" s="30"/>
      <c r="F2013" s="30"/>
      <c r="G2013" s="30"/>
      <c r="H2013" s="30"/>
      <c r="I2013" s="30"/>
      <c r="J2013" s="30"/>
      <c r="K2013" s="30"/>
      <c r="L2013" s="30"/>
      <c r="M2013" s="30"/>
      <c r="N2013" s="30" t="str" cm="1">
        <f t="array" ref="N2013">Main_Log_Status(Main_Log[[#This Row],[Carrier]],Main_Log[[#This Row],[Net Weight]])</f>
        <v/>
      </c>
      <c r="O2013" s="30"/>
      <c r="P201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13" s="30"/>
      <c r="R2013" s="30" t="str" cm="1">
        <f t="array" ref="R2013">Main_Log_Ref(Main_Log[[#This Row],[Carrier]])</f>
        <v/>
      </c>
    </row>
    <row r="2014" spans="1:18" ht="29.85" customHeight="1" x14ac:dyDescent="0.45">
      <c r="A2014" s="30">
        <v>32</v>
      </c>
      <c r="B2014" s="30"/>
      <c r="C2014" s="30"/>
      <c r="D2014" s="30"/>
      <c r="E2014" s="30"/>
      <c r="F2014" s="30"/>
      <c r="G2014" s="30"/>
      <c r="H2014" s="30"/>
      <c r="I2014" s="30"/>
      <c r="J2014" s="30"/>
      <c r="K2014" s="30"/>
      <c r="L2014" s="30"/>
      <c r="M2014" s="30"/>
      <c r="N2014" s="30" t="str" cm="1">
        <f t="array" ref="N2014">Main_Log_Status(Main_Log[[#This Row],[Carrier]],Main_Log[[#This Row],[Net Weight]])</f>
        <v/>
      </c>
      <c r="O2014" s="30"/>
      <c r="P201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14" s="30"/>
      <c r="R2014" s="30" t="str" cm="1">
        <f t="array" ref="R2014">Main_Log_Ref(Main_Log[[#This Row],[Carrier]])</f>
        <v/>
      </c>
    </row>
    <row r="2015" spans="1:18" ht="29.85" customHeight="1" x14ac:dyDescent="0.45">
      <c r="A2015" s="30">
        <v>33</v>
      </c>
      <c r="B2015" s="30"/>
      <c r="C2015" s="30"/>
      <c r="D2015" s="30"/>
      <c r="E2015" s="30"/>
      <c r="F2015" s="30"/>
      <c r="G2015" s="30"/>
      <c r="H2015" s="30"/>
      <c r="I2015" s="30"/>
      <c r="J2015" s="30"/>
      <c r="K2015" s="30"/>
      <c r="L2015" s="30"/>
      <c r="M2015" s="30"/>
      <c r="N2015" s="30" t="str" cm="1">
        <f t="array" ref="N2015">Main_Log_Status(Main_Log[[#This Row],[Carrier]],Main_Log[[#This Row],[Net Weight]])</f>
        <v/>
      </c>
      <c r="O2015" s="30"/>
      <c r="P201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15" s="30"/>
      <c r="R2015" s="30" t="str" cm="1">
        <f t="array" ref="R2015">Main_Log_Ref(Main_Log[[#This Row],[Carrier]])</f>
        <v/>
      </c>
    </row>
    <row r="2016" spans="1:18" ht="29.85" customHeight="1" x14ac:dyDescent="0.45">
      <c r="A2016" s="30">
        <v>34</v>
      </c>
      <c r="B2016" s="30"/>
      <c r="C2016" s="30"/>
      <c r="D2016" s="30"/>
      <c r="E2016" s="30"/>
      <c r="F2016" s="30"/>
      <c r="G2016" s="30"/>
      <c r="H2016" s="30"/>
      <c r="I2016" s="30"/>
      <c r="J2016" s="30"/>
      <c r="K2016" s="30"/>
      <c r="L2016" s="30"/>
      <c r="M2016" s="30"/>
      <c r="N2016" s="30" t="str" cm="1">
        <f t="array" ref="N2016">Main_Log_Status(Main_Log[[#This Row],[Carrier]],Main_Log[[#This Row],[Net Weight]])</f>
        <v/>
      </c>
      <c r="O2016" s="30"/>
      <c r="P201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16" s="30"/>
      <c r="R2016" s="30" t="str" cm="1">
        <f t="array" ref="R2016">Main_Log_Ref(Main_Log[[#This Row],[Carrier]])</f>
        <v/>
      </c>
    </row>
    <row r="2017" spans="1:18" ht="29.85" customHeight="1" x14ac:dyDescent="0.45">
      <c r="A2017" s="30">
        <v>35</v>
      </c>
      <c r="B2017" s="30"/>
      <c r="C2017" s="30"/>
      <c r="D2017" s="30"/>
      <c r="E2017" s="30"/>
      <c r="F2017" s="30"/>
      <c r="G2017" s="30"/>
      <c r="H2017" s="30"/>
      <c r="I2017" s="30"/>
      <c r="J2017" s="30"/>
      <c r="K2017" s="30"/>
      <c r="L2017" s="30"/>
      <c r="M2017" s="30"/>
      <c r="N2017" s="30" t="str" cm="1">
        <f t="array" ref="N2017">Main_Log_Status(Main_Log[[#This Row],[Carrier]],Main_Log[[#This Row],[Net Weight]])</f>
        <v/>
      </c>
      <c r="O2017" s="30"/>
      <c r="P201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17" s="30"/>
      <c r="R2017" s="30" t="str" cm="1">
        <f t="array" ref="R2017">Main_Log_Ref(Main_Log[[#This Row],[Carrier]])</f>
        <v/>
      </c>
    </row>
    <row r="2018" spans="1:18" ht="29.85" customHeight="1" x14ac:dyDescent="0.45">
      <c r="A2018" s="30">
        <v>36</v>
      </c>
      <c r="B2018" s="30"/>
      <c r="C2018" s="30"/>
      <c r="D2018" s="30"/>
      <c r="E2018" s="30"/>
      <c r="F2018" s="30"/>
      <c r="G2018" s="30"/>
      <c r="H2018" s="30"/>
      <c r="I2018" s="30"/>
      <c r="J2018" s="30"/>
      <c r="K2018" s="30"/>
      <c r="L2018" s="30"/>
      <c r="M2018" s="30"/>
      <c r="N2018" s="30" t="str" cm="1">
        <f t="array" ref="N2018">Main_Log_Status(Main_Log[[#This Row],[Carrier]],Main_Log[[#This Row],[Net Weight]])</f>
        <v/>
      </c>
      <c r="O2018" s="30"/>
      <c r="P201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18" s="30"/>
      <c r="R2018" s="30" t="str" cm="1">
        <f t="array" ref="R2018">Main_Log_Ref(Main_Log[[#This Row],[Carrier]])</f>
        <v/>
      </c>
    </row>
    <row r="2019" spans="1:18" ht="29.85" customHeight="1" x14ac:dyDescent="0.45">
      <c r="A2019" s="30">
        <v>37</v>
      </c>
      <c r="B2019" s="30"/>
      <c r="C2019" s="30"/>
      <c r="D2019" s="30"/>
      <c r="E2019" s="30"/>
      <c r="F2019" s="30"/>
      <c r="G2019" s="30"/>
      <c r="H2019" s="30"/>
      <c r="I2019" s="30"/>
      <c r="J2019" s="30"/>
      <c r="K2019" s="30"/>
      <c r="L2019" s="30"/>
      <c r="M2019" s="30"/>
      <c r="N2019" s="30" t="str" cm="1">
        <f t="array" ref="N2019">Main_Log_Status(Main_Log[[#This Row],[Carrier]],Main_Log[[#This Row],[Net Weight]])</f>
        <v/>
      </c>
      <c r="O2019" s="30"/>
      <c r="P201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19" s="30"/>
      <c r="R2019" s="30" t="str" cm="1">
        <f t="array" ref="R2019">Main_Log_Ref(Main_Log[[#This Row],[Carrier]])</f>
        <v/>
      </c>
    </row>
    <row r="2020" spans="1:18" ht="29.85" customHeight="1" x14ac:dyDescent="0.45">
      <c r="A2020" s="30">
        <v>38</v>
      </c>
      <c r="B2020" s="30"/>
      <c r="C2020" s="30"/>
      <c r="D2020" s="30"/>
      <c r="E2020" s="30"/>
      <c r="F2020" s="30"/>
      <c r="G2020" s="30"/>
      <c r="H2020" s="30"/>
      <c r="I2020" s="30"/>
      <c r="J2020" s="30"/>
      <c r="K2020" s="30"/>
      <c r="L2020" s="30"/>
      <c r="M2020" s="30"/>
      <c r="N2020" s="30" t="str" cm="1">
        <f t="array" ref="N2020">Main_Log_Status(Main_Log[[#This Row],[Carrier]],Main_Log[[#This Row],[Net Weight]])</f>
        <v/>
      </c>
      <c r="O2020" s="30"/>
      <c r="P202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20" s="30"/>
      <c r="R2020" s="30" t="str" cm="1">
        <f t="array" ref="R2020">Main_Log_Ref(Main_Log[[#This Row],[Carrier]])</f>
        <v/>
      </c>
    </row>
    <row r="2021" spans="1:18" ht="29.85" customHeight="1" x14ac:dyDescent="0.45">
      <c r="A2021" s="30">
        <v>39</v>
      </c>
      <c r="B2021" s="30"/>
      <c r="C2021" s="30"/>
      <c r="D2021" s="30"/>
      <c r="E2021" s="30"/>
      <c r="F2021" s="30"/>
      <c r="G2021" s="30"/>
      <c r="H2021" s="30"/>
      <c r="I2021" s="30"/>
      <c r="J2021" s="30"/>
      <c r="K2021" s="30"/>
      <c r="L2021" s="30"/>
      <c r="M2021" s="30"/>
      <c r="N2021" s="30" t="str" cm="1">
        <f t="array" ref="N2021">Main_Log_Status(Main_Log[[#This Row],[Carrier]],Main_Log[[#This Row],[Net Weight]])</f>
        <v/>
      </c>
      <c r="O2021" s="30"/>
      <c r="P202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21" s="30"/>
      <c r="R2021" s="30" t="str" cm="1">
        <f t="array" ref="R2021">Main_Log_Ref(Main_Log[[#This Row],[Carrier]])</f>
        <v/>
      </c>
    </row>
    <row r="2022" spans="1:18" ht="29.85" customHeight="1" x14ac:dyDescent="0.45">
      <c r="A2022" s="30">
        <v>40</v>
      </c>
      <c r="B2022" s="30"/>
      <c r="C2022" s="30"/>
      <c r="D2022" s="30"/>
      <c r="E2022" s="30"/>
      <c r="F2022" s="30"/>
      <c r="G2022" s="30"/>
      <c r="H2022" s="30"/>
      <c r="I2022" s="30"/>
      <c r="J2022" s="30"/>
      <c r="K2022" s="30"/>
      <c r="L2022" s="30"/>
      <c r="M2022" s="30"/>
      <c r="N2022" s="30" t="str" cm="1">
        <f t="array" ref="N2022">Main_Log_Status(Main_Log[[#This Row],[Carrier]],Main_Log[[#This Row],[Net Weight]])</f>
        <v/>
      </c>
      <c r="O2022" s="30"/>
      <c r="P202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22" s="30"/>
      <c r="R2022" s="30" t="str" cm="1">
        <f t="array" ref="R2022">Main_Log_Ref(Main_Log[[#This Row],[Carrier]])</f>
        <v/>
      </c>
    </row>
    <row r="2023" spans="1:18" ht="29.85" customHeight="1" x14ac:dyDescent="0.45">
      <c r="A2023" s="30">
        <v>41</v>
      </c>
      <c r="B2023" s="30"/>
      <c r="C2023" s="30"/>
      <c r="D2023" s="30"/>
      <c r="E2023" s="30"/>
      <c r="F2023" s="30"/>
      <c r="G2023" s="30"/>
      <c r="H2023" s="30"/>
      <c r="I2023" s="30"/>
      <c r="J2023" s="30"/>
      <c r="K2023" s="30"/>
      <c r="L2023" s="30"/>
      <c r="M2023" s="30"/>
      <c r="N2023" s="30" t="str" cm="1">
        <f t="array" ref="N2023">Main_Log_Status(Main_Log[[#This Row],[Carrier]],Main_Log[[#This Row],[Net Weight]])</f>
        <v/>
      </c>
      <c r="O2023" s="30"/>
      <c r="P202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23" s="30"/>
      <c r="R2023" s="30" t="str" cm="1">
        <f t="array" ref="R2023">Main_Log_Ref(Main_Log[[#This Row],[Carrier]])</f>
        <v/>
      </c>
    </row>
    <row r="2024" spans="1:18" ht="29.85" customHeight="1" x14ac:dyDescent="0.45">
      <c r="A2024" s="30">
        <v>42</v>
      </c>
      <c r="B2024" s="30"/>
      <c r="C2024" s="30"/>
      <c r="D2024" s="30"/>
      <c r="E2024" s="30"/>
      <c r="F2024" s="30"/>
      <c r="G2024" s="30"/>
      <c r="H2024" s="30"/>
      <c r="I2024" s="30"/>
      <c r="J2024" s="30"/>
      <c r="K2024" s="30"/>
      <c r="L2024" s="30"/>
      <c r="M2024" s="30"/>
      <c r="N2024" s="30" t="str" cm="1">
        <f t="array" ref="N2024">Main_Log_Status(Main_Log[[#This Row],[Carrier]],Main_Log[[#This Row],[Net Weight]])</f>
        <v/>
      </c>
      <c r="O2024" s="30"/>
      <c r="P202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24" s="30"/>
      <c r="R2024" s="30" t="str" cm="1">
        <f t="array" ref="R2024">Main_Log_Ref(Main_Log[[#This Row],[Carrier]])</f>
        <v/>
      </c>
    </row>
    <row r="2025" spans="1:18" ht="29.85" customHeight="1" x14ac:dyDescent="0.45">
      <c r="A2025" s="30">
        <v>43</v>
      </c>
      <c r="B2025" s="30"/>
      <c r="C2025" s="30"/>
      <c r="D2025" s="30"/>
      <c r="E2025" s="30"/>
      <c r="F2025" s="30"/>
      <c r="G2025" s="30"/>
      <c r="H2025" s="30"/>
      <c r="I2025" s="30"/>
      <c r="J2025" s="30"/>
      <c r="K2025" s="30"/>
      <c r="L2025" s="30"/>
      <c r="M2025" s="30"/>
      <c r="N2025" s="30" t="str" cm="1">
        <f t="array" ref="N2025">Main_Log_Status(Main_Log[[#This Row],[Carrier]],Main_Log[[#This Row],[Net Weight]])</f>
        <v/>
      </c>
      <c r="O2025" s="30"/>
      <c r="P202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25" s="30"/>
      <c r="R2025" s="30" t="str" cm="1">
        <f t="array" ref="R2025">Main_Log_Ref(Main_Log[[#This Row],[Carrier]])</f>
        <v/>
      </c>
    </row>
    <row r="2026" spans="1:18" ht="29.85" customHeight="1" x14ac:dyDescent="0.45">
      <c r="A2026" s="30">
        <v>44</v>
      </c>
      <c r="B2026" s="30"/>
      <c r="C2026" s="30"/>
      <c r="D2026" s="30"/>
      <c r="E2026" s="30"/>
      <c r="F2026" s="30"/>
      <c r="G2026" s="30"/>
      <c r="H2026" s="30"/>
      <c r="I2026" s="30"/>
      <c r="J2026" s="30"/>
      <c r="K2026" s="30"/>
      <c r="L2026" s="30"/>
      <c r="M2026" s="30"/>
      <c r="N2026" s="30" t="str" cm="1">
        <f t="array" ref="N2026">Main_Log_Status(Main_Log[[#This Row],[Carrier]],Main_Log[[#This Row],[Net Weight]])</f>
        <v/>
      </c>
      <c r="O2026" s="30"/>
      <c r="P202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26" s="30"/>
      <c r="R2026" s="30" t="str" cm="1">
        <f t="array" ref="R2026">Main_Log_Ref(Main_Log[[#This Row],[Carrier]])</f>
        <v/>
      </c>
    </row>
    <row r="2027" spans="1:18" ht="29.85" customHeight="1" x14ac:dyDescent="0.45">
      <c r="A2027" s="30">
        <v>45</v>
      </c>
      <c r="B2027" s="30"/>
      <c r="C2027" s="30"/>
      <c r="D2027" s="30"/>
      <c r="E2027" s="30"/>
      <c r="F2027" s="30"/>
      <c r="G2027" s="30"/>
      <c r="H2027" s="30"/>
      <c r="I2027" s="30"/>
      <c r="J2027" s="30"/>
      <c r="K2027" s="30"/>
      <c r="L2027" s="30"/>
      <c r="M2027" s="30"/>
      <c r="N2027" s="30" t="str" cm="1">
        <f t="array" ref="N2027">Main_Log_Status(Main_Log[[#This Row],[Carrier]],Main_Log[[#This Row],[Net Weight]])</f>
        <v/>
      </c>
      <c r="O2027" s="30"/>
      <c r="P202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27" s="30"/>
      <c r="R2027" s="30" t="str" cm="1">
        <f t="array" ref="R2027">Main_Log_Ref(Main_Log[[#This Row],[Carrier]])</f>
        <v/>
      </c>
    </row>
    <row r="2028" spans="1:18" ht="29.85" customHeight="1" x14ac:dyDescent="0.45">
      <c r="A2028" s="30">
        <v>46</v>
      </c>
      <c r="B2028" s="30"/>
      <c r="C2028" s="30"/>
      <c r="D2028" s="30"/>
      <c r="E2028" s="30"/>
      <c r="F2028" s="30"/>
      <c r="G2028" s="30"/>
      <c r="H2028" s="30"/>
      <c r="I2028" s="30"/>
      <c r="J2028" s="30"/>
      <c r="K2028" s="30"/>
      <c r="L2028" s="30"/>
      <c r="M2028" s="30"/>
      <c r="N2028" s="30" t="str" cm="1">
        <f t="array" ref="N2028">Main_Log_Status(Main_Log[[#This Row],[Carrier]],Main_Log[[#This Row],[Net Weight]])</f>
        <v/>
      </c>
      <c r="O2028" s="30"/>
      <c r="P202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28" s="30"/>
      <c r="R2028" s="30" t="str" cm="1">
        <f t="array" ref="R2028">Main_Log_Ref(Main_Log[[#This Row],[Carrier]])</f>
        <v/>
      </c>
    </row>
    <row r="2029" spans="1:18" ht="29.85" customHeight="1" x14ac:dyDescent="0.45">
      <c r="A2029" s="30">
        <v>47</v>
      </c>
      <c r="B2029" s="30"/>
      <c r="C2029" s="30"/>
      <c r="D2029" s="30"/>
      <c r="E2029" s="30"/>
      <c r="F2029" s="30"/>
      <c r="G2029" s="30"/>
      <c r="H2029" s="30"/>
      <c r="I2029" s="30"/>
      <c r="J2029" s="30"/>
      <c r="K2029" s="30"/>
      <c r="L2029" s="30"/>
      <c r="M2029" s="30"/>
      <c r="N2029" s="30" t="str" cm="1">
        <f t="array" ref="N2029">Main_Log_Status(Main_Log[[#This Row],[Carrier]],Main_Log[[#This Row],[Net Weight]])</f>
        <v/>
      </c>
      <c r="O2029" s="30"/>
      <c r="P202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29" s="30"/>
      <c r="R2029" s="30" t="str" cm="1">
        <f t="array" ref="R2029">Main_Log_Ref(Main_Log[[#This Row],[Carrier]])</f>
        <v/>
      </c>
    </row>
    <row r="2030" spans="1:18" ht="29.85" customHeight="1" x14ac:dyDescent="0.45">
      <c r="A2030" s="30">
        <v>48</v>
      </c>
      <c r="B2030" s="30"/>
      <c r="C2030" s="30"/>
      <c r="D2030" s="30"/>
      <c r="E2030" s="30"/>
      <c r="F2030" s="30"/>
      <c r="G2030" s="30"/>
      <c r="H2030" s="30"/>
      <c r="I2030" s="30"/>
      <c r="J2030" s="30"/>
      <c r="K2030" s="30"/>
      <c r="L2030" s="30"/>
      <c r="M2030" s="30"/>
      <c r="N2030" s="30" t="str" cm="1">
        <f t="array" ref="N2030">Main_Log_Status(Main_Log[[#This Row],[Carrier]],Main_Log[[#This Row],[Net Weight]])</f>
        <v/>
      </c>
      <c r="O2030" s="30"/>
      <c r="P203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30" s="30"/>
      <c r="R2030" s="30" t="str" cm="1">
        <f t="array" ref="R2030">Main_Log_Ref(Main_Log[[#This Row],[Carrier]])</f>
        <v/>
      </c>
    </row>
    <row r="2031" spans="1:18" ht="29.85" customHeight="1" x14ac:dyDescent="0.45">
      <c r="A2031" s="30">
        <v>49</v>
      </c>
      <c r="B2031" s="30"/>
      <c r="C2031" s="30"/>
      <c r="D2031" s="30"/>
      <c r="E2031" s="30"/>
      <c r="F2031" s="30"/>
      <c r="G2031" s="30"/>
      <c r="H2031" s="30"/>
      <c r="I2031" s="30"/>
      <c r="J2031" s="30"/>
      <c r="K2031" s="30"/>
      <c r="L2031" s="30"/>
      <c r="M2031" s="30"/>
      <c r="N2031" s="30" t="str" cm="1">
        <f t="array" ref="N2031">Main_Log_Status(Main_Log[[#This Row],[Carrier]],Main_Log[[#This Row],[Net Weight]])</f>
        <v/>
      </c>
      <c r="O2031" s="30"/>
      <c r="P203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31" s="30"/>
      <c r="R2031" s="30" t="str" cm="1">
        <f t="array" ref="R2031">Main_Log_Ref(Main_Log[[#This Row],[Carrier]])</f>
        <v/>
      </c>
    </row>
    <row r="2032" spans="1:18" ht="29.85" customHeight="1" x14ac:dyDescent="0.45">
      <c r="A2032" s="30">
        <v>50</v>
      </c>
      <c r="B2032" s="30"/>
      <c r="C2032" s="30"/>
      <c r="D2032" s="30"/>
      <c r="E2032" s="30"/>
      <c r="F2032" s="30"/>
      <c r="G2032" s="30"/>
      <c r="H2032" s="30"/>
      <c r="I2032" s="30"/>
      <c r="J2032" s="30"/>
      <c r="K2032" s="30"/>
      <c r="L2032" s="30"/>
      <c r="M2032" s="30"/>
      <c r="N2032" s="30" t="str" cm="1">
        <f t="array" ref="N2032">Main_Log_Status(Main_Log[[#This Row],[Carrier]],Main_Log[[#This Row],[Net Weight]])</f>
        <v/>
      </c>
      <c r="O2032" s="30"/>
      <c r="P203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32" s="30"/>
      <c r="R2032" s="30" t="str" cm="1">
        <f t="array" ref="R2032">Main_Log_Ref(Main_Log[[#This Row],[Carrier]])</f>
        <v/>
      </c>
    </row>
    <row r="2033" spans="1:18" ht="29.85" customHeight="1" x14ac:dyDescent="0.45">
      <c r="A2033" s="30">
        <v>51</v>
      </c>
      <c r="B2033" s="30"/>
      <c r="C2033" s="30"/>
      <c r="D2033" s="30"/>
      <c r="E2033" s="30"/>
      <c r="F2033" s="30"/>
      <c r="G2033" s="30"/>
      <c r="H2033" s="30"/>
      <c r="I2033" s="30"/>
      <c r="J2033" s="30"/>
      <c r="K2033" s="30"/>
      <c r="L2033" s="30"/>
      <c r="M2033" s="30"/>
      <c r="N2033" s="30" t="str" cm="1">
        <f t="array" ref="N2033">Main_Log_Status(Main_Log[[#This Row],[Carrier]],Main_Log[[#This Row],[Net Weight]])</f>
        <v/>
      </c>
      <c r="O2033" s="30"/>
      <c r="P203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33" s="30"/>
      <c r="R2033" s="30" t="str" cm="1">
        <f t="array" ref="R2033">Main_Log_Ref(Main_Log[[#This Row],[Carrier]])</f>
        <v/>
      </c>
    </row>
    <row r="2034" spans="1:18" ht="29.85" customHeight="1" x14ac:dyDescent="0.45">
      <c r="A2034" s="30">
        <v>52</v>
      </c>
      <c r="B2034" s="30"/>
      <c r="C2034" s="30"/>
      <c r="D2034" s="30"/>
      <c r="E2034" s="30"/>
      <c r="F2034" s="30"/>
      <c r="G2034" s="30"/>
      <c r="H2034" s="30"/>
      <c r="I2034" s="30"/>
      <c r="J2034" s="30"/>
      <c r="K2034" s="30"/>
      <c r="L2034" s="30"/>
      <c r="M2034" s="30"/>
      <c r="N2034" s="30" t="str" cm="1">
        <f t="array" ref="N2034">Main_Log_Status(Main_Log[[#This Row],[Carrier]],Main_Log[[#This Row],[Net Weight]])</f>
        <v/>
      </c>
      <c r="O2034" s="30"/>
      <c r="P203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34" s="30"/>
      <c r="R2034" s="30" t="str" cm="1">
        <f t="array" ref="R2034">Main_Log_Ref(Main_Log[[#This Row],[Carrier]])</f>
        <v/>
      </c>
    </row>
    <row r="2035" spans="1:18" ht="29.85" customHeight="1" x14ac:dyDescent="0.45">
      <c r="A2035" s="30">
        <v>53</v>
      </c>
      <c r="B2035" s="30"/>
      <c r="C2035" s="30"/>
      <c r="D2035" s="30"/>
      <c r="E2035" s="30"/>
      <c r="F2035" s="30"/>
      <c r="G2035" s="30"/>
      <c r="H2035" s="30"/>
      <c r="I2035" s="30"/>
      <c r="J2035" s="30"/>
      <c r="K2035" s="30"/>
      <c r="L2035" s="30"/>
      <c r="M2035" s="30"/>
      <c r="N2035" s="30" t="str" cm="1">
        <f t="array" ref="N2035">Main_Log_Status(Main_Log[[#This Row],[Carrier]],Main_Log[[#This Row],[Net Weight]])</f>
        <v/>
      </c>
      <c r="O2035" s="30"/>
      <c r="P203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35" s="30"/>
      <c r="R2035" s="30" t="str" cm="1">
        <f t="array" ref="R2035">Main_Log_Ref(Main_Log[[#This Row],[Carrier]])</f>
        <v/>
      </c>
    </row>
    <row r="2036" spans="1:18" ht="29.85" customHeight="1" x14ac:dyDescent="0.45">
      <c r="A2036" s="30">
        <v>54</v>
      </c>
      <c r="B2036" s="30"/>
      <c r="C2036" s="30"/>
      <c r="D2036" s="30"/>
      <c r="E2036" s="30"/>
      <c r="F2036" s="30"/>
      <c r="G2036" s="30"/>
      <c r="H2036" s="30"/>
      <c r="I2036" s="30"/>
      <c r="J2036" s="30"/>
      <c r="K2036" s="30"/>
      <c r="L2036" s="30"/>
      <c r="M2036" s="30"/>
      <c r="N2036" s="30" t="str" cm="1">
        <f t="array" ref="N2036">Main_Log_Status(Main_Log[[#This Row],[Carrier]],Main_Log[[#This Row],[Net Weight]])</f>
        <v/>
      </c>
      <c r="O2036" s="30"/>
      <c r="P203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36" s="30"/>
      <c r="R2036" s="30" t="str" cm="1">
        <f t="array" ref="R2036">Main_Log_Ref(Main_Log[[#This Row],[Carrier]])</f>
        <v/>
      </c>
    </row>
    <row r="2037" spans="1:18" ht="29.85" customHeight="1" x14ac:dyDescent="0.45">
      <c r="A2037" s="30">
        <v>55</v>
      </c>
      <c r="B2037" s="30"/>
      <c r="C2037" s="30"/>
      <c r="D2037" s="30"/>
      <c r="E2037" s="30"/>
      <c r="F2037" s="30"/>
      <c r="G2037" s="30"/>
      <c r="H2037" s="30"/>
      <c r="I2037" s="30"/>
      <c r="J2037" s="30"/>
      <c r="K2037" s="30"/>
      <c r="L2037" s="30"/>
      <c r="M2037" s="30"/>
      <c r="N2037" s="30" t="str" cm="1">
        <f t="array" ref="N2037">Main_Log_Status(Main_Log[[#This Row],[Carrier]],Main_Log[[#This Row],[Net Weight]])</f>
        <v/>
      </c>
      <c r="O2037" s="30"/>
      <c r="P203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37" s="30"/>
      <c r="R2037" s="30" t="str" cm="1">
        <f t="array" ref="R2037">Main_Log_Ref(Main_Log[[#This Row],[Carrier]])</f>
        <v/>
      </c>
    </row>
    <row r="2038" spans="1:18" ht="29.85" customHeight="1" x14ac:dyDescent="0.45">
      <c r="A2038" s="30">
        <v>56</v>
      </c>
      <c r="B2038" s="30"/>
      <c r="C2038" s="30"/>
      <c r="D2038" s="30"/>
      <c r="E2038" s="30"/>
      <c r="F2038" s="30"/>
      <c r="G2038" s="30"/>
      <c r="H2038" s="30"/>
      <c r="I2038" s="30"/>
      <c r="J2038" s="30"/>
      <c r="K2038" s="30"/>
      <c r="L2038" s="30"/>
      <c r="M2038" s="30"/>
      <c r="N2038" s="30" t="str" cm="1">
        <f t="array" ref="N2038">Main_Log_Status(Main_Log[[#This Row],[Carrier]],Main_Log[[#This Row],[Net Weight]])</f>
        <v/>
      </c>
      <c r="O2038" s="30"/>
      <c r="P203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38" s="30"/>
      <c r="R2038" s="30" t="str" cm="1">
        <f t="array" ref="R2038">Main_Log_Ref(Main_Log[[#This Row],[Carrier]])</f>
        <v/>
      </c>
    </row>
    <row r="2039" spans="1:18" ht="29.85" customHeight="1" x14ac:dyDescent="0.45">
      <c r="A2039" s="30">
        <v>57</v>
      </c>
      <c r="B2039" s="30"/>
      <c r="C2039" s="30"/>
      <c r="D2039" s="30"/>
      <c r="E2039" s="30"/>
      <c r="F2039" s="30"/>
      <c r="G2039" s="30"/>
      <c r="H2039" s="30"/>
      <c r="I2039" s="30"/>
      <c r="J2039" s="30"/>
      <c r="K2039" s="30"/>
      <c r="L2039" s="30"/>
      <c r="M2039" s="30"/>
      <c r="N2039" s="30" t="str" cm="1">
        <f t="array" ref="N2039">Main_Log_Status(Main_Log[[#This Row],[Carrier]],Main_Log[[#This Row],[Net Weight]])</f>
        <v/>
      </c>
      <c r="O2039" s="30"/>
      <c r="P203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39" s="30"/>
      <c r="R2039" s="30" t="str" cm="1">
        <f t="array" ref="R2039">Main_Log_Ref(Main_Log[[#This Row],[Carrier]])</f>
        <v/>
      </c>
    </row>
    <row r="2040" spans="1:18" ht="29.85" customHeight="1" x14ac:dyDescent="0.45">
      <c r="A2040" s="30">
        <v>58</v>
      </c>
      <c r="B2040" s="30"/>
      <c r="C2040" s="30"/>
      <c r="D2040" s="30"/>
      <c r="E2040" s="30"/>
      <c r="F2040" s="30"/>
      <c r="G2040" s="30"/>
      <c r="H2040" s="30"/>
      <c r="I2040" s="30"/>
      <c r="J2040" s="30"/>
      <c r="K2040" s="30"/>
      <c r="L2040" s="30"/>
      <c r="M2040" s="30"/>
      <c r="N2040" s="30" t="str" cm="1">
        <f t="array" ref="N2040">Main_Log_Status(Main_Log[[#This Row],[Carrier]],Main_Log[[#This Row],[Net Weight]])</f>
        <v/>
      </c>
      <c r="O2040" s="30"/>
      <c r="P204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40" s="30"/>
      <c r="R2040" s="30" t="str" cm="1">
        <f t="array" ref="R2040">Main_Log_Ref(Main_Log[[#This Row],[Carrier]])</f>
        <v/>
      </c>
    </row>
    <row r="2041" spans="1:18" ht="29.85" customHeight="1" x14ac:dyDescent="0.45">
      <c r="A2041" s="30">
        <v>59</v>
      </c>
      <c r="B2041" s="30"/>
      <c r="C2041" s="30"/>
      <c r="D2041" s="30"/>
      <c r="E2041" s="30"/>
      <c r="F2041" s="30"/>
      <c r="G2041" s="30"/>
      <c r="H2041" s="30"/>
      <c r="I2041" s="30"/>
      <c r="J2041" s="30"/>
      <c r="K2041" s="30"/>
      <c r="L2041" s="30"/>
      <c r="M2041" s="30"/>
      <c r="N2041" s="30" t="str" cm="1">
        <f t="array" ref="N2041">Main_Log_Status(Main_Log[[#This Row],[Carrier]],Main_Log[[#This Row],[Net Weight]])</f>
        <v/>
      </c>
      <c r="O2041" s="30"/>
      <c r="P204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41" s="30"/>
      <c r="R2041" s="30" t="str" cm="1">
        <f t="array" ref="R2041">Main_Log_Ref(Main_Log[[#This Row],[Carrier]])</f>
        <v/>
      </c>
    </row>
    <row r="2042" spans="1:18" ht="29.85" customHeight="1" x14ac:dyDescent="0.45">
      <c r="A2042" s="30">
        <v>60</v>
      </c>
      <c r="B2042" s="30"/>
      <c r="C2042" s="30"/>
      <c r="D2042" s="30"/>
      <c r="E2042" s="30"/>
      <c r="F2042" s="30"/>
      <c r="G2042" s="30"/>
      <c r="H2042" s="30"/>
      <c r="I2042" s="30"/>
      <c r="J2042" s="30"/>
      <c r="K2042" s="30"/>
      <c r="L2042" s="30"/>
      <c r="M2042" s="30"/>
      <c r="N2042" s="30" t="str" cm="1">
        <f t="array" ref="N2042">Main_Log_Status(Main_Log[[#This Row],[Carrier]],Main_Log[[#This Row],[Net Weight]])</f>
        <v/>
      </c>
      <c r="O2042" s="30"/>
      <c r="P204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42" s="30"/>
      <c r="R2042" s="30" t="str" cm="1">
        <f t="array" ref="R2042">Main_Log_Ref(Main_Log[[#This Row],[Carrier]])</f>
        <v/>
      </c>
    </row>
    <row r="2043" spans="1:18" ht="29.85" customHeight="1" x14ac:dyDescent="0.45">
      <c r="A2043" s="30">
        <v>61</v>
      </c>
      <c r="B2043" s="30"/>
      <c r="C2043" s="30"/>
      <c r="D2043" s="30"/>
      <c r="E2043" s="30"/>
      <c r="F2043" s="30"/>
      <c r="G2043" s="30"/>
      <c r="H2043" s="30"/>
      <c r="I2043" s="30"/>
      <c r="J2043" s="30"/>
      <c r="K2043" s="30"/>
      <c r="L2043" s="30"/>
      <c r="M2043" s="30"/>
      <c r="N2043" s="30" t="str" cm="1">
        <f t="array" ref="N2043">Main_Log_Status(Main_Log[[#This Row],[Carrier]],Main_Log[[#This Row],[Net Weight]])</f>
        <v/>
      </c>
      <c r="O2043" s="30"/>
      <c r="P204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43" s="30"/>
      <c r="R2043" s="30" t="str" cm="1">
        <f t="array" ref="R2043">Main_Log_Ref(Main_Log[[#This Row],[Carrier]])</f>
        <v/>
      </c>
    </row>
    <row r="2044" spans="1:18" ht="29.85" customHeight="1" x14ac:dyDescent="0.45">
      <c r="A2044" s="30">
        <v>62</v>
      </c>
      <c r="B2044" s="30"/>
      <c r="C2044" s="30"/>
      <c r="D2044" s="30"/>
      <c r="E2044" s="30"/>
      <c r="F2044" s="30"/>
      <c r="G2044" s="30"/>
      <c r="H2044" s="30"/>
      <c r="I2044" s="30"/>
      <c r="J2044" s="30"/>
      <c r="K2044" s="30"/>
      <c r="L2044" s="30"/>
      <c r="M2044" s="30"/>
      <c r="N2044" s="30" t="str" cm="1">
        <f t="array" ref="N2044">Main_Log_Status(Main_Log[[#This Row],[Carrier]],Main_Log[[#This Row],[Net Weight]])</f>
        <v/>
      </c>
      <c r="O2044" s="30"/>
      <c r="P204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44" s="30"/>
      <c r="R2044" s="30" t="str" cm="1">
        <f t="array" ref="R2044">Main_Log_Ref(Main_Log[[#This Row],[Carrier]])</f>
        <v/>
      </c>
    </row>
    <row r="2045" spans="1:18" ht="29.85" customHeight="1" x14ac:dyDescent="0.45">
      <c r="A2045" s="30">
        <v>63</v>
      </c>
      <c r="B2045" s="30"/>
      <c r="C2045" s="30"/>
      <c r="D2045" s="30"/>
      <c r="E2045" s="30"/>
      <c r="F2045" s="30"/>
      <c r="G2045" s="30"/>
      <c r="H2045" s="30"/>
      <c r="I2045" s="30"/>
      <c r="J2045" s="30"/>
      <c r="K2045" s="30"/>
      <c r="L2045" s="30"/>
      <c r="M2045" s="30"/>
      <c r="N2045" s="30" t="str" cm="1">
        <f t="array" ref="N2045">Main_Log_Status(Main_Log[[#This Row],[Carrier]],Main_Log[[#This Row],[Net Weight]])</f>
        <v/>
      </c>
      <c r="O2045" s="30"/>
      <c r="P204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45" s="30"/>
      <c r="R2045" s="30" t="str" cm="1">
        <f t="array" ref="R2045">Main_Log_Ref(Main_Log[[#This Row],[Carrier]])</f>
        <v/>
      </c>
    </row>
    <row r="2046" spans="1:18" ht="29.85" customHeight="1" x14ac:dyDescent="0.45">
      <c r="A2046" s="30">
        <v>64</v>
      </c>
      <c r="B2046" s="30"/>
      <c r="C2046" s="30"/>
      <c r="D2046" s="30"/>
      <c r="E2046" s="30"/>
      <c r="F2046" s="30"/>
      <c r="G2046" s="30"/>
      <c r="H2046" s="30"/>
      <c r="I2046" s="30"/>
      <c r="J2046" s="30"/>
      <c r="K2046" s="30"/>
      <c r="L2046" s="30"/>
      <c r="M2046" s="30"/>
      <c r="N2046" s="30" t="str" cm="1">
        <f t="array" ref="N2046">Main_Log_Status(Main_Log[[#This Row],[Carrier]],Main_Log[[#This Row],[Net Weight]])</f>
        <v/>
      </c>
      <c r="O2046" s="30"/>
      <c r="P204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46" s="30"/>
      <c r="R2046" s="30" t="str" cm="1">
        <f t="array" ref="R2046">Main_Log_Ref(Main_Log[[#This Row],[Carrier]])</f>
        <v/>
      </c>
    </row>
    <row r="2047" spans="1:18" ht="29.85" customHeight="1" x14ac:dyDescent="0.45">
      <c r="A2047" s="30">
        <v>65</v>
      </c>
      <c r="B2047" s="30"/>
      <c r="C2047" s="30"/>
      <c r="D2047" s="30"/>
      <c r="E2047" s="30"/>
      <c r="F2047" s="30"/>
      <c r="G2047" s="30"/>
      <c r="H2047" s="30"/>
      <c r="I2047" s="30"/>
      <c r="J2047" s="30"/>
      <c r="K2047" s="30"/>
      <c r="L2047" s="30"/>
      <c r="M2047" s="30"/>
      <c r="N2047" s="30" t="str" cm="1">
        <f t="array" ref="N2047">Main_Log_Status(Main_Log[[#This Row],[Carrier]],Main_Log[[#This Row],[Net Weight]])</f>
        <v/>
      </c>
      <c r="O2047" s="30"/>
      <c r="P204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47" s="30"/>
      <c r="R2047" s="30" t="str" cm="1">
        <f t="array" ref="R2047">Main_Log_Ref(Main_Log[[#This Row],[Carrier]])</f>
        <v/>
      </c>
    </row>
    <row r="2048" spans="1:18" ht="29.85" customHeight="1" x14ac:dyDescent="0.45">
      <c r="A2048" s="30">
        <v>66</v>
      </c>
      <c r="B2048" s="30"/>
      <c r="C2048" s="30"/>
      <c r="D2048" s="30"/>
      <c r="E2048" s="30"/>
      <c r="F2048" s="30"/>
      <c r="G2048" s="30"/>
      <c r="H2048" s="30"/>
      <c r="I2048" s="30"/>
      <c r="J2048" s="30"/>
      <c r="K2048" s="30"/>
      <c r="L2048" s="30"/>
      <c r="M2048" s="30"/>
      <c r="N2048" s="30" t="str" cm="1">
        <f t="array" ref="N2048">Main_Log_Status(Main_Log[[#This Row],[Carrier]],Main_Log[[#This Row],[Net Weight]])</f>
        <v/>
      </c>
      <c r="O2048" s="30"/>
      <c r="P204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48" s="30"/>
      <c r="R2048" s="30" t="str" cm="1">
        <f t="array" ref="R2048">Main_Log_Ref(Main_Log[[#This Row],[Carrier]])</f>
        <v/>
      </c>
    </row>
    <row r="2049" spans="1:18" ht="29.85" customHeight="1" x14ac:dyDescent="0.45">
      <c r="A2049" s="30">
        <v>67</v>
      </c>
      <c r="B2049" s="30"/>
      <c r="C2049" s="30"/>
      <c r="D2049" s="30"/>
      <c r="E2049" s="30"/>
      <c r="F2049" s="30"/>
      <c r="G2049" s="30"/>
      <c r="H2049" s="30"/>
      <c r="I2049" s="30"/>
      <c r="J2049" s="30"/>
      <c r="K2049" s="30"/>
      <c r="L2049" s="30"/>
      <c r="M2049" s="30"/>
      <c r="N2049" s="30" t="str" cm="1">
        <f t="array" ref="N2049">Main_Log_Status(Main_Log[[#This Row],[Carrier]],Main_Log[[#This Row],[Net Weight]])</f>
        <v/>
      </c>
      <c r="O2049" s="30"/>
      <c r="P204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49" s="30"/>
      <c r="R2049" s="30" t="str" cm="1">
        <f t="array" ref="R2049">Main_Log_Ref(Main_Log[[#This Row],[Carrier]])</f>
        <v/>
      </c>
    </row>
    <row r="2050" spans="1:18" ht="29.85" customHeight="1" x14ac:dyDescent="0.45">
      <c r="A2050" s="30">
        <v>68</v>
      </c>
      <c r="B2050" s="30"/>
      <c r="C2050" s="30"/>
      <c r="D2050" s="30"/>
      <c r="E2050" s="30"/>
      <c r="F2050" s="30"/>
      <c r="G2050" s="30"/>
      <c r="H2050" s="30"/>
      <c r="I2050" s="30"/>
      <c r="J2050" s="30"/>
      <c r="K2050" s="30"/>
      <c r="L2050" s="30"/>
      <c r="M2050" s="30"/>
      <c r="N2050" s="30" t="str" cm="1">
        <f t="array" ref="N2050">Main_Log_Status(Main_Log[[#This Row],[Carrier]],Main_Log[[#This Row],[Net Weight]])</f>
        <v/>
      </c>
      <c r="O2050" s="30"/>
      <c r="P205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50" s="30"/>
      <c r="R2050" s="30" t="str" cm="1">
        <f t="array" ref="R2050">Main_Log_Ref(Main_Log[[#This Row],[Carrier]])</f>
        <v/>
      </c>
    </row>
    <row r="2051" spans="1:18" ht="29.85" customHeight="1" x14ac:dyDescent="0.45">
      <c r="A2051" s="30">
        <v>69</v>
      </c>
      <c r="B2051" s="30"/>
      <c r="C2051" s="30"/>
      <c r="D2051" s="30"/>
      <c r="E2051" s="30"/>
      <c r="F2051" s="30"/>
      <c r="G2051" s="30"/>
      <c r="H2051" s="30"/>
      <c r="I2051" s="30"/>
      <c r="J2051" s="30"/>
      <c r="K2051" s="30"/>
      <c r="L2051" s="30"/>
      <c r="M2051" s="30"/>
      <c r="N2051" s="30" t="str" cm="1">
        <f t="array" ref="N2051">Main_Log_Status(Main_Log[[#This Row],[Carrier]],Main_Log[[#This Row],[Net Weight]])</f>
        <v/>
      </c>
      <c r="O2051" s="30"/>
      <c r="P205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51" s="30"/>
      <c r="R2051" s="30" t="str" cm="1">
        <f t="array" ref="R2051">Main_Log_Ref(Main_Log[[#This Row],[Carrier]])</f>
        <v/>
      </c>
    </row>
    <row r="2052" spans="1:18" ht="29.85" customHeight="1" x14ac:dyDescent="0.45">
      <c r="A2052" s="30">
        <v>70</v>
      </c>
      <c r="B2052" s="30"/>
      <c r="C2052" s="30"/>
      <c r="D2052" s="30"/>
      <c r="E2052" s="30"/>
      <c r="F2052" s="30"/>
      <c r="G2052" s="30"/>
      <c r="H2052" s="30"/>
      <c r="I2052" s="30"/>
      <c r="J2052" s="30"/>
      <c r="K2052" s="30"/>
      <c r="L2052" s="30"/>
      <c r="M2052" s="30"/>
      <c r="N2052" s="30" t="str" cm="1">
        <f t="array" ref="N2052">Main_Log_Status(Main_Log[[#This Row],[Carrier]],Main_Log[[#This Row],[Net Weight]])</f>
        <v/>
      </c>
      <c r="O2052" s="30"/>
      <c r="P205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52" s="30"/>
      <c r="R2052" s="30" t="str" cm="1">
        <f t="array" ref="R2052">Main_Log_Ref(Main_Log[[#This Row],[Carrier]])</f>
        <v/>
      </c>
    </row>
    <row r="2053" spans="1:18" ht="29.85" customHeight="1" x14ac:dyDescent="0.45">
      <c r="A2053" s="30">
        <v>71</v>
      </c>
      <c r="B2053" s="30"/>
      <c r="C2053" s="30"/>
      <c r="D2053" s="30"/>
      <c r="E2053" s="30"/>
      <c r="F2053" s="30"/>
      <c r="G2053" s="30"/>
      <c r="H2053" s="30"/>
      <c r="I2053" s="30"/>
      <c r="J2053" s="30"/>
      <c r="K2053" s="30"/>
      <c r="L2053" s="30"/>
      <c r="M2053" s="30"/>
      <c r="N2053" s="30" t="str" cm="1">
        <f t="array" ref="N2053">Main_Log_Status(Main_Log[[#This Row],[Carrier]],Main_Log[[#This Row],[Net Weight]])</f>
        <v/>
      </c>
      <c r="O2053" s="30"/>
      <c r="P205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53" s="30"/>
      <c r="R2053" s="30" t="str" cm="1">
        <f t="array" ref="R2053">Main_Log_Ref(Main_Log[[#This Row],[Carrier]])</f>
        <v/>
      </c>
    </row>
    <row r="2054" spans="1:18" ht="29.85" customHeight="1" x14ac:dyDescent="0.45">
      <c r="A2054" s="30">
        <v>72</v>
      </c>
      <c r="B2054" s="30"/>
      <c r="C2054" s="30"/>
      <c r="D2054" s="30"/>
      <c r="E2054" s="30"/>
      <c r="F2054" s="30"/>
      <c r="G2054" s="30"/>
      <c r="H2054" s="30"/>
      <c r="I2054" s="30"/>
      <c r="J2054" s="30"/>
      <c r="K2054" s="30"/>
      <c r="L2054" s="30"/>
      <c r="M2054" s="30"/>
      <c r="N2054" s="30" t="str" cm="1">
        <f t="array" ref="N2054">Main_Log_Status(Main_Log[[#This Row],[Carrier]],Main_Log[[#This Row],[Net Weight]])</f>
        <v/>
      </c>
      <c r="O2054" s="30"/>
      <c r="P205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54" s="30"/>
      <c r="R2054" s="30" t="str" cm="1">
        <f t="array" ref="R2054">Main_Log_Ref(Main_Log[[#This Row],[Carrier]])</f>
        <v/>
      </c>
    </row>
    <row r="2055" spans="1:18" ht="29.85" customHeight="1" x14ac:dyDescent="0.45">
      <c r="A2055" s="30">
        <v>73</v>
      </c>
      <c r="B2055" s="30"/>
      <c r="C2055" s="30"/>
      <c r="D2055" s="30"/>
      <c r="E2055" s="30"/>
      <c r="F2055" s="30"/>
      <c r="G2055" s="30"/>
      <c r="H2055" s="30"/>
      <c r="I2055" s="30"/>
      <c r="J2055" s="30"/>
      <c r="K2055" s="30"/>
      <c r="L2055" s="30"/>
      <c r="M2055" s="30"/>
      <c r="N2055" s="30" t="str" cm="1">
        <f t="array" ref="N2055">Main_Log_Status(Main_Log[[#This Row],[Carrier]],Main_Log[[#This Row],[Net Weight]])</f>
        <v/>
      </c>
      <c r="O2055" s="30"/>
      <c r="P205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55" s="30"/>
      <c r="R2055" s="30" t="str" cm="1">
        <f t="array" ref="R2055">Main_Log_Ref(Main_Log[[#This Row],[Carrier]])</f>
        <v/>
      </c>
    </row>
    <row r="2056" spans="1:18" ht="29.85" customHeight="1" x14ac:dyDescent="0.45">
      <c r="A2056" s="30">
        <v>74</v>
      </c>
      <c r="B2056" s="30"/>
      <c r="C2056" s="30"/>
      <c r="D2056" s="30"/>
      <c r="E2056" s="30"/>
      <c r="F2056" s="30"/>
      <c r="G2056" s="30"/>
      <c r="H2056" s="30"/>
      <c r="I2056" s="30"/>
      <c r="J2056" s="30"/>
      <c r="K2056" s="30"/>
      <c r="L2056" s="30"/>
      <c r="M2056" s="30"/>
      <c r="N2056" s="30" t="str" cm="1">
        <f t="array" ref="N2056">Main_Log_Status(Main_Log[[#This Row],[Carrier]],Main_Log[[#This Row],[Net Weight]])</f>
        <v/>
      </c>
      <c r="O2056" s="30"/>
      <c r="P205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56" s="30"/>
      <c r="R2056" s="30" t="str" cm="1">
        <f t="array" ref="R2056">Main_Log_Ref(Main_Log[[#This Row],[Carrier]])</f>
        <v/>
      </c>
    </row>
    <row r="2057" spans="1:18" ht="29.85" customHeight="1" x14ac:dyDescent="0.45">
      <c r="A2057" s="30">
        <v>75</v>
      </c>
      <c r="B2057" s="30"/>
      <c r="C2057" s="30"/>
      <c r="D2057" s="30"/>
      <c r="E2057" s="30"/>
      <c r="F2057" s="30"/>
      <c r="G2057" s="30"/>
      <c r="H2057" s="30"/>
      <c r="I2057" s="30"/>
      <c r="J2057" s="30"/>
      <c r="K2057" s="30"/>
      <c r="L2057" s="30"/>
      <c r="M2057" s="30"/>
      <c r="N2057" s="30" t="str" cm="1">
        <f t="array" ref="N2057">Main_Log_Status(Main_Log[[#This Row],[Carrier]],Main_Log[[#This Row],[Net Weight]])</f>
        <v/>
      </c>
      <c r="O2057" s="30"/>
      <c r="P205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57" s="30"/>
      <c r="R2057" s="30" t="str" cm="1">
        <f t="array" ref="R2057">Main_Log_Ref(Main_Log[[#This Row],[Carrier]])</f>
        <v/>
      </c>
    </row>
    <row r="2058" spans="1:18" ht="29.85" customHeight="1" x14ac:dyDescent="0.45">
      <c r="A2058" s="30">
        <v>76</v>
      </c>
      <c r="B2058" s="30"/>
      <c r="C2058" s="30"/>
      <c r="D2058" s="30"/>
      <c r="E2058" s="30"/>
      <c r="F2058" s="30"/>
      <c r="G2058" s="30"/>
      <c r="H2058" s="30"/>
      <c r="I2058" s="30"/>
      <c r="J2058" s="30"/>
      <c r="K2058" s="30"/>
      <c r="L2058" s="30"/>
      <c r="M2058" s="30"/>
      <c r="N2058" s="30" t="str" cm="1">
        <f t="array" ref="N2058">Main_Log_Status(Main_Log[[#This Row],[Carrier]],Main_Log[[#This Row],[Net Weight]])</f>
        <v/>
      </c>
      <c r="O2058" s="30"/>
      <c r="P205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58" s="30"/>
      <c r="R2058" s="30" t="str" cm="1">
        <f t="array" ref="R2058">Main_Log_Ref(Main_Log[[#This Row],[Carrier]])</f>
        <v/>
      </c>
    </row>
    <row r="2059" spans="1:18" ht="29.85" customHeight="1" x14ac:dyDescent="0.45">
      <c r="A2059" s="30">
        <v>77</v>
      </c>
      <c r="B2059" s="30"/>
      <c r="C2059" s="30"/>
      <c r="D2059" s="30"/>
      <c r="E2059" s="30"/>
      <c r="F2059" s="30"/>
      <c r="G2059" s="30"/>
      <c r="H2059" s="30"/>
      <c r="I2059" s="30"/>
      <c r="J2059" s="30"/>
      <c r="K2059" s="30"/>
      <c r="L2059" s="30"/>
      <c r="M2059" s="30"/>
      <c r="N2059" s="30" t="str" cm="1">
        <f t="array" ref="N2059">Main_Log_Status(Main_Log[[#This Row],[Carrier]],Main_Log[[#This Row],[Net Weight]])</f>
        <v/>
      </c>
      <c r="O2059" s="30"/>
      <c r="P205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59" s="30"/>
      <c r="R2059" s="30" t="str" cm="1">
        <f t="array" ref="R2059">Main_Log_Ref(Main_Log[[#This Row],[Carrier]])</f>
        <v/>
      </c>
    </row>
    <row r="2060" spans="1:18" ht="29.85" customHeight="1" x14ac:dyDescent="0.45">
      <c r="A2060" s="30">
        <v>78</v>
      </c>
      <c r="B2060" s="30"/>
      <c r="C2060" s="30"/>
      <c r="D2060" s="30"/>
      <c r="E2060" s="30"/>
      <c r="F2060" s="30"/>
      <c r="G2060" s="30"/>
      <c r="H2060" s="30"/>
      <c r="I2060" s="30"/>
      <c r="J2060" s="30"/>
      <c r="K2060" s="30"/>
      <c r="L2060" s="30"/>
      <c r="M2060" s="30"/>
      <c r="N2060" s="30" t="str" cm="1">
        <f t="array" ref="N2060">Main_Log_Status(Main_Log[[#This Row],[Carrier]],Main_Log[[#This Row],[Net Weight]])</f>
        <v/>
      </c>
      <c r="O2060" s="30"/>
      <c r="P206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60" s="30"/>
      <c r="R2060" s="30" t="str" cm="1">
        <f t="array" ref="R2060">Main_Log_Ref(Main_Log[[#This Row],[Carrier]])</f>
        <v/>
      </c>
    </row>
    <row r="2061" spans="1:18" ht="29.85" customHeight="1" x14ac:dyDescent="0.45">
      <c r="A2061" s="30">
        <v>79</v>
      </c>
      <c r="B2061" s="30"/>
      <c r="C2061" s="30"/>
      <c r="D2061" s="30"/>
      <c r="E2061" s="30"/>
      <c r="F2061" s="30"/>
      <c r="G2061" s="30"/>
      <c r="H2061" s="30"/>
      <c r="I2061" s="30"/>
      <c r="J2061" s="30"/>
      <c r="K2061" s="30"/>
      <c r="L2061" s="30"/>
      <c r="M2061" s="30"/>
      <c r="N2061" s="30" t="str" cm="1">
        <f t="array" ref="N2061">Main_Log_Status(Main_Log[[#This Row],[Carrier]],Main_Log[[#This Row],[Net Weight]])</f>
        <v/>
      </c>
      <c r="O2061" s="30"/>
      <c r="P206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61" s="30"/>
      <c r="R2061" s="30" t="str" cm="1">
        <f t="array" ref="R2061">Main_Log_Ref(Main_Log[[#This Row],[Carrier]])</f>
        <v/>
      </c>
    </row>
    <row r="2062" spans="1:18" ht="29.85" customHeight="1" x14ac:dyDescent="0.45">
      <c r="A2062" s="30">
        <v>80</v>
      </c>
      <c r="B2062" s="30"/>
      <c r="C2062" s="30"/>
      <c r="D2062" s="30"/>
      <c r="E2062" s="30"/>
      <c r="F2062" s="30"/>
      <c r="G2062" s="30"/>
      <c r="H2062" s="30"/>
      <c r="I2062" s="30"/>
      <c r="J2062" s="30"/>
      <c r="K2062" s="30"/>
      <c r="L2062" s="30"/>
      <c r="M2062" s="30"/>
      <c r="N2062" s="30" t="str" cm="1">
        <f t="array" ref="N2062">Main_Log_Status(Main_Log[[#This Row],[Carrier]],Main_Log[[#This Row],[Net Weight]])</f>
        <v/>
      </c>
      <c r="O2062" s="30"/>
      <c r="P206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62" s="30"/>
      <c r="R2062" s="30" t="str" cm="1">
        <f t="array" ref="R2062">Main_Log_Ref(Main_Log[[#This Row],[Carrier]])</f>
        <v/>
      </c>
    </row>
    <row r="2063" spans="1:18" ht="29.85" customHeight="1" x14ac:dyDescent="0.45">
      <c r="A2063" s="30">
        <v>81</v>
      </c>
      <c r="B2063" s="30"/>
      <c r="C2063" s="30"/>
      <c r="D2063" s="30"/>
      <c r="E2063" s="30"/>
      <c r="F2063" s="30"/>
      <c r="G2063" s="30"/>
      <c r="H2063" s="30"/>
      <c r="I2063" s="30"/>
      <c r="J2063" s="30"/>
      <c r="K2063" s="30"/>
      <c r="L2063" s="30"/>
      <c r="M2063" s="30"/>
      <c r="N2063" s="30" t="str" cm="1">
        <f t="array" ref="N2063">Main_Log_Status(Main_Log[[#This Row],[Carrier]],Main_Log[[#This Row],[Net Weight]])</f>
        <v/>
      </c>
      <c r="O2063" s="30"/>
      <c r="P206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63" s="30"/>
      <c r="R2063" s="30" t="str" cm="1">
        <f t="array" ref="R2063">Main_Log_Ref(Main_Log[[#This Row],[Carrier]])</f>
        <v/>
      </c>
    </row>
    <row r="2064" spans="1:18" ht="29.85" customHeight="1" x14ac:dyDescent="0.45">
      <c r="A2064" s="30">
        <v>82</v>
      </c>
      <c r="B2064" s="30"/>
      <c r="C2064" s="30"/>
      <c r="D2064" s="30"/>
      <c r="E2064" s="30"/>
      <c r="F2064" s="30"/>
      <c r="G2064" s="30"/>
      <c r="H2064" s="30"/>
      <c r="I2064" s="30"/>
      <c r="J2064" s="30"/>
      <c r="K2064" s="30"/>
      <c r="L2064" s="30"/>
      <c r="M2064" s="30"/>
      <c r="N2064" s="30" t="str" cm="1">
        <f t="array" ref="N2064">Main_Log_Status(Main_Log[[#This Row],[Carrier]],Main_Log[[#This Row],[Net Weight]])</f>
        <v/>
      </c>
      <c r="O2064" s="30"/>
      <c r="P206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64" s="30"/>
      <c r="R2064" s="30" t="str" cm="1">
        <f t="array" ref="R2064">Main_Log_Ref(Main_Log[[#This Row],[Carrier]])</f>
        <v/>
      </c>
    </row>
    <row r="2065" spans="1:18" ht="29.85" customHeight="1" x14ac:dyDescent="0.45">
      <c r="A2065" s="30">
        <v>83</v>
      </c>
      <c r="B2065" s="30"/>
      <c r="C2065" s="30"/>
      <c r="D2065" s="30"/>
      <c r="E2065" s="30"/>
      <c r="F2065" s="30"/>
      <c r="G2065" s="30"/>
      <c r="H2065" s="30"/>
      <c r="I2065" s="30"/>
      <c r="J2065" s="30"/>
      <c r="K2065" s="30"/>
      <c r="L2065" s="30"/>
      <c r="M2065" s="30"/>
      <c r="N2065" s="30" t="str" cm="1">
        <f t="array" ref="N2065">Main_Log_Status(Main_Log[[#This Row],[Carrier]],Main_Log[[#This Row],[Net Weight]])</f>
        <v/>
      </c>
      <c r="O2065" s="30"/>
      <c r="P206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65" s="30"/>
      <c r="R2065" s="30" t="str" cm="1">
        <f t="array" ref="R2065">Main_Log_Ref(Main_Log[[#This Row],[Carrier]])</f>
        <v/>
      </c>
    </row>
    <row r="2066" spans="1:18" ht="29.85" customHeight="1" x14ac:dyDescent="0.45">
      <c r="A2066" s="30">
        <v>84</v>
      </c>
      <c r="B2066" s="30"/>
      <c r="C2066" s="30"/>
      <c r="D2066" s="30"/>
      <c r="E2066" s="30"/>
      <c r="F2066" s="30"/>
      <c r="G2066" s="30"/>
      <c r="H2066" s="30"/>
      <c r="I2066" s="30"/>
      <c r="J2066" s="30"/>
      <c r="K2066" s="30"/>
      <c r="L2066" s="30"/>
      <c r="M2066" s="30"/>
      <c r="N2066" s="30" t="str" cm="1">
        <f t="array" ref="N2066">Main_Log_Status(Main_Log[[#This Row],[Carrier]],Main_Log[[#This Row],[Net Weight]])</f>
        <v/>
      </c>
      <c r="O2066" s="30"/>
      <c r="P206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66" s="30"/>
      <c r="R2066" s="30" t="str" cm="1">
        <f t="array" ref="R2066">Main_Log_Ref(Main_Log[[#This Row],[Carrier]])</f>
        <v/>
      </c>
    </row>
    <row r="2067" spans="1:18" ht="29.85" customHeight="1" x14ac:dyDescent="0.45">
      <c r="A2067" s="30">
        <v>85</v>
      </c>
      <c r="B2067" s="30"/>
      <c r="C2067" s="30"/>
      <c r="D2067" s="30"/>
      <c r="E2067" s="30"/>
      <c r="F2067" s="30"/>
      <c r="G2067" s="30"/>
      <c r="H2067" s="30"/>
      <c r="I2067" s="30"/>
      <c r="J2067" s="30"/>
      <c r="K2067" s="30"/>
      <c r="L2067" s="30"/>
      <c r="M2067" s="30"/>
      <c r="N2067" s="30" t="str" cm="1">
        <f t="array" ref="N2067">Main_Log_Status(Main_Log[[#This Row],[Carrier]],Main_Log[[#This Row],[Net Weight]])</f>
        <v/>
      </c>
      <c r="O2067" s="30"/>
      <c r="P206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67" s="30"/>
      <c r="R2067" s="30" t="str" cm="1">
        <f t="array" ref="R2067">Main_Log_Ref(Main_Log[[#This Row],[Carrier]])</f>
        <v/>
      </c>
    </row>
    <row r="2068" spans="1:18" ht="29.85" customHeight="1" x14ac:dyDescent="0.45">
      <c r="A2068" s="30">
        <v>86</v>
      </c>
      <c r="B2068" s="30"/>
      <c r="C2068" s="30"/>
      <c r="D2068" s="30"/>
      <c r="E2068" s="30"/>
      <c r="F2068" s="30"/>
      <c r="G2068" s="30"/>
      <c r="H2068" s="30"/>
      <c r="I2068" s="30"/>
      <c r="J2068" s="30"/>
      <c r="K2068" s="30"/>
      <c r="L2068" s="30"/>
      <c r="M2068" s="30"/>
      <c r="N2068" s="30" t="str" cm="1">
        <f t="array" ref="N2068">Main_Log_Status(Main_Log[[#This Row],[Carrier]],Main_Log[[#This Row],[Net Weight]])</f>
        <v/>
      </c>
      <c r="O2068" s="30"/>
      <c r="P206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68" s="30"/>
      <c r="R2068" s="30" t="str" cm="1">
        <f t="array" ref="R2068">Main_Log_Ref(Main_Log[[#This Row],[Carrier]])</f>
        <v/>
      </c>
    </row>
    <row r="2069" spans="1:18" ht="29.85" customHeight="1" x14ac:dyDescent="0.45">
      <c r="A2069" s="30">
        <v>87</v>
      </c>
      <c r="B2069" s="30"/>
      <c r="C2069" s="30"/>
      <c r="D2069" s="30"/>
      <c r="E2069" s="30"/>
      <c r="F2069" s="30"/>
      <c r="G2069" s="30"/>
      <c r="H2069" s="30"/>
      <c r="I2069" s="30"/>
      <c r="J2069" s="30"/>
      <c r="K2069" s="30"/>
      <c r="L2069" s="30"/>
      <c r="M2069" s="30"/>
      <c r="N2069" s="30" t="str" cm="1">
        <f t="array" ref="N2069">Main_Log_Status(Main_Log[[#This Row],[Carrier]],Main_Log[[#This Row],[Net Weight]])</f>
        <v/>
      </c>
      <c r="O2069" s="30"/>
      <c r="P206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69" s="30"/>
      <c r="R2069" s="30" t="str" cm="1">
        <f t="array" ref="R2069">Main_Log_Ref(Main_Log[[#This Row],[Carrier]])</f>
        <v/>
      </c>
    </row>
    <row r="2070" spans="1:18" ht="29.85" customHeight="1" x14ac:dyDescent="0.45">
      <c r="A2070" s="30">
        <v>88</v>
      </c>
      <c r="B2070" s="30"/>
      <c r="C2070" s="30"/>
      <c r="D2070" s="30"/>
      <c r="E2070" s="30"/>
      <c r="F2070" s="30"/>
      <c r="G2070" s="30"/>
      <c r="H2070" s="30"/>
      <c r="I2070" s="30"/>
      <c r="J2070" s="30"/>
      <c r="K2070" s="30"/>
      <c r="L2070" s="30"/>
      <c r="M2070" s="30"/>
      <c r="N2070" s="30" t="str" cm="1">
        <f t="array" ref="N2070">Main_Log_Status(Main_Log[[#This Row],[Carrier]],Main_Log[[#This Row],[Net Weight]])</f>
        <v/>
      </c>
      <c r="O2070" s="30"/>
      <c r="P207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70" s="30"/>
      <c r="R2070" s="30" t="str" cm="1">
        <f t="array" ref="R2070">Main_Log_Ref(Main_Log[[#This Row],[Carrier]])</f>
        <v/>
      </c>
    </row>
    <row r="2071" spans="1:18" ht="29.85" customHeight="1" x14ac:dyDescent="0.45">
      <c r="A2071" s="30">
        <v>89</v>
      </c>
      <c r="B2071" s="30"/>
      <c r="C2071" s="30"/>
      <c r="D2071" s="30"/>
      <c r="E2071" s="30"/>
      <c r="F2071" s="30"/>
      <c r="G2071" s="30"/>
      <c r="H2071" s="30"/>
      <c r="I2071" s="30"/>
      <c r="J2071" s="30"/>
      <c r="K2071" s="30"/>
      <c r="L2071" s="30"/>
      <c r="M2071" s="30"/>
      <c r="N2071" s="30" t="str" cm="1">
        <f t="array" ref="N2071">Main_Log_Status(Main_Log[[#This Row],[Carrier]],Main_Log[[#This Row],[Net Weight]])</f>
        <v/>
      </c>
      <c r="O2071" s="30"/>
      <c r="P207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71" s="30"/>
      <c r="R2071" s="30" t="str" cm="1">
        <f t="array" ref="R2071">Main_Log_Ref(Main_Log[[#This Row],[Carrier]])</f>
        <v/>
      </c>
    </row>
    <row r="2072" spans="1:18" ht="29.85" customHeight="1" x14ac:dyDescent="0.45">
      <c r="A2072" s="30">
        <v>90</v>
      </c>
      <c r="B2072" s="30"/>
      <c r="C2072" s="30"/>
      <c r="D2072" s="30"/>
      <c r="E2072" s="30"/>
      <c r="F2072" s="30"/>
      <c r="G2072" s="30"/>
      <c r="H2072" s="30"/>
      <c r="I2072" s="30"/>
      <c r="J2072" s="30"/>
      <c r="K2072" s="30"/>
      <c r="L2072" s="30"/>
      <c r="M2072" s="30"/>
      <c r="N2072" s="30" t="str" cm="1">
        <f t="array" ref="N2072">Main_Log_Status(Main_Log[[#This Row],[Carrier]],Main_Log[[#This Row],[Net Weight]])</f>
        <v/>
      </c>
      <c r="O2072" s="30"/>
      <c r="P207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72" s="30"/>
      <c r="R2072" s="30" t="str" cm="1">
        <f t="array" ref="R2072">Main_Log_Ref(Main_Log[[#This Row],[Carrier]])</f>
        <v/>
      </c>
    </row>
    <row r="2073" spans="1:18" ht="29.85" customHeight="1" x14ac:dyDescent="0.45">
      <c r="A2073" s="30">
        <v>91</v>
      </c>
      <c r="B2073" s="30"/>
      <c r="C2073" s="30"/>
      <c r="D2073" s="30"/>
      <c r="E2073" s="30"/>
      <c r="F2073" s="30"/>
      <c r="G2073" s="30"/>
      <c r="H2073" s="30"/>
      <c r="I2073" s="30"/>
      <c r="J2073" s="30"/>
      <c r="K2073" s="30"/>
      <c r="L2073" s="30"/>
      <c r="M2073" s="30"/>
      <c r="N2073" s="30" t="str" cm="1">
        <f t="array" ref="N2073">Main_Log_Status(Main_Log[[#This Row],[Carrier]],Main_Log[[#This Row],[Net Weight]])</f>
        <v/>
      </c>
      <c r="O2073" s="30"/>
      <c r="P207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73" s="30"/>
      <c r="R2073" s="30" t="str" cm="1">
        <f t="array" ref="R2073">Main_Log_Ref(Main_Log[[#This Row],[Carrier]])</f>
        <v/>
      </c>
    </row>
    <row r="2074" spans="1:18" ht="29.85" customHeight="1" x14ac:dyDescent="0.45">
      <c r="A2074" s="30">
        <v>92</v>
      </c>
      <c r="B2074" s="30"/>
      <c r="C2074" s="30"/>
      <c r="D2074" s="30"/>
      <c r="E2074" s="30"/>
      <c r="F2074" s="30"/>
      <c r="G2074" s="30"/>
      <c r="H2074" s="30"/>
      <c r="I2074" s="30"/>
      <c r="J2074" s="30"/>
      <c r="K2074" s="30"/>
      <c r="L2074" s="30"/>
      <c r="M2074" s="30"/>
      <c r="N2074" s="30" t="str" cm="1">
        <f t="array" ref="N2074">Main_Log_Status(Main_Log[[#This Row],[Carrier]],Main_Log[[#This Row],[Net Weight]])</f>
        <v/>
      </c>
      <c r="O2074" s="30"/>
      <c r="P207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74" s="30"/>
      <c r="R2074" s="30" t="str" cm="1">
        <f t="array" ref="R2074">Main_Log_Ref(Main_Log[[#This Row],[Carrier]])</f>
        <v/>
      </c>
    </row>
    <row r="2075" spans="1:18" ht="29.85" customHeight="1" x14ac:dyDescent="0.45">
      <c r="A2075" s="30">
        <v>93</v>
      </c>
      <c r="B2075" s="30"/>
      <c r="C2075" s="30"/>
      <c r="D2075" s="30"/>
      <c r="E2075" s="30"/>
      <c r="F2075" s="30"/>
      <c r="G2075" s="30"/>
      <c r="H2075" s="30"/>
      <c r="I2075" s="30"/>
      <c r="J2075" s="30"/>
      <c r="K2075" s="30"/>
      <c r="L2075" s="30"/>
      <c r="M2075" s="30"/>
      <c r="N2075" s="30" t="str" cm="1">
        <f t="array" ref="N2075">Main_Log_Status(Main_Log[[#This Row],[Carrier]],Main_Log[[#This Row],[Net Weight]])</f>
        <v/>
      </c>
      <c r="O2075" s="30"/>
      <c r="P207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75" s="30"/>
      <c r="R2075" s="30" t="str" cm="1">
        <f t="array" ref="R2075">Main_Log_Ref(Main_Log[[#This Row],[Carrier]])</f>
        <v/>
      </c>
    </row>
    <row r="2076" spans="1:18" ht="29.85" customHeight="1" x14ac:dyDescent="0.45">
      <c r="A2076" s="30">
        <v>94</v>
      </c>
      <c r="B2076" s="30"/>
      <c r="C2076" s="30"/>
      <c r="D2076" s="30"/>
      <c r="E2076" s="30"/>
      <c r="F2076" s="30"/>
      <c r="G2076" s="30"/>
      <c r="H2076" s="30"/>
      <c r="I2076" s="30"/>
      <c r="J2076" s="30"/>
      <c r="K2076" s="30"/>
      <c r="L2076" s="30"/>
      <c r="M2076" s="30"/>
      <c r="N2076" s="30" t="str" cm="1">
        <f t="array" ref="N2076">Main_Log_Status(Main_Log[[#This Row],[Carrier]],Main_Log[[#This Row],[Net Weight]])</f>
        <v/>
      </c>
      <c r="O2076" s="30"/>
      <c r="P207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76" s="30"/>
      <c r="R2076" s="30" t="str" cm="1">
        <f t="array" ref="R2076">Main_Log_Ref(Main_Log[[#This Row],[Carrier]])</f>
        <v/>
      </c>
    </row>
    <row r="2077" spans="1:18" ht="29.85" customHeight="1" x14ac:dyDescent="0.45">
      <c r="A2077" s="30">
        <v>95</v>
      </c>
      <c r="B2077" s="30"/>
      <c r="C2077" s="30"/>
      <c r="D2077" s="30"/>
      <c r="E2077" s="30"/>
      <c r="F2077" s="30"/>
      <c r="G2077" s="30"/>
      <c r="H2077" s="30"/>
      <c r="I2077" s="30"/>
      <c r="J2077" s="30"/>
      <c r="K2077" s="30"/>
      <c r="L2077" s="30"/>
      <c r="M2077" s="30"/>
      <c r="N2077" s="30" t="str" cm="1">
        <f t="array" ref="N2077">Main_Log_Status(Main_Log[[#This Row],[Carrier]],Main_Log[[#This Row],[Net Weight]])</f>
        <v/>
      </c>
      <c r="O2077" s="30"/>
      <c r="P207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77" s="30"/>
      <c r="R2077" s="30" t="str" cm="1">
        <f t="array" ref="R2077">Main_Log_Ref(Main_Log[[#This Row],[Carrier]])</f>
        <v/>
      </c>
    </row>
    <row r="2078" spans="1:18" ht="29.85" customHeight="1" x14ac:dyDescent="0.45">
      <c r="A2078" s="30">
        <v>96</v>
      </c>
      <c r="B2078" s="30"/>
      <c r="C2078" s="30"/>
      <c r="D2078" s="30"/>
      <c r="E2078" s="30"/>
      <c r="F2078" s="30"/>
      <c r="G2078" s="30"/>
      <c r="H2078" s="30"/>
      <c r="I2078" s="30"/>
      <c r="J2078" s="30"/>
      <c r="K2078" s="30"/>
      <c r="L2078" s="30"/>
      <c r="M2078" s="30"/>
      <c r="N2078" s="30" t="str" cm="1">
        <f t="array" ref="N2078">Main_Log_Status(Main_Log[[#This Row],[Carrier]],Main_Log[[#This Row],[Net Weight]])</f>
        <v/>
      </c>
      <c r="O2078" s="30"/>
      <c r="P207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78" s="30"/>
      <c r="R2078" s="30" t="str" cm="1">
        <f t="array" ref="R2078">Main_Log_Ref(Main_Log[[#This Row],[Carrier]])</f>
        <v/>
      </c>
    </row>
    <row r="2079" spans="1:18" ht="29.85" customHeight="1" x14ac:dyDescent="0.45">
      <c r="A2079" s="30">
        <v>97</v>
      </c>
      <c r="B2079" s="30"/>
      <c r="C2079" s="30"/>
      <c r="D2079" s="30"/>
      <c r="E2079" s="30"/>
      <c r="F2079" s="30"/>
      <c r="G2079" s="30"/>
      <c r="H2079" s="30"/>
      <c r="I2079" s="30"/>
      <c r="J2079" s="30"/>
      <c r="K2079" s="30"/>
      <c r="L2079" s="30"/>
      <c r="M2079" s="30"/>
      <c r="N2079" s="30" t="str" cm="1">
        <f t="array" ref="N2079">Main_Log_Status(Main_Log[[#This Row],[Carrier]],Main_Log[[#This Row],[Net Weight]])</f>
        <v/>
      </c>
      <c r="O2079" s="30"/>
      <c r="P207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79" s="30"/>
      <c r="R2079" s="30" t="str" cm="1">
        <f t="array" ref="R2079">Main_Log_Ref(Main_Log[[#This Row],[Carrier]])</f>
        <v/>
      </c>
    </row>
    <row r="2080" spans="1:18" ht="29.85" customHeight="1" x14ac:dyDescent="0.45">
      <c r="A2080" s="30">
        <v>98</v>
      </c>
      <c r="B2080" s="30"/>
      <c r="C2080" s="30"/>
      <c r="D2080" s="30"/>
      <c r="E2080" s="30"/>
      <c r="F2080" s="30"/>
      <c r="G2080" s="30"/>
      <c r="H2080" s="30"/>
      <c r="I2080" s="30"/>
      <c r="J2080" s="30"/>
      <c r="K2080" s="30"/>
      <c r="L2080" s="30"/>
      <c r="M2080" s="30"/>
      <c r="N2080" s="30" t="str" cm="1">
        <f t="array" ref="N2080">Main_Log_Status(Main_Log[[#This Row],[Carrier]],Main_Log[[#This Row],[Net Weight]])</f>
        <v/>
      </c>
      <c r="O2080" s="30"/>
      <c r="P208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80" s="30"/>
      <c r="R2080" s="30" t="str" cm="1">
        <f t="array" ref="R2080">Main_Log_Ref(Main_Log[[#This Row],[Carrier]])</f>
        <v/>
      </c>
    </row>
    <row r="2081" spans="1:18" ht="29.85" customHeight="1" x14ac:dyDescent="0.45">
      <c r="A2081" s="30">
        <v>99</v>
      </c>
      <c r="B2081" s="30"/>
      <c r="C2081" s="30"/>
      <c r="D2081" s="30"/>
      <c r="E2081" s="30"/>
      <c r="F2081" s="30"/>
      <c r="G2081" s="30"/>
      <c r="H2081" s="30"/>
      <c r="I2081" s="30"/>
      <c r="J2081" s="30"/>
      <c r="K2081" s="30"/>
      <c r="L2081" s="30"/>
      <c r="M2081" s="30"/>
      <c r="N2081" s="30" t="str" cm="1">
        <f t="array" ref="N2081">Main_Log_Status(Main_Log[[#This Row],[Carrier]],Main_Log[[#This Row],[Net Weight]])</f>
        <v/>
      </c>
      <c r="O2081" s="30"/>
      <c r="P208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81" s="30"/>
      <c r="R2081" s="30" t="str" cm="1">
        <f t="array" ref="R2081">Main_Log_Ref(Main_Log[[#This Row],[Carrier]])</f>
        <v/>
      </c>
    </row>
    <row r="2082" spans="1:18" ht="29.85" customHeight="1" x14ac:dyDescent="0.45">
      <c r="A2082" s="30">
        <v>1</v>
      </c>
      <c r="B2082" s="30"/>
      <c r="C2082" s="30"/>
      <c r="D2082" s="30"/>
      <c r="E2082" s="30"/>
      <c r="F2082" s="30"/>
      <c r="G2082" s="30"/>
      <c r="H2082" s="30"/>
      <c r="I2082" s="30"/>
      <c r="J2082" s="30"/>
      <c r="K2082" s="30"/>
      <c r="L2082" s="30"/>
      <c r="M2082" s="30"/>
      <c r="N2082" s="30" t="str" cm="1">
        <f t="array" ref="N2082">Main_Log_Status(Main_Log[[#This Row],[Carrier]],Main_Log[[#This Row],[Net Weight]])</f>
        <v/>
      </c>
      <c r="O2082" s="30"/>
      <c r="P208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82" s="30"/>
      <c r="R2082" s="30" t="str" cm="1">
        <f t="array" ref="R2082">Main_Log_Ref(Main_Log[[#This Row],[Carrier]])</f>
        <v/>
      </c>
    </row>
    <row r="2083" spans="1:18" ht="29.85" customHeight="1" x14ac:dyDescent="0.45">
      <c r="A2083" s="30">
        <v>2</v>
      </c>
      <c r="B2083" s="30"/>
      <c r="C2083" s="30"/>
      <c r="D2083" s="30"/>
      <c r="E2083" s="30"/>
      <c r="F2083" s="30"/>
      <c r="G2083" s="30"/>
      <c r="H2083" s="30"/>
      <c r="I2083" s="30"/>
      <c r="J2083" s="30"/>
      <c r="K2083" s="30"/>
      <c r="L2083" s="30"/>
      <c r="M2083" s="30"/>
      <c r="N2083" s="30" t="str" cm="1">
        <f t="array" ref="N2083">Main_Log_Status(Main_Log[[#This Row],[Carrier]],Main_Log[[#This Row],[Net Weight]])</f>
        <v/>
      </c>
      <c r="O2083" s="30"/>
      <c r="P208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83" s="30"/>
      <c r="R2083" s="30" t="str" cm="1">
        <f t="array" ref="R2083">Main_Log_Ref(Main_Log[[#This Row],[Carrier]])</f>
        <v/>
      </c>
    </row>
    <row r="2084" spans="1:18" ht="29.85" customHeight="1" x14ac:dyDescent="0.45">
      <c r="A2084" s="30">
        <v>3</v>
      </c>
      <c r="B2084" s="30"/>
      <c r="C2084" s="30"/>
      <c r="D2084" s="30"/>
      <c r="E2084" s="30"/>
      <c r="F2084" s="30"/>
      <c r="G2084" s="30"/>
      <c r="H2084" s="30"/>
      <c r="I2084" s="30"/>
      <c r="J2084" s="30"/>
      <c r="K2084" s="30"/>
      <c r="L2084" s="30"/>
      <c r="M2084" s="30"/>
      <c r="N2084" s="30" t="str" cm="1">
        <f t="array" ref="N2084">Main_Log_Status(Main_Log[[#This Row],[Carrier]],Main_Log[[#This Row],[Net Weight]])</f>
        <v/>
      </c>
      <c r="O2084" s="30"/>
      <c r="P208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84" s="30"/>
      <c r="R2084" s="30" t="str" cm="1">
        <f t="array" ref="R2084">Main_Log_Ref(Main_Log[[#This Row],[Carrier]])</f>
        <v/>
      </c>
    </row>
    <row r="2085" spans="1:18" ht="29.85" customHeight="1" x14ac:dyDescent="0.45">
      <c r="A2085" s="30">
        <v>4</v>
      </c>
      <c r="B2085" s="30"/>
      <c r="C2085" s="30"/>
      <c r="D2085" s="30"/>
      <c r="E2085" s="30"/>
      <c r="F2085" s="30"/>
      <c r="G2085" s="30"/>
      <c r="H2085" s="30"/>
      <c r="I2085" s="30"/>
      <c r="J2085" s="30"/>
      <c r="K2085" s="30"/>
      <c r="L2085" s="30"/>
      <c r="M2085" s="30"/>
      <c r="N2085" s="30" t="str" cm="1">
        <f t="array" ref="N2085">Main_Log_Status(Main_Log[[#This Row],[Carrier]],Main_Log[[#This Row],[Net Weight]])</f>
        <v/>
      </c>
      <c r="O2085" s="30"/>
      <c r="P208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85" s="30"/>
      <c r="R2085" s="30" t="str" cm="1">
        <f t="array" ref="R2085">Main_Log_Ref(Main_Log[[#This Row],[Carrier]])</f>
        <v/>
      </c>
    </row>
    <row r="2086" spans="1:18" ht="29.85" customHeight="1" x14ac:dyDescent="0.45">
      <c r="A2086" s="30">
        <v>5</v>
      </c>
      <c r="B2086" s="30"/>
      <c r="C2086" s="30"/>
      <c r="D2086" s="30"/>
      <c r="E2086" s="30"/>
      <c r="F2086" s="30"/>
      <c r="G2086" s="30"/>
      <c r="H2086" s="30"/>
      <c r="I2086" s="30"/>
      <c r="J2086" s="30"/>
      <c r="K2086" s="30"/>
      <c r="L2086" s="30"/>
      <c r="M2086" s="30"/>
      <c r="N2086" s="30" t="str" cm="1">
        <f t="array" ref="N2086">Main_Log_Status(Main_Log[[#This Row],[Carrier]],Main_Log[[#This Row],[Net Weight]])</f>
        <v/>
      </c>
      <c r="O2086" s="30"/>
      <c r="P208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86" s="30"/>
      <c r="R2086" s="30" t="str" cm="1">
        <f t="array" ref="R2086">Main_Log_Ref(Main_Log[[#This Row],[Carrier]])</f>
        <v/>
      </c>
    </row>
    <row r="2087" spans="1:18" ht="29.85" customHeight="1" x14ac:dyDescent="0.45">
      <c r="A2087" s="30">
        <v>6</v>
      </c>
      <c r="B2087" s="30"/>
      <c r="C2087" s="30"/>
      <c r="D2087" s="30"/>
      <c r="E2087" s="30"/>
      <c r="F2087" s="30"/>
      <c r="G2087" s="30"/>
      <c r="H2087" s="30"/>
      <c r="I2087" s="30"/>
      <c r="J2087" s="30"/>
      <c r="K2087" s="30"/>
      <c r="L2087" s="30"/>
      <c r="M2087" s="30"/>
      <c r="N2087" s="30" t="str" cm="1">
        <f t="array" ref="N2087">Main_Log_Status(Main_Log[[#This Row],[Carrier]],Main_Log[[#This Row],[Net Weight]])</f>
        <v/>
      </c>
      <c r="O2087" s="30"/>
      <c r="P208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87" s="30"/>
      <c r="R2087" s="30" t="str" cm="1">
        <f t="array" ref="R2087">Main_Log_Ref(Main_Log[[#This Row],[Carrier]])</f>
        <v/>
      </c>
    </row>
    <row r="2088" spans="1:18" ht="29.85" customHeight="1" x14ac:dyDescent="0.45">
      <c r="A2088" s="30">
        <v>7</v>
      </c>
      <c r="B2088" s="30"/>
      <c r="C2088" s="30"/>
      <c r="D2088" s="30"/>
      <c r="E2088" s="30"/>
      <c r="F2088" s="30"/>
      <c r="G2088" s="30"/>
      <c r="H2088" s="30"/>
      <c r="I2088" s="30"/>
      <c r="J2088" s="30"/>
      <c r="K2088" s="30"/>
      <c r="L2088" s="30"/>
      <c r="M2088" s="30"/>
      <c r="N2088" s="30" t="str" cm="1">
        <f t="array" ref="N2088">Main_Log_Status(Main_Log[[#This Row],[Carrier]],Main_Log[[#This Row],[Net Weight]])</f>
        <v/>
      </c>
      <c r="O2088" s="30"/>
      <c r="P208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88" s="30"/>
      <c r="R2088" s="30" t="str" cm="1">
        <f t="array" ref="R2088">Main_Log_Ref(Main_Log[[#This Row],[Carrier]])</f>
        <v/>
      </c>
    </row>
    <row r="2089" spans="1:18" ht="29.85" customHeight="1" x14ac:dyDescent="0.45">
      <c r="A2089" s="30">
        <v>8</v>
      </c>
      <c r="B2089" s="30"/>
      <c r="C2089" s="30"/>
      <c r="D2089" s="30"/>
      <c r="E2089" s="30"/>
      <c r="F2089" s="30"/>
      <c r="G2089" s="30"/>
      <c r="H2089" s="30"/>
      <c r="I2089" s="30"/>
      <c r="J2089" s="30"/>
      <c r="K2089" s="30"/>
      <c r="L2089" s="30"/>
      <c r="M2089" s="30"/>
      <c r="N2089" s="30" t="str" cm="1">
        <f t="array" ref="N2089">Main_Log_Status(Main_Log[[#This Row],[Carrier]],Main_Log[[#This Row],[Net Weight]])</f>
        <v/>
      </c>
      <c r="O2089" s="30"/>
      <c r="P208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89" s="30"/>
      <c r="R2089" s="30" t="str" cm="1">
        <f t="array" ref="R2089">Main_Log_Ref(Main_Log[[#This Row],[Carrier]])</f>
        <v/>
      </c>
    </row>
    <row r="2090" spans="1:18" ht="29.85" customHeight="1" x14ac:dyDescent="0.45">
      <c r="A2090" s="30">
        <v>9</v>
      </c>
      <c r="B2090" s="30"/>
      <c r="C2090" s="30"/>
      <c r="D2090" s="30"/>
      <c r="E2090" s="30"/>
      <c r="F2090" s="30"/>
      <c r="G2090" s="30"/>
      <c r="H2090" s="30"/>
      <c r="I2090" s="30"/>
      <c r="J2090" s="30"/>
      <c r="K2090" s="30"/>
      <c r="L2090" s="30"/>
      <c r="M2090" s="30"/>
      <c r="N2090" s="30" t="str" cm="1">
        <f t="array" ref="N2090">Main_Log_Status(Main_Log[[#This Row],[Carrier]],Main_Log[[#This Row],[Net Weight]])</f>
        <v/>
      </c>
      <c r="O2090" s="30"/>
      <c r="P209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90" s="30"/>
      <c r="R2090" s="30" t="str" cm="1">
        <f t="array" ref="R2090">Main_Log_Ref(Main_Log[[#This Row],[Carrier]])</f>
        <v/>
      </c>
    </row>
    <row r="2091" spans="1:18" ht="29.85" customHeight="1" x14ac:dyDescent="0.45">
      <c r="A2091" s="30">
        <v>10</v>
      </c>
      <c r="B2091" s="30"/>
      <c r="C2091" s="30"/>
      <c r="D2091" s="30"/>
      <c r="E2091" s="30"/>
      <c r="F2091" s="30"/>
      <c r="G2091" s="30"/>
      <c r="H2091" s="30"/>
      <c r="I2091" s="30"/>
      <c r="J2091" s="30"/>
      <c r="K2091" s="30"/>
      <c r="L2091" s="30"/>
      <c r="M2091" s="30"/>
      <c r="N2091" s="30" t="str" cm="1">
        <f t="array" ref="N2091">Main_Log_Status(Main_Log[[#This Row],[Carrier]],Main_Log[[#This Row],[Net Weight]])</f>
        <v/>
      </c>
      <c r="O2091" s="30"/>
      <c r="P209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91" s="30"/>
      <c r="R2091" s="30" t="str" cm="1">
        <f t="array" ref="R2091">Main_Log_Ref(Main_Log[[#This Row],[Carrier]])</f>
        <v/>
      </c>
    </row>
    <row r="2092" spans="1:18" ht="29.85" customHeight="1" x14ac:dyDescent="0.45">
      <c r="A2092" s="30">
        <v>11</v>
      </c>
      <c r="B2092" s="30"/>
      <c r="C2092" s="30"/>
      <c r="D2092" s="30"/>
      <c r="E2092" s="30"/>
      <c r="F2092" s="30"/>
      <c r="G2092" s="30"/>
      <c r="H2092" s="30"/>
      <c r="I2092" s="30"/>
      <c r="J2092" s="30"/>
      <c r="K2092" s="30"/>
      <c r="L2092" s="30"/>
      <c r="M2092" s="30"/>
      <c r="N2092" s="30" t="str" cm="1">
        <f t="array" ref="N2092">Main_Log_Status(Main_Log[[#This Row],[Carrier]],Main_Log[[#This Row],[Net Weight]])</f>
        <v/>
      </c>
      <c r="O2092" s="30"/>
      <c r="P209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92" s="30"/>
      <c r="R2092" s="30" t="str" cm="1">
        <f t="array" ref="R2092">Main_Log_Ref(Main_Log[[#This Row],[Carrier]])</f>
        <v/>
      </c>
    </row>
    <row r="2093" spans="1:18" ht="29.85" customHeight="1" x14ac:dyDescent="0.45">
      <c r="A2093" s="30">
        <v>12</v>
      </c>
      <c r="B2093" s="30"/>
      <c r="C2093" s="30"/>
      <c r="D2093" s="30"/>
      <c r="E2093" s="30"/>
      <c r="F2093" s="30"/>
      <c r="G2093" s="30"/>
      <c r="H2093" s="30"/>
      <c r="I2093" s="30"/>
      <c r="J2093" s="30"/>
      <c r="K2093" s="30"/>
      <c r="L2093" s="30"/>
      <c r="M2093" s="30"/>
      <c r="N2093" s="30" t="str" cm="1">
        <f t="array" ref="N2093">Main_Log_Status(Main_Log[[#This Row],[Carrier]],Main_Log[[#This Row],[Net Weight]])</f>
        <v/>
      </c>
      <c r="O2093" s="30"/>
      <c r="P209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93" s="30"/>
      <c r="R2093" s="30" t="str" cm="1">
        <f t="array" ref="R2093">Main_Log_Ref(Main_Log[[#This Row],[Carrier]])</f>
        <v/>
      </c>
    </row>
    <row r="2094" spans="1:18" ht="29.85" customHeight="1" x14ac:dyDescent="0.45">
      <c r="A2094" s="30">
        <v>13</v>
      </c>
      <c r="B2094" s="30"/>
      <c r="C2094" s="30"/>
      <c r="D2094" s="30"/>
      <c r="E2094" s="30"/>
      <c r="F2094" s="30"/>
      <c r="G2094" s="30"/>
      <c r="H2094" s="30"/>
      <c r="I2094" s="30"/>
      <c r="J2094" s="30"/>
      <c r="K2094" s="30"/>
      <c r="L2094" s="30"/>
      <c r="M2094" s="30"/>
      <c r="N2094" s="30" t="str" cm="1">
        <f t="array" ref="N2094">Main_Log_Status(Main_Log[[#This Row],[Carrier]],Main_Log[[#This Row],[Net Weight]])</f>
        <v/>
      </c>
      <c r="O2094" s="30"/>
      <c r="P209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94" s="30"/>
      <c r="R2094" s="30" t="str" cm="1">
        <f t="array" ref="R2094">Main_Log_Ref(Main_Log[[#This Row],[Carrier]])</f>
        <v/>
      </c>
    </row>
    <row r="2095" spans="1:18" ht="29.85" customHeight="1" x14ac:dyDescent="0.45">
      <c r="A2095" s="30">
        <v>14</v>
      </c>
      <c r="B2095" s="30"/>
      <c r="C2095" s="30"/>
      <c r="D2095" s="30"/>
      <c r="E2095" s="30"/>
      <c r="F2095" s="30"/>
      <c r="G2095" s="30"/>
      <c r="H2095" s="30"/>
      <c r="I2095" s="30"/>
      <c r="J2095" s="30"/>
      <c r="K2095" s="30"/>
      <c r="L2095" s="30"/>
      <c r="M2095" s="30"/>
      <c r="N2095" s="30" t="str" cm="1">
        <f t="array" ref="N2095">Main_Log_Status(Main_Log[[#This Row],[Carrier]],Main_Log[[#This Row],[Net Weight]])</f>
        <v/>
      </c>
      <c r="O2095" s="30"/>
      <c r="P209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95" s="30"/>
      <c r="R2095" s="30" t="str" cm="1">
        <f t="array" ref="R2095">Main_Log_Ref(Main_Log[[#This Row],[Carrier]])</f>
        <v/>
      </c>
    </row>
    <row r="2096" spans="1:18" ht="29.85" customHeight="1" x14ac:dyDescent="0.45">
      <c r="A2096" s="30">
        <v>15</v>
      </c>
      <c r="B2096" s="30"/>
      <c r="C2096" s="30"/>
      <c r="D2096" s="30"/>
      <c r="E2096" s="30"/>
      <c r="F2096" s="30"/>
      <c r="G2096" s="30"/>
      <c r="H2096" s="30"/>
      <c r="I2096" s="30"/>
      <c r="J2096" s="30"/>
      <c r="K2096" s="30"/>
      <c r="L2096" s="30"/>
      <c r="M2096" s="30"/>
      <c r="N2096" s="30" t="str" cm="1">
        <f t="array" ref="N2096">Main_Log_Status(Main_Log[[#This Row],[Carrier]],Main_Log[[#This Row],[Net Weight]])</f>
        <v/>
      </c>
      <c r="O2096" s="30"/>
      <c r="P209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96" s="30"/>
      <c r="R2096" s="30" t="str" cm="1">
        <f t="array" ref="R2096">Main_Log_Ref(Main_Log[[#This Row],[Carrier]])</f>
        <v/>
      </c>
    </row>
    <row r="2097" spans="1:18" ht="29.85" customHeight="1" x14ac:dyDescent="0.45">
      <c r="A2097" s="30">
        <v>16</v>
      </c>
      <c r="B2097" s="30"/>
      <c r="C2097" s="30"/>
      <c r="D2097" s="30"/>
      <c r="E2097" s="30"/>
      <c r="F2097" s="30"/>
      <c r="G2097" s="30"/>
      <c r="H2097" s="30"/>
      <c r="I2097" s="30"/>
      <c r="J2097" s="30"/>
      <c r="K2097" s="30"/>
      <c r="L2097" s="30"/>
      <c r="M2097" s="30"/>
      <c r="N2097" s="30" t="str" cm="1">
        <f t="array" ref="N2097">Main_Log_Status(Main_Log[[#This Row],[Carrier]],Main_Log[[#This Row],[Net Weight]])</f>
        <v/>
      </c>
      <c r="O2097" s="30"/>
      <c r="P209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97" s="30"/>
      <c r="R2097" s="30" t="str" cm="1">
        <f t="array" ref="R2097">Main_Log_Ref(Main_Log[[#This Row],[Carrier]])</f>
        <v/>
      </c>
    </row>
    <row r="2098" spans="1:18" ht="29.85" customHeight="1" x14ac:dyDescent="0.45">
      <c r="A2098" s="30">
        <v>17</v>
      </c>
      <c r="B2098" s="30"/>
      <c r="C2098" s="30"/>
      <c r="D2098" s="30"/>
      <c r="E2098" s="30"/>
      <c r="F2098" s="30"/>
      <c r="G2098" s="30"/>
      <c r="H2098" s="30"/>
      <c r="I2098" s="30"/>
      <c r="J2098" s="30"/>
      <c r="K2098" s="30"/>
      <c r="L2098" s="30"/>
      <c r="M2098" s="30"/>
      <c r="N2098" s="30" t="str" cm="1">
        <f t="array" ref="N2098">Main_Log_Status(Main_Log[[#This Row],[Carrier]],Main_Log[[#This Row],[Net Weight]])</f>
        <v/>
      </c>
      <c r="O2098" s="30"/>
      <c r="P209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98" s="30"/>
      <c r="R2098" s="30" t="str" cm="1">
        <f t="array" ref="R2098">Main_Log_Ref(Main_Log[[#This Row],[Carrier]])</f>
        <v/>
      </c>
    </row>
    <row r="2099" spans="1:18" ht="29.85" customHeight="1" x14ac:dyDescent="0.45">
      <c r="A2099" s="30">
        <v>18</v>
      </c>
      <c r="B2099" s="30"/>
      <c r="C2099" s="30"/>
      <c r="D2099" s="30"/>
      <c r="E2099" s="30"/>
      <c r="F2099" s="30"/>
      <c r="G2099" s="30"/>
      <c r="H2099" s="30"/>
      <c r="I2099" s="30"/>
      <c r="J2099" s="30"/>
      <c r="K2099" s="30"/>
      <c r="L2099" s="30"/>
      <c r="M2099" s="30"/>
      <c r="N2099" s="30" t="str" cm="1">
        <f t="array" ref="N2099">Main_Log_Status(Main_Log[[#This Row],[Carrier]],Main_Log[[#This Row],[Net Weight]])</f>
        <v/>
      </c>
      <c r="O2099" s="30"/>
      <c r="P209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099" s="30"/>
      <c r="R2099" s="30" t="str" cm="1">
        <f t="array" ref="R2099">Main_Log_Ref(Main_Log[[#This Row],[Carrier]])</f>
        <v/>
      </c>
    </row>
    <row r="2100" spans="1:18" ht="29.85" customHeight="1" x14ac:dyDescent="0.45">
      <c r="A2100" s="30">
        <v>19</v>
      </c>
      <c r="B2100" s="30"/>
      <c r="C2100" s="30"/>
      <c r="D2100" s="30"/>
      <c r="E2100" s="30"/>
      <c r="F2100" s="30"/>
      <c r="G2100" s="30"/>
      <c r="H2100" s="30"/>
      <c r="I2100" s="30"/>
      <c r="J2100" s="30"/>
      <c r="K2100" s="30"/>
      <c r="L2100" s="30"/>
      <c r="M2100" s="30"/>
      <c r="N2100" s="30" t="str" cm="1">
        <f t="array" ref="N2100">Main_Log_Status(Main_Log[[#This Row],[Carrier]],Main_Log[[#This Row],[Net Weight]])</f>
        <v/>
      </c>
      <c r="O2100" s="30"/>
      <c r="P210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00" s="30"/>
      <c r="R2100" s="30" t="str" cm="1">
        <f t="array" ref="R2100">Main_Log_Ref(Main_Log[[#This Row],[Carrier]])</f>
        <v/>
      </c>
    </row>
    <row r="2101" spans="1:18" ht="29.85" customHeight="1" x14ac:dyDescent="0.45">
      <c r="A2101" s="30">
        <v>20</v>
      </c>
      <c r="B2101" s="30"/>
      <c r="C2101" s="30"/>
      <c r="D2101" s="30"/>
      <c r="E2101" s="30"/>
      <c r="F2101" s="30"/>
      <c r="G2101" s="30"/>
      <c r="H2101" s="30"/>
      <c r="I2101" s="30"/>
      <c r="J2101" s="30"/>
      <c r="K2101" s="30"/>
      <c r="L2101" s="30"/>
      <c r="M2101" s="30"/>
      <c r="N2101" s="30" t="str" cm="1">
        <f t="array" ref="N2101">Main_Log_Status(Main_Log[[#This Row],[Carrier]],Main_Log[[#This Row],[Net Weight]])</f>
        <v/>
      </c>
      <c r="O2101" s="30"/>
      <c r="P210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01" s="30"/>
      <c r="R2101" s="30" t="str" cm="1">
        <f t="array" ref="R2101">Main_Log_Ref(Main_Log[[#This Row],[Carrier]])</f>
        <v/>
      </c>
    </row>
    <row r="2102" spans="1:18" ht="29.85" customHeight="1" x14ac:dyDescent="0.45">
      <c r="A2102" s="30">
        <v>21</v>
      </c>
      <c r="B2102" s="30"/>
      <c r="C2102" s="30"/>
      <c r="D2102" s="30"/>
      <c r="E2102" s="30"/>
      <c r="F2102" s="30"/>
      <c r="G2102" s="30"/>
      <c r="H2102" s="30"/>
      <c r="I2102" s="30"/>
      <c r="J2102" s="30"/>
      <c r="K2102" s="30"/>
      <c r="L2102" s="30"/>
      <c r="M2102" s="30"/>
      <c r="N2102" s="30" t="str" cm="1">
        <f t="array" ref="N2102">Main_Log_Status(Main_Log[[#This Row],[Carrier]],Main_Log[[#This Row],[Net Weight]])</f>
        <v/>
      </c>
      <c r="O2102" s="30"/>
      <c r="P210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02" s="30"/>
      <c r="R2102" s="30" t="str" cm="1">
        <f t="array" ref="R2102">Main_Log_Ref(Main_Log[[#This Row],[Carrier]])</f>
        <v/>
      </c>
    </row>
    <row r="2103" spans="1:18" ht="29.85" customHeight="1" x14ac:dyDescent="0.45">
      <c r="A2103" s="30">
        <v>22</v>
      </c>
      <c r="B2103" s="30"/>
      <c r="C2103" s="30"/>
      <c r="D2103" s="30"/>
      <c r="E2103" s="30"/>
      <c r="F2103" s="30"/>
      <c r="G2103" s="30"/>
      <c r="H2103" s="30"/>
      <c r="I2103" s="30"/>
      <c r="J2103" s="30"/>
      <c r="K2103" s="30"/>
      <c r="L2103" s="30"/>
      <c r="M2103" s="30"/>
      <c r="N2103" s="30" t="str" cm="1">
        <f t="array" ref="N2103">Main_Log_Status(Main_Log[[#This Row],[Carrier]],Main_Log[[#This Row],[Net Weight]])</f>
        <v/>
      </c>
      <c r="O2103" s="30"/>
      <c r="P210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03" s="30"/>
      <c r="R2103" s="30" t="str" cm="1">
        <f t="array" ref="R2103">Main_Log_Ref(Main_Log[[#This Row],[Carrier]])</f>
        <v/>
      </c>
    </row>
    <row r="2104" spans="1:18" ht="29.85" customHeight="1" x14ac:dyDescent="0.45">
      <c r="A2104" s="30">
        <v>23</v>
      </c>
      <c r="B2104" s="30"/>
      <c r="C2104" s="30"/>
      <c r="D2104" s="30"/>
      <c r="E2104" s="30"/>
      <c r="F2104" s="30"/>
      <c r="G2104" s="30"/>
      <c r="H2104" s="30"/>
      <c r="I2104" s="30"/>
      <c r="J2104" s="30"/>
      <c r="K2104" s="30"/>
      <c r="L2104" s="30"/>
      <c r="M2104" s="30"/>
      <c r="N2104" s="30" t="str" cm="1">
        <f t="array" ref="N2104">Main_Log_Status(Main_Log[[#This Row],[Carrier]],Main_Log[[#This Row],[Net Weight]])</f>
        <v/>
      </c>
      <c r="O2104" s="30"/>
      <c r="P210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04" s="30"/>
      <c r="R2104" s="30" t="str" cm="1">
        <f t="array" ref="R2104">Main_Log_Ref(Main_Log[[#This Row],[Carrier]])</f>
        <v/>
      </c>
    </row>
    <row r="2105" spans="1:18" ht="29.85" customHeight="1" x14ac:dyDescent="0.45">
      <c r="A2105" s="30">
        <v>24</v>
      </c>
      <c r="B2105" s="30"/>
      <c r="C2105" s="30"/>
      <c r="D2105" s="30"/>
      <c r="E2105" s="30"/>
      <c r="F2105" s="30"/>
      <c r="G2105" s="30"/>
      <c r="H2105" s="30"/>
      <c r="I2105" s="30"/>
      <c r="J2105" s="30"/>
      <c r="K2105" s="30"/>
      <c r="L2105" s="30"/>
      <c r="M2105" s="30"/>
      <c r="N2105" s="30" t="str" cm="1">
        <f t="array" ref="N2105">Main_Log_Status(Main_Log[[#This Row],[Carrier]],Main_Log[[#This Row],[Net Weight]])</f>
        <v/>
      </c>
      <c r="O2105" s="30"/>
      <c r="P210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05" s="30"/>
      <c r="R2105" s="30" t="str" cm="1">
        <f t="array" ref="R2105">Main_Log_Ref(Main_Log[[#This Row],[Carrier]])</f>
        <v/>
      </c>
    </row>
    <row r="2106" spans="1:18" ht="29.85" customHeight="1" x14ac:dyDescent="0.45">
      <c r="A2106" s="30">
        <v>25</v>
      </c>
      <c r="B2106" s="30"/>
      <c r="C2106" s="30"/>
      <c r="D2106" s="30"/>
      <c r="E2106" s="30"/>
      <c r="F2106" s="30"/>
      <c r="G2106" s="30"/>
      <c r="H2106" s="30"/>
      <c r="I2106" s="30"/>
      <c r="J2106" s="30"/>
      <c r="K2106" s="30"/>
      <c r="L2106" s="30"/>
      <c r="M2106" s="30"/>
      <c r="N2106" s="30" t="str" cm="1">
        <f t="array" ref="N2106">Main_Log_Status(Main_Log[[#This Row],[Carrier]],Main_Log[[#This Row],[Net Weight]])</f>
        <v/>
      </c>
      <c r="O2106" s="30"/>
      <c r="P210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06" s="30"/>
      <c r="R2106" s="30" t="str" cm="1">
        <f t="array" ref="R2106">Main_Log_Ref(Main_Log[[#This Row],[Carrier]])</f>
        <v/>
      </c>
    </row>
    <row r="2107" spans="1:18" ht="29.85" customHeight="1" x14ac:dyDescent="0.45">
      <c r="A2107" s="30">
        <v>26</v>
      </c>
      <c r="B2107" s="30"/>
      <c r="C2107" s="30"/>
      <c r="D2107" s="30"/>
      <c r="E2107" s="30"/>
      <c r="F2107" s="30"/>
      <c r="G2107" s="30"/>
      <c r="H2107" s="30"/>
      <c r="I2107" s="30"/>
      <c r="J2107" s="30"/>
      <c r="K2107" s="30"/>
      <c r="L2107" s="30"/>
      <c r="M2107" s="30"/>
      <c r="N2107" s="30" t="str" cm="1">
        <f t="array" ref="N2107">Main_Log_Status(Main_Log[[#This Row],[Carrier]],Main_Log[[#This Row],[Net Weight]])</f>
        <v/>
      </c>
      <c r="O2107" s="30"/>
      <c r="P210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07" s="30"/>
      <c r="R2107" s="30" t="str" cm="1">
        <f t="array" ref="R2107">Main_Log_Ref(Main_Log[[#This Row],[Carrier]])</f>
        <v/>
      </c>
    </row>
    <row r="2108" spans="1:18" ht="29.85" customHeight="1" x14ac:dyDescent="0.45">
      <c r="A2108" s="30">
        <v>27</v>
      </c>
      <c r="B2108" s="30"/>
      <c r="C2108" s="30"/>
      <c r="D2108" s="30"/>
      <c r="E2108" s="30"/>
      <c r="F2108" s="30"/>
      <c r="G2108" s="30"/>
      <c r="H2108" s="30"/>
      <c r="I2108" s="30"/>
      <c r="J2108" s="30"/>
      <c r="K2108" s="30"/>
      <c r="L2108" s="30"/>
      <c r="M2108" s="30"/>
      <c r="N2108" s="30" t="str" cm="1">
        <f t="array" ref="N2108">Main_Log_Status(Main_Log[[#This Row],[Carrier]],Main_Log[[#This Row],[Net Weight]])</f>
        <v/>
      </c>
      <c r="O2108" s="30"/>
      <c r="P210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08" s="30"/>
      <c r="R2108" s="30" t="str" cm="1">
        <f t="array" ref="R2108">Main_Log_Ref(Main_Log[[#This Row],[Carrier]])</f>
        <v/>
      </c>
    </row>
    <row r="2109" spans="1:18" ht="29.85" customHeight="1" x14ac:dyDescent="0.45">
      <c r="A2109" s="30">
        <v>28</v>
      </c>
      <c r="B2109" s="30"/>
      <c r="C2109" s="30"/>
      <c r="D2109" s="30"/>
      <c r="E2109" s="30"/>
      <c r="F2109" s="30"/>
      <c r="G2109" s="30"/>
      <c r="H2109" s="30"/>
      <c r="I2109" s="30"/>
      <c r="J2109" s="30"/>
      <c r="K2109" s="30"/>
      <c r="L2109" s="30"/>
      <c r="M2109" s="30"/>
      <c r="N2109" s="30" t="str" cm="1">
        <f t="array" ref="N2109">Main_Log_Status(Main_Log[[#This Row],[Carrier]],Main_Log[[#This Row],[Net Weight]])</f>
        <v/>
      </c>
      <c r="O2109" s="30"/>
      <c r="P210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09" s="30"/>
      <c r="R2109" s="30" t="str" cm="1">
        <f t="array" ref="R2109">Main_Log_Ref(Main_Log[[#This Row],[Carrier]])</f>
        <v/>
      </c>
    </row>
    <row r="2110" spans="1:18" ht="29.85" customHeight="1" x14ac:dyDescent="0.45">
      <c r="A2110" s="30">
        <v>29</v>
      </c>
      <c r="B2110" s="30"/>
      <c r="C2110" s="30"/>
      <c r="D2110" s="30"/>
      <c r="E2110" s="30"/>
      <c r="F2110" s="30"/>
      <c r="G2110" s="30"/>
      <c r="H2110" s="30"/>
      <c r="I2110" s="30"/>
      <c r="J2110" s="30"/>
      <c r="K2110" s="30"/>
      <c r="L2110" s="30"/>
      <c r="M2110" s="30"/>
      <c r="N2110" s="30" t="str" cm="1">
        <f t="array" ref="N2110">Main_Log_Status(Main_Log[[#This Row],[Carrier]],Main_Log[[#This Row],[Net Weight]])</f>
        <v/>
      </c>
      <c r="O2110" s="30"/>
      <c r="P211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10" s="30"/>
      <c r="R2110" s="30" t="str" cm="1">
        <f t="array" ref="R2110">Main_Log_Ref(Main_Log[[#This Row],[Carrier]])</f>
        <v/>
      </c>
    </row>
    <row r="2111" spans="1:18" ht="29.85" customHeight="1" x14ac:dyDescent="0.45">
      <c r="A2111" s="30">
        <v>30</v>
      </c>
      <c r="B2111" s="30"/>
      <c r="C2111" s="30"/>
      <c r="D2111" s="30"/>
      <c r="E2111" s="30"/>
      <c r="F2111" s="30"/>
      <c r="G2111" s="30"/>
      <c r="H2111" s="30"/>
      <c r="I2111" s="30"/>
      <c r="J2111" s="30"/>
      <c r="K2111" s="30"/>
      <c r="L2111" s="30"/>
      <c r="M2111" s="30"/>
      <c r="N2111" s="30" t="str" cm="1">
        <f t="array" ref="N2111">Main_Log_Status(Main_Log[[#This Row],[Carrier]],Main_Log[[#This Row],[Net Weight]])</f>
        <v/>
      </c>
      <c r="O2111" s="30"/>
      <c r="P211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11" s="30"/>
      <c r="R2111" s="30" t="str" cm="1">
        <f t="array" ref="R2111">Main_Log_Ref(Main_Log[[#This Row],[Carrier]])</f>
        <v/>
      </c>
    </row>
    <row r="2112" spans="1:18" ht="29.85" customHeight="1" x14ac:dyDescent="0.45">
      <c r="A2112" s="30">
        <v>31</v>
      </c>
      <c r="B2112" s="30"/>
      <c r="C2112" s="30"/>
      <c r="D2112" s="30"/>
      <c r="E2112" s="30"/>
      <c r="F2112" s="30"/>
      <c r="G2112" s="30"/>
      <c r="H2112" s="30"/>
      <c r="I2112" s="30"/>
      <c r="J2112" s="30"/>
      <c r="K2112" s="30"/>
      <c r="L2112" s="30"/>
      <c r="M2112" s="30"/>
      <c r="N2112" s="30" t="str" cm="1">
        <f t="array" ref="N2112">Main_Log_Status(Main_Log[[#This Row],[Carrier]],Main_Log[[#This Row],[Net Weight]])</f>
        <v/>
      </c>
      <c r="O2112" s="30"/>
      <c r="P211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12" s="30"/>
      <c r="R2112" s="30" t="str" cm="1">
        <f t="array" ref="R2112">Main_Log_Ref(Main_Log[[#This Row],[Carrier]])</f>
        <v/>
      </c>
    </row>
    <row r="2113" spans="1:18" ht="29.85" customHeight="1" x14ac:dyDescent="0.45">
      <c r="A2113" s="30">
        <v>32</v>
      </c>
      <c r="B2113" s="30"/>
      <c r="C2113" s="30"/>
      <c r="D2113" s="30"/>
      <c r="E2113" s="30"/>
      <c r="F2113" s="30"/>
      <c r="G2113" s="30"/>
      <c r="H2113" s="30"/>
      <c r="I2113" s="30"/>
      <c r="J2113" s="30"/>
      <c r="K2113" s="30"/>
      <c r="L2113" s="30"/>
      <c r="M2113" s="30"/>
      <c r="N2113" s="30" t="str" cm="1">
        <f t="array" ref="N2113">Main_Log_Status(Main_Log[[#This Row],[Carrier]],Main_Log[[#This Row],[Net Weight]])</f>
        <v/>
      </c>
      <c r="O2113" s="30"/>
      <c r="P211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13" s="30"/>
      <c r="R2113" s="30" t="str" cm="1">
        <f t="array" ref="R2113">Main_Log_Ref(Main_Log[[#This Row],[Carrier]])</f>
        <v/>
      </c>
    </row>
    <row r="2114" spans="1:18" ht="29.85" customHeight="1" x14ac:dyDescent="0.45">
      <c r="A2114" s="30">
        <v>33</v>
      </c>
      <c r="B2114" s="30"/>
      <c r="C2114" s="30"/>
      <c r="D2114" s="30"/>
      <c r="E2114" s="30"/>
      <c r="F2114" s="30"/>
      <c r="G2114" s="30"/>
      <c r="H2114" s="30"/>
      <c r="I2114" s="30"/>
      <c r="J2114" s="30"/>
      <c r="K2114" s="30"/>
      <c r="L2114" s="30"/>
      <c r="M2114" s="30"/>
      <c r="N2114" s="30" t="str" cm="1">
        <f t="array" ref="N2114">Main_Log_Status(Main_Log[[#This Row],[Carrier]],Main_Log[[#This Row],[Net Weight]])</f>
        <v/>
      </c>
      <c r="O2114" s="30"/>
      <c r="P211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14" s="30"/>
      <c r="R2114" s="30" t="str" cm="1">
        <f t="array" ref="R2114">Main_Log_Ref(Main_Log[[#This Row],[Carrier]])</f>
        <v/>
      </c>
    </row>
    <row r="2115" spans="1:18" ht="29.85" customHeight="1" x14ac:dyDescent="0.45">
      <c r="A2115" s="30">
        <v>34</v>
      </c>
      <c r="B2115" s="30"/>
      <c r="C2115" s="30"/>
      <c r="D2115" s="30"/>
      <c r="E2115" s="30"/>
      <c r="F2115" s="30"/>
      <c r="G2115" s="30"/>
      <c r="H2115" s="30"/>
      <c r="I2115" s="30"/>
      <c r="J2115" s="30"/>
      <c r="K2115" s="30"/>
      <c r="L2115" s="30"/>
      <c r="M2115" s="30"/>
      <c r="N2115" s="30" t="str" cm="1">
        <f t="array" ref="N2115">Main_Log_Status(Main_Log[[#This Row],[Carrier]],Main_Log[[#This Row],[Net Weight]])</f>
        <v/>
      </c>
      <c r="O2115" s="30"/>
      <c r="P211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15" s="30"/>
      <c r="R2115" s="30" t="str" cm="1">
        <f t="array" ref="R2115">Main_Log_Ref(Main_Log[[#This Row],[Carrier]])</f>
        <v/>
      </c>
    </row>
    <row r="2116" spans="1:18" ht="29.85" customHeight="1" x14ac:dyDescent="0.45">
      <c r="A2116" s="30">
        <v>35</v>
      </c>
      <c r="B2116" s="30"/>
      <c r="C2116" s="30"/>
      <c r="D2116" s="30"/>
      <c r="E2116" s="30"/>
      <c r="F2116" s="30"/>
      <c r="G2116" s="30"/>
      <c r="H2116" s="30"/>
      <c r="I2116" s="30"/>
      <c r="J2116" s="30"/>
      <c r="K2116" s="30"/>
      <c r="L2116" s="30"/>
      <c r="M2116" s="30"/>
      <c r="N2116" s="30" t="str" cm="1">
        <f t="array" ref="N2116">Main_Log_Status(Main_Log[[#This Row],[Carrier]],Main_Log[[#This Row],[Net Weight]])</f>
        <v/>
      </c>
      <c r="O2116" s="30"/>
      <c r="P211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16" s="30"/>
      <c r="R2116" s="30" t="str" cm="1">
        <f t="array" ref="R2116">Main_Log_Ref(Main_Log[[#This Row],[Carrier]])</f>
        <v/>
      </c>
    </row>
    <row r="2117" spans="1:18" ht="29.85" customHeight="1" x14ac:dyDescent="0.45">
      <c r="A2117" s="30">
        <v>36</v>
      </c>
      <c r="B2117" s="30"/>
      <c r="C2117" s="30"/>
      <c r="D2117" s="30"/>
      <c r="E2117" s="30"/>
      <c r="F2117" s="30"/>
      <c r="G2117" s="30"/>
      <c r="H2117" s="30"/>
      <c r="I2117" s="30"/>
      <c r="J2117" s="30"/>
      <c r="K2117" s="30"/>
      <c r="L2117" s="30"/>
      <c r="M2117" s="30"/>
      <c r="N2117" s="30" t="str" cm="1">
        <f t="array" ref="N2117">Main_Log_Status(Main_Log[[#This Row],[Carrier]],Main_Log[[#This Row],[Net Weight]])</f>
        <v/>
      </c>
      <c r="O2117" s="30"/>
      <c r="P211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17" s="30"/>
      <c r="R2117" s="30" t="str" cm="1">
        <f t="array" ref="R2117">Main_Log_Ref(Main_Log[[#This Row],[Carrier]])</f>
        <v/>
      </c>
    </row>
    <row r="2118" spans="1:18" ht="29.85" customHeight="1" x14ac:dyDescent="0.45">
      <c r="A2118" s="30">
        <v>37</v>
      </c>
      <c r="B2118" s="30"/>
      <c r="C2118" s="30"/>
      <c r="D2118" s="30"/>
      <c r="E2118" s="30"/>
      <c r="F2118" s="30"/>
      <c r="G2118" s="30"/>
      <c r="H2118" s="30"/>
      <c r="I2118" s="30"/>
      <c r="J2118" s="30"/>
      <c r="K2118" s="30"/>
      <c r="L2118" s="30"/>
      <c r="M2118" s="30"/>
      <c r="N2118" s="30" t="str" cm="1">
        <f t="array" ref="N2118">Main_Log_Status(Main_Log[[#This Row],[Carrier]],Main_Log[[#This Row],[Net Weight]])</f>
        <v/>
      </c>
      <c r="O2118" s="30"/>
      <c r="P211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18" s="30"/>
      <c r="R2118" s="30" t="str" cm="1">
        <f t="array" ref="R2118">Main_Log_Ref(Main_Log[[#This Row],[Carrier]])</f>
        <v/>
      </c>
    </row>
    <row r="2119" spans="1:18" ht="29.85" customHeight="1" x14ac:dyDescent="0.45">
      <c r="A2119" s="30">
        <v>38</v>
      </c>
      <c r="B2119" s="30"/>
      <c r="C2119" s="30"/>
      <c r="D2119" s="30"/>
      <c r="E2119" s="30"/>
      <c r="F2119" s="30"/>
      <c r="G2119" s="30"/>
      <c r="H2119" s="30"/>
      <c r="I2119" s="30"/>
      <c r="J2119" s="30"/>
      <c r="K2119" s="30"/>
      <c r="L2119" s="30"/>
      <c r="M2119" s="30"/>
      <c r="N2119" s="30" t="str" cm="1">
        <f t="array" ref="N2119">Main_Log_Status(Main_Log[[#This Row],[Carrier]],Main_Log[[#This Row],[Net Weight]])</f>
        <v/>
      </c>
      <c r="O2119" s="30"/>
      <c r="P211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19" s="30"/>
      <c r="R2119" s="30" t="str" cm="1">
        <f t="array" ref="R2119">Main_Log_Ref(Main_Log[[#This Row],[Carrier]])</f>
        <v/>
      </c>
    </row>
    <row r="2120" spans="1:18" ht="29.85" customHeight="1" x14ac:dyDescent="0.45">
      <c r="A2120" s="30">
        <v>39</v>
      </c>
      <c r="B2120" s="30"/>
      <c r="C2120" s="30"/>
      <c r="D2120" s="30"/>
      <c r="E2120" s="30"/>
      <c r="F2120" s="30"/>
      <c r="G2120" s="30"/>
      <c r="H2120" s="30"/>
      <c r="I2120" s="30"/>
      <c r="J2120" s="30"/>
      <c r="K2120" s="30"/>
      <c r="L2120" s="30"/>
      <c r="M2120" s="30"/>
      <c r="N2120" s="30" t="str" cm="1">
        <f t="array" ref="N2120">Main_Log_Status(Main_Log[[#This Row],[Carrier]],Main_Log[[#This Row],[Net Weight]])</f>
        <v/>
      </c>
      <c r="O2120" s="30"/>
      <c r="P212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20" s="30"/>
      <c r="R2120" s="30" t="str" cm="1">
        <f t="array" ref="R2120">Main_Log_Ref(Main_Log[[#This Row],[Carrier]])</f>
        <v/>
      </c>
    </row>
    <row r="2121" spans="1:18" ht="29.85" customHeight="1" x14ac:dyDescent="0.45">
      <c r="A2121" s="30">
        <v>40</v>
      </c>
      <c r="B2121" s="30"/>
      <c r="C2121" s="30"/>
      <c r="D2121" s="30"/>
      <c r="E2121" s="30"/>
      <c r="F2121" s="30"/>
      <c r="G2121" s="30"/>
      <c r="H2121" s="30"/>
      <c r="I2121" s="30"/>
      <c r="J2121" s="30"/>
      <c r="K2121" s="30"/>
      <c r="L2121" s="30"/>
      <c r="M2121" s="30"/>
      <c r="N2121" s="30" t="str" cm="1">
        <f t="array" ref="N2121">Main_Log_Status(Main_Log[[#This Row],[Carrier]],Main_Log[[#This Row],[Net Weight]])</f>
        <v/>
      </c>
      <c r="O2121" s="30"/>
      <c r="P212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21" s="30"/>
      <c r="R2121" s="30" t="str" cm="1">
        <f t="array" ref="R2121">Main_Log_Ref(Main_Log[[#This Row],[Carrier]])</f>
        <v/>
      </c>
    </row>
    <row r="2122" spans="1:18" ht="29.85" customHeight="1" x14ac:dyDescent="0.45">
      <c r="A2122" s="30">
        <v>41</v>
      </c>
      <c r="B2122" s="30"/>
      <c r="C2122" s="30"/>
      <c r="D2122" s="30"/>
      <c r="E2122" s="30"/>
      <c r="F2122" s="30"/>
      <c r="G2122" s="30"/>
      <c r="H2122" s="30"/>
      <c r="I2122" s="30"/>
      <c r="J2122" s="30"/>
      <c r="K2122" s="30"/>
      <c r="L2122" s="30"/>
      <c r="M2122" s="30"/>
      <c r="N2122" s="30" t="str" cm="1">
        <f t="array" ref="N2122">Main_Log_Status(Main_Log[[#This Row],[Carrier]],Main_Log[[#This Row],[Net Weight]])</f>
        <v/>
      </c>
      <c r="O2122" s="30"/>
      <c r="P212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22" s="30"/>
      <c r="R2122" s="30" t="str" cm="1">
        <f t="array" ref="R2122">Main_Log_Ref(Main_Log[[#This Row],[Carrier]])</f>
        <v/>
      </c>
    </row>
    <row r="2123" spans="1:18" ht="29.85" customHeight="1" x14ac:dyDescent="0.45">
      <c r="A2123" s="30">
        <v>42</v>
      </c>
      <c r="B2123" s="30"/>
      <c r="C2123" s="30"/>
      <c r="D2123" s="30"/>
      <c r="E2123" s="30"/>
      <c r="F2123" s="30"/>
      <c r="G2123" s="30"/>
      <c r="H2123" s="30"/>
      <c r="I2123" s="30"/>
      <c r="J2123" s="30"/>
      <c r="K2123" s="30"/>
      <c r="L2123" s="30"/>
      <c r="M2123" s="30"/>
      <c r="N2123" s="30" t="str" cm="1">
        <f t="array" ref="N2123">Main_Log_Status(Main_Log[[#This Row],[Carrier]],Main_Log[[#This Row],[Net Weight]])</f>
        <v/>
      </c>
      <c r="O2123" s="30"/>
      <c r="P212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23" s="30"/>
      <c r="R2123" s="30" t="str" cm="1">
        <f t="array" ref="R2123">Main_Log_Ref(Main_Log[[#This Row],[Carrier]])</f>
        <v/>
      </c>
    </row>
    <row r="2124" spans="1:18" ht="29.85" customHeight="1" x14ac:dyDescent="0.45">
      <c r="A2124" s="30">
        <v>43</v>
      </c>
      <c r="B2124" s="30"/>
      <c r="C2124" s="30"/>
      <c r="D2124" s="30"/>
      <c r="E2124" s="30"/>
      <c r="F2124" s="30"/>
      <c r="G2124" s="30"/>
      <c r="H2124" s="30"/>
      <c r="I2124" s="30"/>
      <c r="J2124" s="30"/>
      <c r="K2124" s="30"/>
      <c r="L2124" s="30"/>
      <c r="M2124" s="30"/>
      <c r="N2124" s="30" t="str" cm="1">
        <f t="array" ref="N2124">Main_Log_Status(Main_Log[[#This Row],[Carrier]],Main_Log[[#This Row],[Net Weight]])</f>
        <v/>
      </c>
      <c r="O2124" s="30"/>
      <c r="P212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24" s="30"/>
      <c r="R2124" s="30" t="str" cm="1">
        <f t="array" ref="R2124">Main_Log_Ref(Main_Log[[#This Row],[Carrier]])</f>
        <v/>
      </c>
    </row>
    <row r="2125" spans="1:18" ht="29.85" customHeight="1" x14ac:dyDescent="0.45">
      <c r="A2125" s="30">
        <v>44</v>
      </c>
      <c r="B2125" s="30"/>
      <c r="C2125" s="30"/>
      <c r="D2125" s="30"/>
      <c r="E2125" s="30"/>
      <c r="F2125" s="30"/>
      <c r="G2125" s="30"/>
      <c r="H2125" s="30"/>
      <c r="I2125" s="30"/>
      <c r="J2125" s="30"/>
      <c r="K2125" s="30"/>
      <c r="L2125" s="30"/>
      <c r="M2125" s="30"/>
      <c r="N2125" s="30" t="str" cm="1">
        <f t="array" ref="N2125">Main_Log_Status(Main_Log[[#This Row],[Carrier]],Main_Log[[#This Row],[Net Weight]])</f>
        <v/>
      </c>
      <c r="O2125" s="30"/>
      <c r="P212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25" s="30"/>
      <c r="R2125" s="30" t="str" cm="1">
        <f t="array" ref="R2125">Main_Log_Ref(Main_Log[[#This Row],[Carrier]])</f>
        <v/>
      </c>
    </row>
    <row r="2126" spans="1:18" ht="29.85" customHeight="1" x14ac:dyDescent="0.45">
      <c r="A2126" s="30">
        <v>45</v>
      </c>
      <c r="B2126" s="30"/>
      <c r="C2126" s="30"/>
      <c r="D2126" s="30"/>
      <c r="E2126" s="30"/>
      <c r="F2126" s="30"/>
      <c r="G2126" s="30"/>
      <c r="H2126" s="30"/>
      <c r="I2126" s="30"/>
      <c r="J2126" s="30"/>
      <c r="K2126" s="30"/>
      <c r="L2126" s="30"/>
      <c r="M2126" s="30"/>
      <c r="N2126" s="30" t="str" cm="1">
        <f t="array" ref="N2126">Main_Log_Status(Main_Log[[#This Row],[Carrier]],Main_Log[[#This Row],[Net Weight]])</f>
        <v/>
      </c>
      <c r="O2126" s="30"/>
      <c r="P212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26" s="30"/>
      <c r="R2126" s="30" t="str" cm="1">
        <f t="array" ref="R2126">Main_Log_Ref(Main_Log[[#This Row],[Carrier]])</f>
        <v/>
      </c>
    </row>
    <row r="2127" spans="1:18" ht="29.85" customHeight="1" x14ac:dyDescent="0.45">
      <c r="A2127" s="30">
        <v>46</v>
      </c>
      <c r="B2127" s="30"/>
      <c r="C2127" s="30"/>
      <c r="D2127" s="30"/>
      <c r="E2127" s="30"/>
      <c r="F2127" s="30"/>
      <c r="G2127" s="30"/>
      <c r="H2127" s="30"/>
      <c r="I2127" s="30"/>
      <c r="J2127" s="30"/>
      <c r="K2127" s="30"/>
      <c r="L2127" s="30"/>
      <c r="M2127" s="30"/>
      <c r="N2127" s="30" t="str" cm="1">
        <f t="array" ref="N2127">Main_Log_Status(Main_Log[[#This Row],[Carrier]],Main_Log[[#This Row],[Net Weight]])</f>
        <v/>
      </c>
      <c r="O2127" s="30"/>
      <c r="P212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27" s="30"/>
      <c r="R2127" s="30" t="str" cm="1">
        <f t="array" ref="R2127">Main_Log_Ref(Main_Log[[#This Row],[Carrier]])</f>
        <v/>
      </c>
    </row>
    <row r="2128" spans="1:18" ht="29.85" customHeight="1" x14ac:dyDescent="0.45">
      <c r="A2128" s="30">
        <v>47</v>
      </c>
      <c r="B2128" s="30"/>
      <c r="C2128" s="30"/>
      <c r="D2128" s="30"/>
      <c r="E2128" s="30"/>
      <c r="F2128" s="30"/>
      <c r="G2128" s="30"/>
      <c r="H2128" s="30"/>
      <c r="I2128" s="30"/>
      <c r="J2128" s="30"/>
      <c r="K2128" s="30"/>
      <c r="L2128" s="30"/>
      <c r="M2128" s="30"/>
      <c r="N2128" s="30" t="str" cm="1">
        <f t="array" ref="N2128">Main_Log_Status(Main_Log[[#This Row],[Carrier]],Main_Log[[#This Row],[Net Weight]])</f>
        <v/>
      </c>
      <c r="O2128" s="30"/>
      <c r="P212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28" s="30"/>
      <c r="R2128" s="30" t="str" cm="1">
        <f t="array" ref="R2128">Main_Log_Ref(Main_Log[[#This Row],[Carrier]])</f>
        <v/>
      </c>
    </row>
    <row r="2129" spans="1:18" ht="29.85" customHeight="1" x14ac:dyDescent="0.45">
      <c r="A2129" s="30">
        <v>48</v>
      </c>
      <c r="B2129" s="30"/>
      <c r="C2129" s="30"/>
      <c r="D2129" s="30"/>
      <c r="E2129" s="30"/>
      <c r="F2129" s="30"/>
      <c r="G2129" s="30"/>
      <c r="H2129" s="30"/>
      <c r="I2129" s="30"/>
      <c r="J2129" s="30"/>
      <c r="K2129" s="30"/>
      <c r="L2129" s="30"/>
      <c r="M2129" s="30"/>
      <c r="N2129" s="30" t="str" cm="1">
        <f t="array" ref="N2129">Main_Log_Status(Main_Log[[#This Row],[Carrier]],Main_Log[[#This Row],[Net Weight]])</f>
        <v/>
      </c>
      <c r="O2129" s="30"/>
      <c r="P212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29" s="30"/>
      <c r="R2129" s="30" t="str" cm="1">
        <f t="array" ref="R2129">Main_Log_Ref(Main_Log[[#This Row],[Carrier]])</f>
        <v/>
      </c>
    </row>
    <row r="2130" spans="1:18" ht="29.85" customHeight="1" x14ac:dyDescent="0.45">
      <c r="A2130" s="30">
        <v>49</v>
      </c>
      <c r="B2130" s="30"/>
      <c r="C2130" s="30"/>
      <c r="D2130" s="30"/>
      <c r="E2130" s="30"/>
      <c r="F2130" s="30"/>
      <c r="G2130" s="30"/>
      <c r="H2130" s="30"/>
      <c r="I2130" s="30"/>
      <c r="J2130" s="30"/>
      <c r="K2130" s="30"/>
      <c r="L2130" s="30"/>
      <c r="M2130" s="30"/>
      <c r="N2130" s="30" t="str" cm="1">
        <f t="array" ref="N2130">Main_Log_Status(Main_Log[[#This Row],[Carrier]],Main_Log[[#This Row],[Net Weight]])</f>
        <v/>
      </c>
      <c r="O2130" s="30"/>
      <c r="P213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30" s="30"/>
      <c r="R2130" s="30" t="str" cm="1">
        <f t="array" ref="R2130">Main_Log_Ref(Main_Log[[#This Row],[Carrier]])</f>
        <v/>
      </c>
    </row>
    <row r="2131" spans="1:18" ht="29.85" customHeight="1" x14ac:dyDescent="0.45">
      <c r="A2131" s="30">
        <v>50</v>
      </c>
      <c r="B2131" s="30"/>
      <c r="C2131" s="30"/>
      <c r="D2131" s="30"/>
      <c r="E2131" s="30"/>
      <c r="F2131" s="30"/>
      <c r="G2131" s="30"/>
      <c r="H2131" s="30"/>
      <c r="I2131" s="30"/>
      <c r="J2131" s="30"/>
      <c r="K2131" s="30"/>
      <c r="L2131" s="30"/>
      <c r="M2131" s="30"/>
      <c r="N2131" s="30" t="str" cm="1">
        <f t="array" ref="N2131">Main_Log_Status(Main_Log[[#This Row],[Carrier]],Main_Log[[#This Row],[Net Weight]])</f>
        <v/>
      </c>
      <c r="O2131" s="30"/>
      <c r="P213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31" s="30"/>
      <c r="R2131" s="30" t="str" cm="1">
        <f t="array" ref="R2131">Main_Log_Ref(Main_Log[[#This Row],[Carrier]])</f>
        <v/>
      </c>
    </row>
    <row r="2132" spans="1:18" ht="29.85" customHeight="1" x14ac:dyDescent="0.45">
      <c r="A2132" s="30">
        <v>51</v>
      </c>
      <c r="B2132" s="30"/>
      <c r="C2132" s="30"/>
      <c r="D2132" s="30"/>
      <c r="E2132" s="30"/>
      <c r="F2132" s="30"/>
      <c r="G2132" s="30"/>
      <c r="H2132" s="30"/>
      <c r="I2132" s="30"/>
      <c r="J2132" s="30"/>
      <c r="K2132" s="30"/>
      <c r="L2132" s="30"/>
      <c r="M2132" s="30"/>
      <c r="N2132" s="30" t="str" cm="1">
        <f t="array" ref="N2132">Main_Log_Status(Main_Log[[#This Row],[Carrier]],Main_Log[[#This Row],[Net Weight]])</f>
        <v/>
      </c>
      <c r="O2132" s="30"/>
      <c r="P213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32" s="30"/>
      <c r="R2132" s="30" t="str" cm="1">
        <f t="array" ref="R2132">Main_Log_Ref(Main_Log[[#This Row],[Carrier]])</f>
        <v/>
      </c>
    </row>
    <row r="2133" spans="1:18" ht="29.85" customHeight="1" x14ac:dyDescent="0.45">
      <c r="A2133" s="30">
        <v>52</v>
      </c>
      <c r="B2133" s="30"/>
      <c r="C2133" s="30"/>
      <c r="D2133" s="30"/>
      <c r="E2133" s="30"/>
      <c r="F2133" s="30"/>
      <c r="G2133" s="30"/>
      <c r="H2133" s="30"/>
      <c r="I2133" s="30"/>
      <c r="J2133" s="30"/>
      <c r="K2133" s="30"/>
      <c r="L2133" s="30"/>
      <c r="M2133" s="30"/>
      <c r="N2133" s="30" t="str" cm="1">
        <f t="array" ref="N2133">Main_Log_Status(Main_Log[[#This Row],[Carrier]],Main_Log[[#This Row],[Net Weight]])</f>
        <v/>
      </c>
      <c r="O2133" s="30"/>
      <c r="P213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33" s="30"/>
      <c r="R2133" s="30" t="str" cm="1">
        <f t="array" ref="R2133">Main_Log_Ref(Main_Log[[#This Row],[Carrier]])</f>
        <v/>
      </c>
    </row>
    <row r="2134" spans="1:18" ht="29.85" customHeight="1" x14ac:dyDescent="0.45">
      <c r="A2134" s="30">
        <v>53</v>
      </c>
      <c r="B2134" s="30"/>
      <c r="C2134" s="30"/>
      <c r="D2134" s="30"/>
      <c r="E2134" s="30"/>
      <c r="F2134" s="30"/>
      <c r="G2134" s="30"/>
      <c r="H2134" s="30"/>
      <c r="I2134" s="30"/>
      <c r="J2134" s="30"/>
      <c r="K2134" s="30"/>
      <c r="L2134" s="30"/>
      <c r="M2134" s="30"/>
      <c r="N2134" s="30" t="str" cm="1">
        <f t="array" ref="N2134">Main_Log_Status(Main_Log[[#This Row],[Carrier]],Main_Log[[#This Row],[Net Weight]])</f>
        <v/>
      </c>
      <c r="O2134" s="30"/>
      <c r="P213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34" s="30"/>
      <c r="R2134" s="30" t="str" cm="1">
        <f t="array" ref="R2134">Main_Log_Ref(Main_Log[[#This Row],[Carrier]])</f>
        <v/>
      </c>
    </row>
    <row r="2135" spans="1:18" ht="29.85" customHeight="1" x14ac:dyDescent="0.45">
      <c r="A2135" s="30">
        <v>54</v>
      </c>
      <c r="B2135" s="30"/>
      <c r="C2135" s="30"/>
      <c r="D2135" s="30"/>
      <c r="E2135" s="30"/>
      <c r="F2135" s="30"/>
      <c r="G2135" s="30"/>
      <c r="H2135" s="30"/>
      <c r="I2135" s="30"/>
      <c r="J2135" s="30"/>
      <c r="K2135" s="30"/>
      <c r="L2135" s="30"/>
      <c r="M2135" s="30"/>
      <c r="N2135" s="30" t="str" cm="1">
        <f t="array" ref="N2135">Main_Log_Status(Main_Log[[#This Row],[Carrier]],Main_Log[[#This Row],[Net Weight]])</f>
        <v/>
      </c>
      <c r="O2135" s="30"/>
      <c r="P213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35" s="30"/>
      <c r="R2135" s="30" t="str" cm="1">
        <f t="array" ref="R2135">Main_Log_Ref(Main_Log[[#This Row],[Carrier]])</f>
        <v/>
      </c>
    </row>
    <row r="2136" spans="1:18" ht="29.85" customHeight="1" x14ac:dyDescent="0.45">
      <c r="A2136" s="30">
        <v>55</v>
      </c>
      <c r="B2136" s="30"/>
      <c r="C2136" s="30"/>
      <c r="D2136" s="30"/>
      <c r="E2136" s="30"/>
      <c r="F2136" s="30"/>
      <c r="G2136" s="30"/>
      <c r="H2136" s="30"/>
      <c r="I2136" s="30"/>
      <c r="J2136" s="30"/>
      <c r="K2136" s="30"/>
      <c r="L2136" s="30"/>
      <c r="M2136" s="30"/>
      <c r="N2136" s="30" t="str" cm="1">
        <f t="array" ref="N2136">Main_Log_Status(Main_Log[[#This Row],[Carrier]],Main_Log[[#This Row],[Net Weight]])</f>
        <v/>
      </c>
      <c r="O2136" s="30"/>
      <c r="P213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36" s="30"/>
      <c r="R2136" s="30" t="str" cm="1">
        <f t="array" ref="R2136">Main_Log_Ref(Main_Log[[#This Row],[Carrier]])</f>
        <v/>
      </c>
    </row>
    <row r="2137" spans="1:18" ht="29.85" customHeight="1" x14ac:dyDescent="0.45">
      <c r="A2137" s="30">
        <v>56</v>
      </c>
      <c r="B2137" s="30"/>
      <c r="C2137" s="30"/>
      <c r="D2137" s="30"/>
      <c r="E2137" s="30"/>
      <c r="F2137" s="30"/>
      <c r="G2137" s="30"/>
      <c r="H2137" s="30"/>
      <c r="I2137" s="30"/>
      <c r="J2137" s="30"/>
      <c r="K2137" s="30"/>
      <c r="L2137" s="30"/>
      <c r="M2137" s="30"/>
      <c r="N2137" s="30" t="str" cm="1">
        <f t="array" ref="N2137">Main_Log_Status(Main_Log[[#This Row],[Carrier]],Main_Log[[#This Row],[Net Weight]])</f>
        <v/>
      </c>
      <c r="O2137" s="30"/>
      <c r="P213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37" s="30"/>
      <c r="R2137" s="30" t="str" cm="1">
        <f t="array" ref="R2137">Main_Log_Ref(Main_Log[[#This Row],[Carrier]])</f>
        <v/>
      </c>
    </row>
    <row r="2138" spans="1:18" ht="29.85" customHeight="1" x14ac:dyDescent="0.45">
      <c r="A2138" s="30">
        <v>57</v>
      </c>
      <c r="B2138" s="30"/>
      <c r="C2138" s="30"/>
      <c r="D2138" s="30"/>
      <c r="E2138" s="30"/>
      <c r="F2138" s="30"/>
      <c r="G2138" s="30"/>
      <c r="H2138" s="30"/>
      <c r="I2138" s="30"/>
      <c r="J2138" s="30"/>
      <c r="K2138" s="30"/>
      <c r="L2138" s="30"/>
      <c r="M2138" s="30"/>
      <c r="N2138" s="30" t="str" cm="1">
        <f t="array" ref="N2138">Main_Log_Status(Main_Log[[#This Row],[Carrier]],Main_Log[[#This Row],[Net Weight]])</f>
        <v/>
      </c>
      <c r="O2138" s="30"/>
      <c r="P213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38" s="30"/>
      <c r="R2138" s="30" t="str" cm="1">
        <f t="array" ref="R2138">Main_Log_Ref(Main_Log[[#This Row],[Carrier]])</f>
        <v/>
      </c>
    </row>
    <row r="2139" spans="1:18" ht="29.85" customHeight="1" x14ac:dyDescent="0.45">
      <c r="A2139" s="30">
        <v>58</v>
      </c>
      <c r="B2139" s="30"/>
      <c r="C2139" s="30"/>
      <c r="D2139" s="30"/>
      <c r="E2139" s="30"/>
      <c r="F2139" s="30"/>
      <c r="G2139" s="30"/>
      <c r="H2139" s="30"/>
      <c r="I2139" s="30"/>
      <c r="J2139" s="30"/>
      <c r="K2139" s="30"/>
      <c r="L2139" s="30"/>
      <c r="M2139" s="30"/>
      <c r="N2139" s="30" t="str" cm="1">
        <f t="array" ref="N2139">Main_Log_Status(Main_Log[[#This Row],[Carrier]],Main_Log[[#This Row],[Net Weight]])</f>
        <v/>
      </c>
      <c r="O2139" s="30"/>
      <c r="P213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39" s="30"/>
      <c r="R2139" s="30" t="str" cm="1">
        <f t="array" ref="R2139">Main_Log_Ref(Main_Log[[#This Row],[Carrier]])</f>
        <v/>
      </c>
    </row>
    <row r="2140" spans="1:18" ht="29.85" customHeight="1" x14ac:dyDescent="0.45">
      <c r="A2140" s="30">
        <v>59</v>
      </c>
      <c r="B2140" s="30"/>
      <c r="C2140" s="30"/>
      <c r="D2140" s="30"/>
      <c r="E2140" s="30"/>
      <c r="F2140" s="30"/>
      <c r="G2140" s="30"/>
      <c r="H2140" s="30"/>
      <c r="I2140" s="30"/>
      <c r="J2140" s="30"/>
      <c r="K2140" s="30"/>
      <c r="L2140" s="30"/>
      <c r="M2140" s="30"/>
      <c r="N2140" s="30" t="str" cm="1">
        <f t="array" ref="N2140">Main_Log_Status(Main_Log[[#This Row],[Carrier]],Main_Log[[#This Row],[Net Weight]])</f>
        <v/>
      </c>
      <c r="O2140" s="30"/>
      <c r="P214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40" s="30"/>
      <c r="R2140" s="30" t="str" cm="1">
        <f t="array" ref="R2140">Main_Log_Ref(Main_Log[[#This Row],[Carrier]])</f>
        <v/>
      </c>
    </row>
    <row r="2141" spans="1:18" ht="29.85" customHeight="1" x14ac:dyDescent="0.45">
      <c r="A2141" s="30">
        <v>60</v>
      </c>
      <c r="B2141" s="30"/>
      <c r="C2141" s="30"/>
      <c r="D2141" s="30"/>
      <c r="E2141" s="30"/>
      <c r="F2141" s="30"/>
      <c r="G2141" s="30"/>
      <c r="H2141" s="30"/>
      <c r="I2141" s="30"/>
      <c r="J2141" s="30"/>
      <c r="K2141" s="30"/>
      <c r="L2141" s="30"/>
      <c r="M2141" s="30"/>
      <c r="N2141" s="30" t="str" cm="1">
        <f t="array" ref="N2141">Main_Log_Status(Main_Log[[#This Row],[Carrier]],Main_Log[[#This Row],[Net Weight]])</f>
        <v/>
      </c>
      <c r="O2141" s="30"/>
      <c r="P214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41" s="30"/>
      <c r="R2141" s="30" t="str" cm="1">
        <f t="array" ref="R2141">Main_Log_Ref(Main_Log[[#This Row],[Carrier]])</f>
        <v/>
      </c>
    </row>
    <row r="2142" spans="1:18" ht="29.85" customHeight="1" x14ac:dyDescent="0.45">
      <c r="A2142" s="30">
        <v>61</v>
      </c>
      <c r="B2142" s="30"/>
      <c r="C2142" s="30"/>
      <c r="D2142" s="30"/>
      <c r="E2142" s="30"/>
      <c r="F2142" s="30"/>
      <c r="G2142" s="30"/>
      <c r="H2142" s="30"/>
      <c r="I2142" s="30"/>
      <c r="J2142" s="30"/>
      <c r="K2142" s="30"/>
      <c r="L2142" s="30"/>
      <c r="M2142" s="30"/>
      <c r="N2142" s="30" t="str" cm="1">
        <f t="array" ref="N2142">Main_Log_Status(Main_Log[[#This Row],[Carrier]],Main_Log[[#This Row],[Net Weight]])</f>
        <v/>
      </c>
      <c r="O2142" s="30"/>
      <c r="P214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42" s="30"/>
      <c r="R2142" s="30" t="str" cm="1">
        <f t="array" ref="R2142">Main_Log_Ref(Main_Log[[#This Row],[Carrier]])</f>
        <v/>
      </c>
    </row>
    <row r="2143" spans="1:18" ht="29.85" customHeight="1" x14ac:dyDescent="0.45">
      <c r="A2143" s="30">
        <v>62</v>
      </c>
      <c r="B2143" s="30"/>
      <c r="C2143" s="30"/>
      <c r="D2143" s="30"/>
      <c r="E2143" s="30"/>
      <c r="F2143" s="30"/>
      <c r="G2143" s="30"/>
      <c r="H2143" s="30"/>
      <c r="I2143" s="30"/>
      <c r="J2143" s="30"/>
      <c r="K2143" s="30"/>
      <c r="L2143" s="30"/>
      <c r="M2143" s="30"/>
      <c r="N2143" s="30" t="str" cm="1">
        <f t="array" ref="N2143">Main_Log_Status(Main_Log[[#This Row],[Carrier]],Main_Log[[#This Row],[Net Weight]])</f>
        <v/>
      </c>
      <c r="O2143" s="30"/>
      <c r="P214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43" s="30"/>
      <c r="R2143" s="30" t="str" cm="1">
        <f t="array" ref="R2143">Main_Log_Ref(Main_Log[[#This Row],[Carrier]])</f>
        <v/>
      </c>
    </row>
    <row r="2144" spans="1:18" ht="29.85" customHeight="1" x14ac:dyDescent="0.45">
      <c r="A2144" s="30">
        <v>63</v>
      </c>
      <c r="B2144" s="30"/>
      <c r="C2144" s="30"/>
      <c r="D2144" s="30"/>
      <c r="E2144" s="30"/>
      <c r="F2144" s="30"/>
      <c r="G2144" s="30"/>
      <c r="H2144" s="30"/>
      <c r="I2144" s="30"/>
      <c r="J2144" s="30"/>
      <c r="K2144" s="30"/>
      <c r="L2144" s="30"/>
      <c r="M2144" s="30"/>
      <c r="N2144" s="30" t="str" cm="1">
        <f t="array" ref="N2144">Main_Log_Status(Main_Log[[#This Row],[Carrier]],Main_Log[[#This Row],[Net Weight]])</f>
        <v/>
      </c>
      <c r="O2144" s="30"/>
      <c r="P214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44" s="30"/>
      <c r="R2144" s="30" t="str" cm="1">
        <f t="array" ref="R2144">Main_Log_Ref(Main_Log[[#This Row],[Carrier]])</f>
        <v/>
      </c>
    </row>
    <row r="2145" spans="1:18" ht="29.85" customHeight="1" x14ac:dyDescent="0.45">
      <c r="A2145" s="30">
        <v>64</v>
      </c>
      <c r="B2145" s="30"/>
      <c r="C2145" s="30"/>
      <c r="D2145" s="30"/>
      <c r="E2145" s="30"/>
      <c r="F2145" s="30"/>
      <c r="G2145" s="30"/>
      <c r="H2145" s="30"/>
      <c r="I2145" s="30"/>
      <c r="J2145" s="30"/>
      <c r="K2145" s="30"/>
      <c r="L2145" s="30"/>
      <c r="M2145" s="30"/>
      <c r="N2145" s="30" t="str" cm="1">
        <f t="array" ref="N2145">Main_Log_Status(Main_Log[[#This Row],[Carrier]],Main_Log[[#This Row],[Net Weight]])</f>
        <v/>
      </c>
      <c r="O2145" s="30"/>
      <c r="P214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45" s="30"/>
      <c r="R2145" s="30" t="str" cm="1">
        <f t="array" ref="R2145">Main_Log_Ref(Main_Log[[#This Row],[Carrier]])</f>
        <v/>
      </c>
    </row>
    <row r="2146" spans="1:18" ht="29.85" customHeight="1" x14ac:dyDescent="0.45">
      <c r="A2146" s="30">
        <v>65</v>
      </c>
      <c r="B2146" s="30"/>
      <c r="C2146" s="30"/>
      <c r="D2146" s="30"/>
      <c r="E2146" s="30"/>
      <c r="F2146" s="30"/>
      <c r="G2146" s="30"/>
      <c r="H2146" s="30"/>
      <c r="I2146" s="30"/>
      <c r="J2146" s="30"/>
      <c r="K2146" s="30"/>
      <c r="L2146" s="30"/>
      <c r="M2146" s="30"/>
      <c r="N2146" s="30" t="str" cm="1">
        <f t="array" ref="N2146">Main_Log_Status(Main_Log[[#This Row],[Carrier]],Main_Log[[#This Row],[Net Weight]])</f>
        <v/>
      </c>
      <c r="O2146" s="30"/>
      <c r="P214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46" s="30"/>
      <c r="R2146" s="30" t="str" cm="1">
        <f t="array" ref="R2146">Main_Log_Ref(Main_Log[[#This Row],[Carrier]])</f>
        <v/>
      </c>
    </row>
    <row r="2147" spans="1:18" ht="29.85" customHeight="1" x14ac:dyDescent="0.45">
      <c r="A2147" s="30">
        <v>66</v>
      </c>
      <c r="B2147" s="30"/>
      <c r="C2147" s="30"/>
      <c r="D2147" s="30"/>
      <c r="E2147" s="30"/>
      <c r="F2147" s="30"/>
      <c r="G2147" s="30"/>
      <c r="H2147" s="30"/>
      <c r="I2147" s="30"/>
      <c r="J2147" s="30"/>
      <c r="K2147" s="30"/>
      <c r="L2147" s="30"/>
      <c r="M2147" s="30"/>
      <c r="N2147" s="30" t="str" cm="1">
        <f t="array" ref="N2147">Main_Log_Status(Main_Log[[#This Row],[Carrier]],Main_Log[[#This Row],[Net Weight]])</f>
        <v/>
      </c>
      <c r="O2147" s="30"/>
      <c r="P214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47" s="30"/>
      <c r="R2147" s="30" t="str" cm="1">
        <f t="array" ref="R2147">Main_Log_Ref(Main_Log[[#This Row],[Carrier]])</f>
        <v/>
      </c>
    </row>
    <row r="2148" spans="1:18" ht="29.85" customHeight="1" x14ac:dyDescent="0.45">
      <c r="A2148" s="30">
        <v>67</v>
      </c>
      <c r="B2148" s="30"/>
      <c r="C2148" s="30"/>
      <c r="D2148" s="30"/>
      <c r="E2148" s="30"/>
      <c r="F2148" s="30"/>
      <c r="G2148" s="30"/>
      <c r="H2148" s="30"/>
      <c r="I2148" s="30"/>
      <c r="J2148" s="30"/>
      <c r="K2148" s="30"/>
      <c r="L2148" s="30"/>
      <c r="M2148" s="30"/>
      <c r="N2148" s="30" t="str" cm="1">
        <f t="array" ref="N2148">Main_Log_Status(Main_Log[[#This Row],[Carrier]],Main_Log[[#This Row],[Net Weight]])</f>
        <v/>
      </c>
      <c r="O2148" s="30"/>
      <c r="P214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48" s="30"/>
      <c r="R2148" s="30" t="str" cm="1">
        <f t="array" ref="R2148">Main_Log_Ref(Main_Log[[#This Row],[Carrier]])</f>
        <v/>
      </c>
    </row>
    <row r="2149" spans="1:18" ht="29.85" customHeight="1" x14ac:dyDescent="0.45">
      <c r="A2149" s="30">
        <v>68</v>
      </c>
      <c r="B2149" s="30"/>
      <c r="C2149" s="30"/>
      <c r="D2149" s="30"/>
      <c r="E2149" s="30"/>
      <c r="F2149" s="30"/>
      <c r="G2149" s="30"/>
      <c r="H2149" s="30"/>
      <c r="I2149" s="30"/>
      <c r="J2149" s="30"/>
      <c r="K2149" s="30"/>
      <c r="L2149" s="30"/>
      <c r="M2149" s="30"/>
      <c r="N2149" s="30" t="str" cm="1">
        <f t="array" ref="N2149">Main_Log_Status(Main_Log[[#This Row],[Carrier]],Main_Log[[#This Row],[Net Weight]])</f>
        <v/>
      </c>
      <c r="O2149" s="30"/>
      <c r="P214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49" s="30"/>
      <c r="R2149" s="30" t="str" cm="1">
        <f t="array" ref="R2149">Main_Log_Ref(Main_Log[[#This Row],[Carrier]])</f>
        <v/>
      </c>
    </row>
    <row r="2150" spans="1:18" ht="29.85" customHeight="1" x14ac:dyDescent="0.45">
      <c r="A2150" s="30">
        <v>69</v>
      </c>
      <c r="B2150" s="30"/>
      <c r="C2150" s="30"/>
      <c r="D2150" s="30"/>
      <c r="E2150" s="30"/>
      <c r="F2150" s="30"/>
      <c r="G2150" s="30"/>
      <c r="H2150" s="30"/>
      <c r="I2150" s="30"/>
      <c r="J2150" s="30"/>
      <c r="K2150" s="30"/>
      <c r="L2150" s="30"/>
      <c r="M2150" s="30"/>
      <c r="N2150" s="30" t="str" cm="1">
        <f t="array" ref="N2150">Main_Log_Status(Main_Log[[#This Row],[Carrier]],Main_Log[[#This Row],[Net Weight]])</f>
        <v/>
      </c>
      <c r="O2150" s="30"/>
      <c r="P215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50" s="30"/>
      <c r="R2150" s="30" t="str" cm="1">
        <f t="array" ref="R2150">Main_Log_Ref(Main_Log[[#This Row],[Carrier]])</f>
        <v/>
      </c>
    </row>
    <row r="2151" spans="1:18" ht="29.85" customHeight="1" x14ac:dyDescent="0.45">
      <c r="A2151" s="30">
        <v>70</v>
      </c>
      <c r="B2151" s="30"/>
      <c r="C2151" s="30"/>
      <c r="D2151" s="30"/>
      <c r="E2151" s="30"/>
      <c r="F2151" s="30"/>
      <c r="G2151" s="30"/>
      <c r="H2151" s="30"/>
      <c r="I2151" s="30"/>
      <c r="J2151" s="30"/>
      <c r="K2151" s="30"/>
      <c r="L2151" s="30"/>
      <c r="M2151" s="30"/>
      <c r="N2151" s="30" t="str" cm="1">
        <f t="array" ref="N2151">Main_Log_Status(Main_Log[[#This Row],[Carrier]],Main_Log[[#This Row],[Net Weight]])</f>
        <v/>
      </c>
      <c r="O2151" s="30"/>
      <c r="P215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51" s="30"/>
      <c r="R2151" s="30" t="str" cm="1">
        <f t="array" ref="R2151">Main_Log_Ref(Main_Log[[#This Row],[Carrier]])</f>
        <v/>
      </c>
    </row>
    <row r="2152" spans="1:18" ht="29.85" customHeight="1" x14ac:dyDescent="0.45">
      <c r="A2152" s="30">
        <v>71</v>
      </c>
      <c r="B2152" s="30"/>
      <c r="C2152" s="30"/>
      <c r="D2152" s="30"/>
      <c r="E2152" s="30"/>
      <c r="F2152" s="30"/>
      <c r="G2152" s="30"/>
      <c r="H2152" s="30"/>
      <c r="I2152" s="30"/>
      <c r="J2152" s="30"/>
      <c r="K2152" s="30"/>
      <c r="L2152" s="30"/>
      <c r="M2152" s="30"/>
      <c r="N2152" s="30" t="str" cm="1">
        <f t="array" ref="N2152">Main_Log_Status(Main_Log[[#This Row],[Carrier]],Main_Log[[#This Row],[Net Weight]])</f>
        <v/>
      </c>
      <c r="O2152" s="30"/>
      <c r="P215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52" s="30"/>
      <c r="R2152" s="30" t="str" cm="1">
        <f t="array" ref="R2152">Main_Log_Ref(Main_Log[[#This Row],[Carrier]])</f>
        <v/>
      </c>
    </row>
    <row r="2153" spans="1:18" ht="29.85" customHeight="1" x14ac:dyDescent="0.45">
      <c r="A2153" s="30">
        <v>72</v>
      </c>
      <c r="B2153" s="30"/>
      <c r="C2153" s="30"/>
      <c r="D2153" s="30"/>
      <c r="E2153" s="30"/>
      <c r="F2153" s="30"/>
      <c r="G2153" s="30"/>
      <c r="H2153" s="30"/>
      <c r="I2153" s="30"/>
      <c r="J2153" s="30"/>
      <c r="K2153" s="30"/>
      <c r="L2153" s="30"/>
      <c r="M2153" s="30"/>
      <c r="N2153" s="30" t="str" cm="1">
        <f t="array" ref="N2153">Main_Log_Status(Main_Log[[#This Row],[Carrier]],Main_Log[[#This Row],[Net Weight]])</f>
        <v/>
      </c>
      <c r="O2153" s="30"/>
      <c r="P215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53" s="30"/>
      <c r="R2153" s="30" t="str" cm="1">
        <f t="array" ref="R2153">Main_Log_Ref(Main_Log[[#This Row],[Carrier]])</f>
        <v/>
      </c>
    </row>
    <row r="2154" spans="1:18" ht="29.85" customHeight="1" x14ac:dyDescent="0.45">
      <c r="A2154" s="30">
        <v>73</v>
      </c>
      <c r="B2154" s="30"/>
      <c r="C2154" s="30"/>
      <c r="D2154" s="30"/>
      <c r="E2154" s="30"/>
      <c r="F2154" s="30"/>
      <c r="G2154" s="30"/>
      <c r="H2154" s="30"/>
      <c r="I2154" s="30"/>
      <c r="J2154" s="30"/>
      <c r="K2154" s="30"/>
      <c r="L2154" s="30"/>
      <c r="M2154" s="30"/>
      <c r="N2154" s="30" t="str" cm="1">
        <f t="array" ref="N2154">Main_Log_Status(Main_Log[[#This Row],[Carrier]],Main_Log[[#This Row],[Net Weight]])</f>
        <v/>
      </c>
      <c r="O2154" s="30"/>
      <c r="P215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54" s="30"/>
      <c r="R2154" s="30" t="str" cm="1">
        <f t="array" ref="R2154">Main_Log_Ref(Main_Log[[#This Row],[Carrier]])</f>
        <v/>
      </c>
    </row>
    <row r="2155" spans="1:18" ht="29.85" customHeight="1" x14ac:dyDescent="0.45">
      <c r="A2155" s="30">
        <v>74</v>
      </c>
      <c r="B2155" s="30"/>
      <c r="C2155" s="30"/>
      <c r="D2155" s="30"/>
      <c r="E2155" s="30"/>
      <c r="F2155" s="30"/>
      <c r="G2155" s="30"/>
      <c r="H2155" s="30"/>
      <c r="I2155" s="30"/>
      <c r="J2155" s="30"/>
      <c r="K2155" s="30"/>
      <c r="L2155" s="30"/>
      <c r="M2155" s="30"/>
      <c r="N2155" s="30" t="str" cm="1">
        <f t="array" ref="N2155">Main_Log_Status(Main_Log[[#This Row],[Carrier]],Main_Log[[#This Row],[Net Weight]])</f>
        <v/>
      </c>
      <c r="O2155" s="30"/>
      <c r="P215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55" s="30"/>
      <c r="R2155" s="30" t="str" cm="1">
        <f t="array" ref="R2155">Main_Log_Ref(Main_Log[[#This Row],[Carrier]])</f>
        <v/>
      </c>
    </row>
    <row r="2156" spans="1:18" ht="29.85" customHeight="1" x14ac:dyDescent="0.45">
      <c r="A2156" s="30">
        <v>75</v>
      </c>
      <c r="B2156" s="30"/>
      <c r="C2156" s="30"/>
      <c r="D2156" s="30"/>
      <c r="E2156" s="30"/>
      <c r="F2156" s="30"/>
      <c r="G2156" s="30"/>
      <c r="H2156" s="30"/>
      <c r="I2156" s="30"/>
      <c r="J2156" s="30"/>
      <c r="K2156" s="30"/>
      <c r="L2156" s="30"/>
      <c r="M2156" s="30"/>
      <c r="N2156" s="30" t="str" cm="1">
        <f t="array" ref="N2156">Main_Log_Status(Main_Log[[#This Row],[Carrier]],Main_Log[[#This Row],[Net Weight]])</f>
        <v/>
      </c>
      <c r="O2156" s="30"/>
      <c r="P215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56" s="30"/>
      <c r="R2156" s="30" t="str" cm="1">
        <f t="array" ref="R2156">Main_Log_Ref(Main_Log[[#This Row],[Carrier]])</f>
        <v/>
      </c>
    </row>
    <row r="2157" spans="1:18" ht="29.85" customHeight="1" x14ac:dyDescent="0.45">
      <c r="A2157" s="30">
        <v>76</v>
      </c>
      <c r="B2157" s="30"/>
      <c r="C2157" s="30"/>
      <c r="D2157" s="30"/>
      <c r="E2157" s="30"/>
      <c r="F2157" s="30"/>
      <c r="G2157" s="30"/>
      <c r="H2157" s="30"/>
      <c r="I2157" s="30"/>
      <c r="J2157" s="30"/>
      <c r="K2157" s="30"/>
      <c r="L2157" s="30"/>
      <c r="M2157" s="30"/>
      <c r="N2157" s="30" t="str" cm="1">
        <f t="array" ref="N2157">Main_Log_Status(Main_Log[[#This Row],[Carrier]],Main_Log[[#This Row],[Net Weight]])</f>
        <v/>
      </c>
      <c r="O2157" s="30"/>
      <c r="P215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57" s="30"/>
      <c r="R2157" s="30" t="str" cm="1">
        <f t="array" ref="R2157">Main_Log_Ref(Main_Log[[#This Row],[Carrier]])</f>
        <v/>
      </c>
    </row>
    <row r="2158" spans="1:18" ht="29.85" customHeight="1" x14ac:dyDescent="0.45">
      <c r="A2158" s="30">
        <v>77</v>
      </c>
      <c r="B2158" s="30"/>
      <c r="C2158" s="30"/>
      <c r="D2158" s="30"/>
      <c r="E2158" s="30"/>
      <c r="F2158" s="30"/>
      <c r="G2158" s="30"/>
      <c r="H2158" s="30"/>
      <c r="I2158" s="30"/>
      <c r="J2158" s="30"/>
      <c r="K2158" s="30"/>
      <c r="L2158" s="30"/>
      <c r="M2158" s="30"/>
      <c r="N2158" s="30" t="str" cm="1">
        <f t="array" ref="N2158">Main_Log_Status(Main_Log[[#This Row],[Carrier]],Main_Log[[#This Row],[Net Weight]])</f>
        <v/>
      </c>
      <c r="O2158" s="30"/>
      <c r="P215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58" s="30"/>
      <c r="R2158" s="30" t="str" cm="1">
        <f t="array" ref="R2158">Main_Log_Ref(Main_Log[[#This Row],[Carrier]])</f>
        <v/>
      </c>
    </row>
    <row r="2159" spans="1:18" ht="29.85" customHeight="1" x14ac:dyDescent="0.45">
      <c r="A2159" s="30">
        <v>78</v>
      </c>
      <c r="B2159" s="30"/>
      <c r="C2159" s="30"/>
      <c r="D2159" s="30"/>
      <c r="E2159" s="30"/>
      <c r="F2159" s="30"/>
      <c r="G2159" s="30"/>
      <c r="H2159" s="30"/>
      <c r="I2159" s="30"/>
      <c r="J2159" s="30"/>
      <c r="K2159" s="30"/>
      <c r="L2159" s="30"/>
      <c r="M2159" s="30"/>
      <c r="N2159" s="30" t="str" cm="1">
        <f t="array" ref="N2159">Main_Log_Status(Main_Log[[#This Row],[Carrier]],Main_Log[[#This Row],[Net Weight]])</f>
        <v/>
      </c>
      <c r="O2159" s="30"/>
      <c r="P215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59" s="30"/>
      <c r="R2159" s="30" t="str" cm="1">
        <f t="array" ref="R2159">Main_Log_Ref(Main_Log[[#This Row],[Carrier]])</f>
        <v/>
      </c>
    </row>
    <row r="2160" spans="1:18" ht="29.85" customHeight="1" x14ac:dyDescent="0.45">
      <c r="A2160" s="30">
        <v>79</v>
      </c>
      <c r="B2160" s="30"/>
      <c r="C2160" s="30"/>
      <c r="D2160" s="30"/>
      <c r="E2160" s="30"/>
      <c r="F2160" s="30"/>
      <c r="G2160" s="30"/>
      <c r="H2160" s="30"/>
      <c r="I2160" s="30"/>
      <c r="J2160" s="30"/>
      <c r="K2160" s="30"/>
      <c r="L2160" s="30"/>
      <c r="M2160" s="30"/>
      <c r="N2160" s="30" t="str" cm="1">
        <f t="array" ref="N2160">Main_Log_Status(Main_Log[[#This Row],[Carrier]],Main_Log[[#This Row],[Net Weight]])</f>
        <v/>
      </c>
      <c r="O2160" s="30"/>
      <c r="P216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60" s="30"/>
      <c r="R2160" s="30" t="str" cm="1">
        <f t="array" ref="R2160">Main_Log_Ref(Main_Log[[#This Row],[Carrier]])</f>
        <v/>
      </c>
    </row>
    <row r="2161" spans="1:18" ht="29.85" customHeight="1" x14ac:dyDescent="0.45">
      <c r="A2161" s="30">
        <v>80</v>
      </c>
      <c r="B2161" s="30"/>
      <c r="C2161" s="30"/>
      <c r="D2161" s="30"/>
      <c r="E2161" s="30"/>
      <c r="F2161" s="30"/>
      <c r="G2161" s="30"/>
      <c r="H2161" s="30"/>
      <c r="I2161" s="30"/>
      <c r="J2161" s="30"/>
      <c r="K2161" s="30"/>
      <c r="L2161" s="30"/>
      <c r="M2161" s="30"/>
      <c r="N2161" s="30" t="str" cm="1">
        <f t="array" ref="N2161">Main_Log_Status(Main_Log[[#This Row],[Carrier]],Main_Log[[#This Row],[Net Weight]])</f>
        <v/>
      </c>
      <c r="O2161" s="30"/>
      <c r="P216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61" s="30"/>
      <c r="R2161" s="30" t="str" cm="1">
        <f t="array" ref="R2161">Main_Log_Ref(Main_Log[[#This Row],[Carrier]])</f>
        <v/>
      </c>
    </row>
    <row r="2162" spans="1:18" ht="29.85" customHeight="1" x14ac:dyDescent="0.45">
      <c r="A2162" s="30">
        <v>81</v>
      </c>
      <c r="B2162" s="30"/>
      <c r="C2162" s="30"/>
      <c r="D2162" s="30"/>
      <c r="E2162" s="30"/>
      <c r="F2162" s="30"/>
      <c r="G2162" s="30"/>
      <c r="H2162" s="30"/>
      <c r="I2162" s="30"/>
      <c r="J2162" s="30"/>
      <c r="K2162" s="30"/>
      <c r="L2162" s="30"/>
      <c r="M2162" s="30"/>
      <c r="N2162" s="30" t="str" cm="1">
        <f t="array" ref="N2162">Main_Log_Status(Main_Log[[#This Row],[Carrier]],Main_Log[[#This Row],[Net Weight]])</f>
        <v/>
      </c>
      <c r="O2162" s="30"/>
      <c r="P216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62" s="30"/>
      <c r="R2162" s="30" t="str" cm="1">
        <f t="array" ref="R2162">Main_Log_Ref(Main_Log[[#This Row],[Carrier]])</f>
        <v/>
      </c>
    </row>
    <row r="2163" spans="1:18" ht="29.85" customHeight="1" x14ac:dyDescent="0.45">
      <c r="A2163" s="30">
        <v>82</v>
      </c>
      <c r="B2163" s="30"/>
      <c r="C2163" s="30"/>
      <c r="D2163" s="30"/>
      <c r="E2163" s="30"/>
      <c r="F2163" s="30"/>
      <c r="G2163" s="30"/>
      <c r="H2163" s="30"/>
      <c r="I2163" s="30"/>
      <c r="J2163" s="30"/>
      <c r="K2163" s="30"/>
      <c r="L2163" s="30"/>
      <c r="M2163" s="30"/>
      <c r="N2163" s="30" t="str" cm="1">
        <f t="array" ref="N2163">Main_Log_Status(Main_Log[[#This Row],[Carrier]],Main_Log[[#This Row],[Net Weight]])</f>
        <v/>
      </c>
      <c r="O2163" s="30"/>
      <c r="P216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63" s="30"/>
      <c r="R2163" s="30" t="str" cm="1">
        <f t="array" ref="R2163">Main_Log_Ref(Main_Log[[#This Row],[Carrier]])</f>
        <v/>
      </c>
    </row>
    <row r="2164" spans="1:18" ht="29.85" customHeight="1" x14ac:dyDescent="0.45">
      <c r="A2164" s="30">
        <v>83</v>
      </c>
      <c r="B2164" s="30"/>
      <c r="C2164" s="30"/>
      <c r="D2164" s="30"/>
      <c r="E2164" s="30"/>
      <c r="F2164" s="30"/>
      <c r="G2164" s="30"/>
      <c r="H2164" s="30"/>
      <c r="I2164" s="30"/>
      <c r="J2164" s="30"/>
      <c r="K2164" s="30"/>
      <c r="L2164" s="30"/>
      <c r="M2164" s="30"/>
      <c r="N2164" s="30" t="str" cm="1">
        <f t="array" ref="N2164">Main_Log_Status(Main_Log[[#This Row],[Carrier]],Main_Log[[#This Row],[Net Weight]])</f>
        <v/>
      </c>
      <c r="O2164" s="30"/>
      <c r="P216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64" s="30"/>
      <c r="R2164" s="30" t="str" cm="1">
        <f t="array" ref="R2164">Main_Log_Ref(Main_Log[[#This Row],[Carrier]])</f>
        <v/>
      </c>
    </row>
    <row r="2165" spans="1:18" ht="29.85" customHeight="1" x14ac:dyDescent="0.45">
      <c r="A2165" s="30">
        <v>84</v>
      </c>
      <c r="B2165" s="30"/>
      <c r="C2165" s="30"/>
      <c r="D2165" s="30"/>
      <c r="E2165" s="30"/>
      <c r="F2165" s="30"/>
      <c r="G2165" s="30"/>
      <c r="H2165" s="30"/>
      <c r="I2165" s="30"/>
      <c r="J2165" s="30"/>
      <c r="K2165" s="30"/>
      <c r="L2165" s="30"/>
      <c r="M2165" s="30"/>
      <c r="N2165" s="30" t="str" cm="1">
        <f t="array" ref="N2165">Main_Log_Status(Main_Log[[#This Row],[Carrier]],Main_Log[[#This Row],[Net Weight]])</f>
        <v/>
      </c>
      <c r="O2165" s="30"/>
      <c r="P216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65" s="30"/>
      <c r="R2165" s="30" t="str" cm="1">
        <f t="array" ref="R2165">Main_Log_Ref(Main_Log[[#This Row],[Carrier]])</f>
        <v/>
      </c>
    </row>
    <row r="2166" spans="1:18" ht="29.85" customHeight="1" x14ac:dyDescent="0.45">
      <c r="A2166" s="30">
        <v>85</v>
      </c>
      <c r="B2166" s="30"/>
      <c r="C2166" s="30"/>
      <c r="D2166" s="30"/>
      <c r="E2166" s="30"/>
      <c r="F2166" s="30"/>
      <c r="G2166" s="30"/>
      <c r="H2166" s="30"/>
      <c r="I2166" s="30"/>
      <c r="J2166" s="30"/>
      <c r="K2166" s="30"/>
      <c r="L2166" s="30"/>
      <c r="M2166" s="30"/>
      <c r="N2166" s="30" t="str" cm="1">
        <f t="array" ref="N2166">Main_Log_Status(Main_Log[[#This Row],[Carrier]],Main_Log[[#This Row],[Net Weight]])</f>
        <v/>
      </c>
      <c r="O2166" s="30"/>
      <c r="P216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66" s="30"/>
      <c r="R2166" s="30" t="str" cm="1">
        <f t="array" ref="R2166">Main_Log_Ref(Main_Log[[#This Row],[Carrier]])</f>
        <v/>
      </c>
    </row>
    <row r="2167" spans="1:18" ht="29.85" customHeight="1" x14ac:dyDescent="0.45">
      <c r="A2167" s="30">
        <v>86</v>
      </c>
      <c r="B2167" s="30"/>
      <c r="C2167" s="30"/>
      <c r="D2167" s="30"/>
      <c r="E2167" s="30"/>
      <c r="F2167" s="30"/>
      <c r="G2167" s="30"/>
      <c r="H2167" s="30"/>
      <c r="I2167" s="30"/>
      <c r="J2167" s="30"/>
      <c r="K2167" s="30"/>
      <c r="L2167" s="30"/>
      <c r="M2167" s="30"/>
      <c r="N2167" s="30" t="str" cm="1">
        <f t="array" ref="N2167">Main_Log_Status(Main_Log[[#This Row],[Carrier]],Main_Log[[#This Row],[Net Weight]])</f>
        <v/>
      </c>
      <c r="O2167" s="30"/>
      <c r="P216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67" s="30"/>
      <c r="R2167" s="30" t="str" cm="1">
        <f t="array" ref="R2167">Main_Log_Ref(Main_Log[[#This Row],[Carrier]])</f>
        <v/>
      </c>
    </row>
    <row r="2168" spans="1:18" ht="29.85" customHeight="1" x14ac:dyDescent="0.45">
      <c r="A2168" s="30">
        <v>87</v>
      </c>
      <c r="B2168" s="30"/>
      <c r="C2168" s="30"/>
      <c r="D2168" s="30"/>
      <c r="E2168" s="30"/>
      <c r="F2168" s="30"/>
      <c r="G2168" s="30"/>
      <c r="H2168" s="30"/>
      <c r="I2168" s="30"/>
      <c r="J2168" s="30"/>
      <c r="K2168" s="30"/>
      <c r="L2168" s="30"/>
      <c r="M2168" s="30"/>
      <c r="N2168" s="30" t="str" cm="1">
        <f t="array" ref="N2168">Main_Log_Status(Main_Log[[#This Row],[Carrier]],Main_Log[[#This Row],[Net Weight]])</f>
        <v/>
      </c>
      <c r="O2168" s="30"/>
      <c r="P216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68" s="30"/>
      <c r="R2168" s="30" t="str" cm="1">
        <f t="array" ref="R2168">Main_Log_Ref(Main_Log[[#This Row],[Carrier]])</f>
        <v/>
      </c>
    </row>
    <row r="2169" spans="1:18" ht="29.85" customHeight="1" x14ac:dyDescent="0.45">
      <c r="A2169" s="30">
        <v>88</v>
      </c>
      <c r="B2169" s="30"/>
      <c r="C2169" s="30"/>
      <c r="D2169" s="30"/>
      <c r="E2169" s="30"/>
      <c r="F2169" s="30"/>
      <c r="G2169" s="30"/>
      <c r="H2169" s="30"/>
      <c r="I2169" s="30"/>
      <c r="J2169" s="30"/>
      <c r="K2169" s="30"/>
      <c r="L2169" s="30"/>
      <c r="M2169" s="30"/>
      <c r="N2169" s="30" t="str" cm="1">
        <f t="array" ref="N2169">Main_Log_Status(Main_Log[[#This Row],[Carrier]],Main_Log[[#This Row],[Net Weight]])</f>
        <v/>
      </c>
      <c r="O2169" s="30"/>
      <c r="P216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69" s="30"/>
      <c r="R2169" s="30" t="str" cm="1">
        <f t="array" ref="R2169">Main_Log_Ref(Main_Log[[#This Row],[Carrier]])</f>
        <v/>
      </c>
    </row>
    <row r="2170" spans="1:18" ht="29.85" customHeight="1" x14ac:dyDescent="0.45">
      <c r="A2170" s="30">
        <v>89</v>
      </c>
      <c r="B2170" s="30"/>
      <c r="C2170" s="30"/>
      <c r="D2170" s="30"/>
      <c r="E2170" s="30"/>
      <c r="F2170" s="30"/>
      <c r="G2170" s="30"/>
      <c r="H2170" s="30"/>
      <c r="I2170" s="30"/>
      <c r="J2170" s="30"/>
      <c r="K2170" s="30"/>
      <c r="L2170" s="30"/>
      <c r="M2170" s="30"/>
      <c r="N2170" s="30" t="str" cm="1">
        <f t="array" ref="N2170">Main_Log_Status(Main_Log[[#This Row],[Carrier]],Main_Log[[#This Row],[Net Weight]])</f>
        <v/>
      </c>
      <c r="O2170" s="30"/>
      <c r="P217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70" s="30"/>
      <c r="R2170" s="30" t="str" cm="1">
        <f t="array" ref="R2170">Main_Log_Ref(Main_Log[[#This Row],[Carrier]])</f>
        <v/>
      </c>
    </row>
    <row r="2171" spans="1:18" ht="29.85" customHeight="1" x14ac:dyDescent="0.45">
      <c r="A2171" s="30">
        <v>90</v>
      </c>
      <c r="B2171" s="30"/>
      <c r="C2171" s="30"/>
      <c r="D2171" s="30"/>
      <c r="E2171" s="30"/>
      <c r="F2171" s="30"/>
      <c r="G2171" s="30"/>
      <c r="H2171" s="30"/>
      <c r="I2171" s="30"/>
      <c r="J2171" s="30"/>
      <c r="K2171" s="30"/>
      <c r="L2171" s="30"/>
      <c r="M2171" s="30"/>
      <c r="N2171" s="30" t="str" cm="1">
        <f t="array" ref="N2171">Main_Log_Status(Main_Log[[#This Row],[Carrier]],Main_Log[[#This Row],[Net Weight]])</f>
        <v/>
      </c>
      <c r="O2171" s="30"/>
      <c r="P217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71" s="30"/>
      <c r="R2171" s="30" t="str" cm="1">
        <f t="array" ref="R2171">Main_Log_Ref(Main_Log[[#This Row],[Carrier]])</f>
        <v/>
      </c>
    </row>
    <row r="2172" spans="1:18" ht="29.85" customHeight="1" x14ac:dyDescent="0.45">
      <c r="A2172" s="30">
        <v>91</v>
      </c>
      <c r="B2172" s="30"/>
      <c r="C2172" s="30"/>
      <c r="D2172" s="30"/>
      <c r="E2172" s="30"/>
      <c r="F2172" s="30"/>
      <c r="G2172" s="30"/>
      <c r="H2172" s="30"/>
      <c r="I2172" s="30"/>
      <c r="J2172" s="30"/>
      <c r="K2172" s="30"/>
      <c r="L2172" s="30"/>
      <c r="M2172" s="30"/>
      <c r="N2172" s="30" t="str" cm="1">
        <f t="array" ref="N2172">Main_Log_Status(Main_Log[[#This Row],[Carrier]],Main_Log[[#This Row],[Net Weight]])</f>
        <v/>
      </c>
      <c r="O2172" s="30"/>
      <c r="P217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72" s="30"/>
      <c r="R2172" s="30" t="str" cm="1">
        <f t="array" ref="R2172">Main_Log_Ref(Main_Log[[#This Row],[Carrier]])</f>
        <v/>
      </c>
    </row>
    <row r="2173" spans="1:18" ht="29.85" customHeight="1" x14ac:dyDescent="0.45">
      <c r="A2173" s="30">
        <v>92</v>
      </c>
      <c r="B2173" s="30"/>
      <c r="C2173" s="30"/>
      <c r="D2173" s="30"/>
      <c r="E2173" s="30"/>
      <c r="F2173" s="30"/>
      <c r="G2173" s="30"/>
      <c r="H2173" s="30"/>
      <c r="I2173" s="30"/>
      <c r="J2173" s="30"/>
      <c r="K2173" s="30"/>
      <c r="L2173" s="30"/>
      <c r="M2173" s="30"/>
      <c r="N2173" s="30" t="str" cm="1">
        <f t="array" ref="N2173">Main_Log_Status(Main_Log[[#This Row],[Carrier]],Main_Log[[#This Row],[Net Weight]])</f>
        <v/>
      </c>
      <c r="O2173" s="30"/>
      <c r="P217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73" s="30"/>
      <c r="R2173" s="30" t="str" cm="1">
        <f t="array" ref="R2173">Main_Log_Ref(Main_Log[[#This Row],[Carrier]])</f>
        <v/>
      </c>
    </row>
    <row r="2174" spans="1:18" ht="29.85" customHeight="1" x14ac:dyDescent="0.45">
      <c r="A2174" s="30">
        <v>93</v>
      </c>
      <c r="B2174" s="30"/>
      <c r="C2174" s="30"/>
      <c r="D2174" s="30"/>
      <c r="E2174" s="30"/>
      <c r="F2174" s="30"/>
      <c r="G2174" s="30"/>
      <c r="H2174" s="30"/>
      <c r="I2174" s="30"/>
      <c r="J2174" s="30"/>
      <c r="K2174" s="30"/>
      <c r="L2174" s="30"/>
      <c r="M2174" s="30"/>
      <c r="N2174" s="30" t="str" cm="1">
        <f t="array" ref="N2174">Main_Log_Status(Main_Log[[#This Row],[Carrier]],Main_Log[[#This Row],[Net Weight]])</f>
        <v/>
      </c>
      <c r="O2174" s="30"/>
      <c r="P217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74" s="30"/>
      <c r="R2174" s="30" t="str" cm="1">
        <f t="array" ref="R2174">Main_Log_Ref(Main_Log[[#This Row],[Carrier]])</f>
        <v/>
      </c>
    </row>
    <row r="2175" spans="1:18" ht="29.85" customHeight="1" x14ac:dyDescent="0.45">
      <c r="A2175" s="30">
        <v>94</v>
      </c>
      <c r="B2175" s="30"/>
      <c r="C2175" s="30"/>
      <c r="D2175" s="30"/>
      <c r="E2175" s="30"/>
      <c r="F2175" s="30"/>
      <c r="G2175" s="30"/>
      <c r="H2175" s="30"/>
      <c r="I2175" s="30"/>
      <c r="J2175" s="30"/>
      <c r="K2175" s="30"/>
      <c r="L2175" s="30"/>
      <c r="M2175" s="30"/>
      <c r="N2175" s="30" t="str" cm="1">
        <f t="array" ref="N2175">Main_Log_Status(Main_Log[[#This Row],[Carrier]],Main_Log[[#This Row],[Net Weight]])</f>
        <v/>
      </c>
      <c r="O2175" s="30"/>
      <c r="P217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75" s="30"/>
      <c r="R2175" s="30" t="str" cm="1">
        <f t="array" ref="R2175">Main_Log_Ref(Main_Log[[#This Row],[Carrier]])</f>
        <v/>
      </c>
    </row>
    <row r="2176" spans="1:18" ht="29.85" customHeight="1" x14ac:dyDescent="0.45">
      <c r="A2176" s="30">
        <v>95</v>
      </c>
      <c r="B2176" s="30"/>
      <c r="C2176" s="30"/>
      <c r="D2176" s="30"/>
      <c r="E2176" s="30"/>
      <c r="F2176" s="30"/>
      <c r="G2176" s="30"/>
      <c r="H2176" s="30"/>
      <c r="I2176" s="30"/>
      <c r="J2176" s="30"/>
      <c r="K2176" s="30"/>
      <c r="L2176" s="30"/>
      <c r="M2176" s="30"/>
      <c r="N2176" s="30" t="str" cm="1">
        <f t="array" ref="N2176">Main_Log_Status(Main_Log[[#This Row],[Carrier]],Main_Log[[#This Row],[Net Weight]])</f>
        <v/>
      </c>
      <c r="O2176" s="30"/>
      <c r="P217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76" s="30"/>
      <c r="R2176" s="30" t="str" cm="1">
        <f t="array" ref="R2176">Main_Log_Ref(Main_Log[[#This Row],[Carrier]])</f>
        <v/>
      </c>
    </row>
    <row r="2177" spans="1:18" ht="29.85" customHeight="1" x14ac:dyDescent="0.45">
      <c r="A2177" s="30">
        <v>96</v>
      </c>
      <c r="B2177" s="30"/>
      <c r="C2177" s="30"/>
      <c r="D2177" s="30"/>
      <c r="E2177" s="30"/>
      <c r="F2177" s="30"/>
      <c r="G2177" s="30"/>
      <c r="H2177" s="30"/>
      <c r="I2177" s="30"/>
      <c r="J2177" s="30"/>
      <c r="K2177" s="30"/>
      <c r="L2177" s="30"/>
      <c r="M2177" s="30"/>
      <c r="N2177" s="30" t="str" cm="1">
        <f t="array" ref="N2177">Main_Log_Status(Main_Log[[#This Row],[Carrier]],Main_Log[[#This Row],[Net Weight]])</f>
        <v/>
      </c>
      <c r="O2177" s="30"/>
      <c r="P217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77" s="30"/>
      <c r="R2177" s="30" t="str" cm="1">
        <f t="array" ref="R2177">Main_Log_Ref(Main_Log[[#This Row],[Carrier]])</f>
        <v/>
      </c>
    </row>
    <row r="2178" spans="1:18" ht="29.85" customHeight="1" x14ac:dyDescent="0.45">
      <c r="A2178" s="30">
        <v>97</v>
      </c>
      <c r="B2178" s="30"/>
      <c r="C2178" s="30"/>
      <c r="D2178" s="30"/>
      <c r="E2178" s="30"/>
      <c r="F2178" s="30"/>
      <c r="G2178" s="30"/>
      <c r="H2178" s="30"/>
      <c r="I2178" s="30"/>
      <c r="J2178" s="30"/>
      <c r="K2178" s="30"/>
      <c r="L2178" s="30"/>
      <c r="M2178" s="30"/>
      <c r="N2178" s="30" t="str" cm="1">
        <f t="array" ref="N2178">Main_Log_Status(Main_Log[[#This Row],[Carrier]],Main_Log[[#This Row],[Net Weight]])</f>
        <v/>
      </c>
      <c r="O2178" s="30"/>
      <c r="P217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78" s="30"/>
      <c r="R2178" s="30" t="str" cm="1">
        <f t="array" ref="R2178">Main_Log_Ref(Main_Log[[#This Row],[Carrier]])</f>
        <v/>
      </c>
    </row>
    <row r="2179" spans="1:18" ht="29.85" customHeight="1" x14ac:dyDescent="0.45">
      <c r="A2179" s="30">
        <v>98</v>
      </c>
      <c r="B2179" s="30"/>
      <c r="C2179" s="30"/>
      <c r="D2179" s="30"/>
      <c r="E2179" s="30"/>
      <c r="F2179" s="30"/>
      <c r="G2179" s="30"/>
      <c r="H2179" s="30"/>
      <c r="I2179" s="30"/>
      <c r="J2179" s="30"/>
      <c r="K2179" s="30"/>
      <c r="L2179" s="30"/>
      <c r="M2179" s="30"/>
      <c r="N2179" s="30" t="str" cm="1">
        <f t="array" ref="N2179">Main_Log_Status(Main_Log[[#This Row],[Carrier]],Main_Log[[#This Row],[Net Weight]])</f>
        <v/>
      </c>
      <c r="O2179" s="30"/>
      <c r="P217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79" s="30"/>
      <c r="R2179" s="30" t="str" cm="1">
        <f t="array" ref="R2179">Main_Log_Ref(Main_Log[[#This Row],[Carrier]])</f>
        <v/>
      </c>
    </row>
    <row r="2180" spans="1:18" ht="29.85" customHeight="1" x14ac:dyDescent="0.45">
      <c r="A2180" s="30">
        <v>99</v>
      </c>
      <c r="B2180" s="30"/>
      <c r="C2180" s="30"/>
      <c r="D2180" s="30"/>
      <c r="E2180" s="30"/>
      <c r="F2180" s="30"/>
      <c r="G2180" s="30"/>
      <c r="H2180" s="30"/>
      <c r="I2180" s="30"/>
      <c r="J2180" s="30"/>
      <c r="K2180" s="30"/>
      <c r="L2180" s="30"/>
      <c r="M2180" s="30"/>
      <c r="N2180" s="30" t="str" cm="1">
        <f t="array" ref="N2180">Main_Log_Status(Main_Log[[#This Row],[Carrier]],Main_Log[[#This Row],[Net Weight]])</f>
        <v/>
      </c>
      <c r="O2180" s="30"/>
      <c r="P218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80" s="30"/>
      <c r="R2180" s="30" t="str" cm="1">
        <f t="array" ref="R2180">Main_Log_Ref(Main_Log[[#This Row],[Carrier]])</f>
        <v/>
      </c>
    </row>
    <row r="2181" spans="1:18" ht="29.85" customHeight="1" x14ac:dyDescent="0.45">
      <c r="A2181" s="30">
        <v>1</v>
      </c>
      <c r="B2181" s="30"/>
      <c r="C2181" s="30"/>
      <c r="D2181" s="30"/>
      <c r="E2181" s="30"/>
      <c r="F2181" s="30"/>
      <c r="G2181" s="30"/>
      <c r="H2181" s="30"/>
      <c r="I2181" s="30"/>
      <c r="J2181" s="30"/>
      <c r="K2181" s="30"/>
      <c r="L2181" s="30"/>
      <c r="M2181" s="30"/>
      <c r="N2181" s="30" t="str" cm="1">
        <f t="array" ref="N2181">Main_Log_Status(Main_Log[[#This Row],[Carrier]],Main_Log[[#This Row],[Net Weight]])</f>
        <v/>
      </c>
      <c r="O2181" s="30"/>
      <c r="P218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81" s="30"/>
      <c r="R2181" s="30" t="str" cm="1">
        <f t="array" ref="R2181">Main_Log_Ref(Main_Log[[#This Row],[Carrier]])</f>
        <v/>
      </c>
    </row>
    <row r="2182" spans="1:18" ht="29.85" customHeight="1" x14ac:dyDescent="0.45">
      <c r="A2182" s="30">
        <v>2</v>
      </c>
      <c r="B2182" s="30"/>
      <c r="C2182" s="30"/>
      <c r="D2182" s="30"/>
      <c r="E2182" s="30"/>
      <c r="F2182" s="30"/>
      <c r="G2182" s="30"/>
      <c r="H2182" s="30"/>
      <c r="I2182" s="30"/>
      <c r="J2182" s="30"/>
      <c r="K2182" s="30"/>
      <c r="L2182" s="30"/>
      <c r="M2182" s="30"/>
      <c r="N2182" s="30" t="str" cm="1">
        <f t="array" ref="N2182">Main_Log_Status(Main_Log[[#This Row],[Carrier]],Main_Log[[#This Row],[Net Weight]])</f>
        <v/>
      </c>
      <c r="O2182" s="30"/>
      <c r="P218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82" s="30"/>
      <c r="R2182" s="30" t="str" cm="1">
        <f t="array" ref="R2182">Main_Log_Ref(Main_Log[[#This Row],[Carrier]])</f>
        <v/>
      </c>
    </row>
    <row r="2183" spans="1:18" ht="29.85" customHeight="1" x14ac:dyDescent="0.45">
      <c r="A2183" s="30">
        <v>3</v>
      </c>
      <c r="B2183" s="30"/>
      <c r="C2183" s="30"/>
      <c r="D2183" s="30"/>
      <c r="E2183" s="30"/>
      <c r="F2183" s="30"/>
      <c r="G2183" s="30"/>
      <c r="H2183" s="30"/>
      <c r="I2183" s="30"/>
      <c r="J2183" s="30"/>
      <c r="K2183" s="30"/>
      <c r="L2183" s="30"/>
      <c r="M2183" s="30"/>
      <c r="N2183" s="30" t="str" cm="1">
        <f t="array" ref="N2183">Main_Log_Status(Main_Log[[#This Row],[Carrier]],Main_Log[[#This Row],[Net Weight]])</f>
        <v/>
      </c>
      <c r="O2183" s="30"/>
      <c r="P218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83" s="30"/>
      <c r="R2183" s="30" t="str" cm="1">
        <f t="array" ref="R2183">Main_Log_Ref(Main_Log[[#This Row],[Carrier]])</f>
        <v/>
      </c>
    </row>
    <row r="2184" spans="1:18" ht="29.85" customHeight="1" x14ac:dyDescent="0.45">
      <c r="A2184" s="30">
        <v>4</v>
      </c>
      <c r="B2184" s="30"/>
      <c r="C2184" s="30"/>
      <c r="D2184" s="30"/>
      <c r="E2184" s="30"/>
      <c r="F2184" s="30"/>
      <c r="G2184" s="30"/>
      <c r="H2184" s="30"/>
      <c r="I2184" s="30"/>
      <c r="J2184" s="30"/>
      <c r="K2184" s="30"/>
      <c r="L2184" s="30"/>
      <c r="M2184" s="30"/>
      <c r="N2184" s="30" t="str" cm="1">
        <f t="array" ref="N2184">Main_Log_Status(Main_Log[[#This Row],[Carrier]],Main_Log[[#This Row],[Net Weight]])</f>
        <v/>
      </c>
      <c r="O2184" s="30"/>
      <c r="P218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84" s="30"/>
      <c r="R2184" s="30" t="str" cm="1">
        <f t="array" ref="R2184">Main_Log_Ref(Main_Log[[#This Row],[Carrier]])</f>
        <v/>
      </c>
    </row>
    <row r="2185" spans="1:18" ht="29.85" customHeight="1" x14ac:dyDescent="0.45">
      <c r="A2185" s="30">
        <v>5</v>
      </c>
      <c r="B2185" s="30"/>
      <c r="C2185" s="30"/>
      <c r="D2185" s="30"/>
      <c r="E2185" s="30"/>
      <c r="F2185" s="30"/>
      <c r="G2185" s="30"/>
      <c r="H2185" s="30"/>
      <c r="I2185" s="30"/>
      <c r="J2185" s="30"/>
      <c r="K2185" s="30"/>
      <c r="L2185" s="30"/>
      <c r="M2185" s="30"/>
      <c r="N2185" s="30" t="str" cm="1">
        <f t="array" ref="N2185">Main_Log_Status(Main_Log[[#This Row],[Carrier]],Main_Log[[#This Row],[Net Weight]])</f>
        <v/>
      </c>
      <c r="O2185" s="30"/>
      <c r="P218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85" s="30"/>
      <c r="R2185" s="30" t="str" cm="1">
        <f t="array" ref="R2185">Main_Log_Ref(Main_Log[[#This Row],[Carrier]])</f>
        <v/>
      </c>
    </row>
    <row r="2186" spans="1:18" ht="29.85" customHeight="1" x14ac:dyDescent="0.45">
      <c r="A2186" s="30">
        <v>6</v>
      </c>
      <c r="B2186" s="30"/>
      <c r="C2186" s="30"/>
      <c r="D2186" s="30"/>
      <c r="E2186" s="30"/>
      <c r="F2186" s="30"/>
      <c r="G2186" s="30"/>
      <c r="H2186" s="30"/>
      <c r="I2186" s="30"/>
      <c r="J2186" s="30"/>
      <c r="K2186" s="30"/>
      <c r="L2186" s="30"/>
      <c r="M2186" s="30"/>
      <c r="N2186" s="30" t="str" cm="1">
        <f t="array" ref="N2186">Main_Log_Status(Main_Log[[#This Row],[Carrier]],Main_Log[[#This Row],[Net Weight]])</f>
        <v/>
      </c>
      <c r="O2186" s="30"/>
      <c r="P218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86" s="30"/>
      <c r="R2186" s="30" t="str" cm="1">
        <f t="array" ref="R2186">Main_Log_Ref(Main_Log[[#This Row],[Carrier]])</f>
        <v/>
      </c>
    </row>
    <row r="2187" spans="1:18" ht="29.85" customHeight="1" x14ac:dyDescent="0.45">
      <c r="A2187" s="30">
        <v>7</v>
      </c>
      <c r="B2187" s="30"/>
      <c r="C2187" s="30"/>
      <c r="D2187" s="30"/>
      <c r="E2187" s="30"/>
      <c r="F2187" s="30"/>
      <c r="G2187" s="30"/>
      <c r="H2187" s="30"/>
      <c r="I2187" s="30"/>
      <c r="J2187" s="30"/>
      <c r="K2187" s="30"/>
      <c r="L2187" s="30"/>
      <c r="M2187" s="30"/>
      <c r="N2187" s="30" t="str" cm="1">
        <f t="array" ref="N2187">Main_Log_Status(Main_Log[[#This Row],[Carrier]],Main_Log[[#This Row],[Net Weight]])</f>
        <v/>
      </c>
      <c r="O2187" s="30"/>
      <c r="P218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87" s="30"/>
      <c r="R2187" s="30" t="str" cm="1">
        <f t="array" ref="R2187">Main_Log_Ref(Main_Log[[#This Row],[Carrier]])</f>
        <v/>
      </c>
    </row>
    <row r="2188" spans="1:18" ht="29.85" customHeight="1" x14ac:dyDescent="0.45">
      <c r="A2188" s="30">
        <v>8</v>
      </c>
      <c r="B2188" s="30"/>
      <c r="C2188" s="30"/>
      <c r="D2188" s="30"/>
      <c r="E2188" s="30"/>
      <c r="F2188" s="30"/>
      <c r="G2188" s="30"/>
      <c r="H2188" s="30"/>
      <c r="I2188" s="30"/>
      <c r="J2188" s="30"/>
      <c r="K2188" s="30"/>
      <c r="L2188" s="30"/>
      <c r="M2188" s="30"/>
      <c r="N2188" s="30" t="str" cm="1">
        <f t="array" ref="N2188">Main_Log_Status(Main_Log[[#This Row],[Carrier]],Main_Log[[#This Row],[Net Weight]])</f>
        <v/>
      </c>
      <c r="O2188" s="30"/>
      <c r="P218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88" s="30"/>
      <c r="R2188" s="30" t="str" cm="1">
        <f t="array" ref="R2188">Main_Log_Ref(Main_Log[[#This Row],[Carrier]])</f>
        <v/>
      </c>
    </row>
    <row r="2189" spans="1:18" ht="29.85" customHeight="1" x14ac:dyDescent="0.45">
      <c r="A2189" s="30">
        <v>9</v>
      </c>
      <c r="B2189" s="30"/>
      <c r="C2189" s="30"/>
      <c r="D2189" s="30"/>
      <c r="E2189" s="30"/>
      <c r="F2189" s="30"/>
      <c r="G2189" s="30"/>
      <c r="H2189" s="30"/>
      <c r="I2189" s="30"/>
      <c r="J2189" s="30"/>
      <c r="K2189" s="30"/>
      <c r="L2189" s="30"/>
      <c r="M2189" s="30"/>
      <c r="N2189" s="30" t="str" cm="1">
        <f t="array" ref="N2189">Main_Log_Status(Main_Log[[#This Row],[Carrier]],Main_Log[[#This Row],[Net Weight]])</f>
        <v/>
      </c>
      <c r="O2189" s="30"/>
      <c r="P218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89" s="30"/>
      <c r="R2189" s="30" t="str" cm="1">
        <f t="array" ref="R2189">Main_Log_Ref(Main_Log[[#This Row],[Carrier]])</f>
        <v/>
      </c>
    </row>
    <row r="2190" spans="1:18" ht="29.85" customHeight="1" x14ac:dyDescent="0.45">
      <c r="A2190" s="30">
        <v>10</v>
      </c>
      <c r="B2190" s="30"/>
      <c r="C2190" s="30"/>
      <c r="D2190" s="30"/>
      <c r="E2190" s="30"/>
      <c r="F2190" s="30"/>
      <c r="G2190" s="30"/>
      <c r="H2190" s="30"/>
      <c r="I2190" s="30"/>
      <c r="J2190" s="30"/>
      <c r="K2190" s="30"/>
      <c r="L2190" s="30"/>
      <c r="M2190" s="30"/>
      <c r="N2190" s="30" t="str" cm="1">
        <f t="array" ref="N2190">Main_Log_Status(Main_Log[[#This Row],[Carrier]],Main_Log[[#This Row],[Net Weight]])</f>
        <v/>
      </c>
      <c r="O2190" s="30"/>
      <c r="P219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90" s="30"/>
      <c r="R2190" s="30" t="str" cm="1">
        <f t="array" ref="R2190">Main_Log_Ref(Main_Log[[#This Row],[Carrier]])</f>
        <v/>
      </c>
    </row>
    <row r="2191" spans="1:18" ht="29.85" customHeight="1" x14ac:dyDescent="0.45">
      <c r="A2191" s="30">
        <v>11</v>
      </c>
      <c r="B2191" s="30"/>
      <c r="C2191" s="30"/>
      <c r="D2191" s="30"/>
      <c r="E2191" s="30"/>
      <c r="F2191" s="30"/>
      <c r="G2191" s="30"/>
      <c r="H2191" s="30"/>
      <c r="I2191" s="30"/>
      <c r="J2191" s="30"/>
      <c r="K2191" s="30"/>
      <c r="L2191" s="30"/>
      <c r="M2191" s="30"/>
      <c r="N2191" s="30" t="str" cm="1">
        <f t="array" ref="N2191">Main_Log_Status(Main_Log[[#This Row],[Carrier]],Main_Log[[#This Row],[Net Weight]])</f>
        <v/>
      </c>
      <c r="O2191" s="30"/>
      <c r="P219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91" s="30"/>
      <c r="R2191" s="30" t="str" cm="1">
        <f t="array" ref="R2191">Main_Log_Ref(Main_Log[[#This Row],[Carrier]])</f>
        <v/>
      </c>
    </row>
    <row r="2192" spans="1:18" ht="29.85" customHeight="1" x14ac:dyDescent="0.45">
      <c r="A2192" s="30">
        <v>12</v>
      </c>
      <c r="B2192" s="30"/>
      <c r="C2192" s="30"/>
      <c r="D2192" s="30"/>
      <c r="E2192" s="30"/>
      <c r="F2192" s="30"/>
      <c r="G2192" s="30"/>
      <c r="H2192" s="30"/>
      <c r="I2192" s="30"/>
      <c r="J2192" s="30"/>
      <c r="K2192" s="30"/>
      <c r="L2192" s="30"/>
      <c r="M2192" s="30"/>
      <c r="N2192" s="30" t="str" cm="1">
        <f t="array" ref="N2192">Main_Log_Status(Main_Log[[#This Row],[Carrier]],Main_Log[[#This Row],[Net Weight]])</f>
        <v/>
      </c>
      <c r="O2192" s="30"/>
      <c r="P219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92" s="30"/>
      <c r="R2192" s="30" t="str" cm="1">
        <f t="array" ref="R2192">Main_Log_Ref(Main_Log[[#This Row],[Carrier]])</f>
        <v/>
      </c>
    </row>
    <row r="2193" spans="1:18" ht="29.85" customHeight="1" x14ac:dyDescent="0.45">
      <c r="A2193" s="30">
        <v>13</v>
      </c>
      <c r="B2193" s="30"/>
      <c r="C2193" s="30"/>
      <c r="D2193" s="30"/>
      <c r="E2193" s="30"/>
      <c r="F2193" s="30"/>
      <c r="G2193" s="30"/>
      <c r="H2193" s="30"/>
      <c r="I2193" s="30"/>
      <c r="J2193" s="30"/>
      <c r="K2193" s="30"/>
      <c r="L2193" s="30"/>
      <c r="M2193" s="30"/>
      <c r="N2193" s="30" t="str" cm="1">
        <f t="array" ref="N2193">Main_Log_Status(Main_Log[[#This Row],[Carrier]],Main_Log[[#This Row],[Net Weight]])</f>
        <v/>
      </c>
      <c r="O2193" s="30"/>
      <c r="P219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93" s="30"/>
      <c r="R2193" s="30" t="str" cm="1">
        <f t="array" ref="R2193">Main_Log_Ref(Main_Log[[#This Row],[Carrier]])</f>
        <v/>
      </c>
    </row>
    <row r="2194" spans="1:18" ht="29.85" customHeight="1" x14ac:dyDescent="0.45">
      <c r="A2194" s="30">
        <v>14</v>
      </c>
      <c r="B2194" s="30"/>
      <c r="C2194" s="30"/>
      <c r="D2194" s="30"/>
      <c r="E2194" s="30"/>
      <c r="F2194" s="30"/>
      <c r="G2194" s="30"/>
      <c r="H2194" s="30"/>
      <c r="I2194" s="30"/>
      <c r="J2194" s="30"/>
      <c r="K2194" s="30"/>
      <c r="L2194" s="30"/>
      <c r="M2194" s="30"/>
      <c r="N2194" s="30" t="str" cm="1">
        <f t="array" ref="N2194">Main_Log_Status(Main_Log[[#This Row],[Carrier]],Main_Log[[#This Row],[Net Weight]])</f>
        <v/>
      </c>
      <c r="O2194" s="30"/>
      <c r="P219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94" s="30"/>
      <c r="R2194" s="30" t="str" cm="1">
        <f t="array" ref="R2194">Main_Log_Ref(Main_Log[[#This Row],[Carrier]])</f>
        <v/>
      </c>
    </row>
    <row r="2195" spans="1:18" ht="29.85" customHeight="1" x14ac:dyDescent="0.45">
      <c r="A2195" s="30">
        <v>15</v>
      </c>
      <c r="B2195" s="30"/>
      <c r="C2195" s="30"/>
      <c r="D2195" s="30"/>
      <c r="E2195" s="30"/>
      <c r="F2195" s="30"/>
      <c r="G2195" s="30"/>
      <c r="H2195" s="30"/>
      <c r="I2195" s="30"/>
      <c r="J2195" s="30"/>
      <c r="K2195" s="30"/>
      <c r="L2195" s="30"/>
      <c r="M2195" s="30"/>
      <c r="N2195" s="30" t="str" cm="1">
        <f t="array" ref="N2195">Main_Log_Status(Main_Log[[#This Row],[Carrier]],Main_Log[[#This Row],[Net Weight]])</f>
        <v/>
      </c>
      <c r="O2195" s="30"/>
      <c r="P219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95" s="30"/>
      <c r="R2195" s="30" t="str" cm="1">
        <f t="array" ref="R2195">Main_Log_Ref(Main_Log[[#This Row],[Carrier]])</f>
        <v/>
      </c>
    </row>
    <row r="2196" spans="1:18" ht="29.85" customHeight="1" x14ac:dyDescent="0.45">
      <c r="A2196" s="30">
        <v>16</v>
      </c>
      <c r="B2196" s="30"/>
      <c r="C2196" s="30"/>
      <c r="D2196" s="30"/>
      <c r="E2196" s="30"/>
      <c r="F2196" s="30"/>
      <c r="G2196" s="30"/>
      <c r="H2196" s="30"/>
      <c r="I2196" s="30"/>
      <c r="J2196" s="30"/>
      <c r="K2196" s="30"/>
      <c r="L2196" s="30"/>
      <c r="M2196" s="30"/>
      <c r="N2196" s="30" t="str" cm="1">
        <f t="array" ref="N2196">Main_Log_Status(Main_Log[[#This Row],[Carrier]],Main_Log[[#This Row],[Net Weight]])</f>
        <v/>
      </c>
      <c r="O2196" s="30"/>
      <c r="P219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96" s="30"/>
      <c r="R2196" s="30" t="str" cm="1">
        <f t="array" ref="R2196">Main_Log_Ref(Main_Log[[#This Row],[Carrier]])</f>
        <v/>
      </c>
    </row>
    <row r="2197" spans="1:18" ht="29.85" customHeight="1" x14ac:dyDescent="0.45">
      <c r="A2197" s="30">
        <v>17</v>
      </c>
      <c r="B2197" s="30"/>
      <c r="C2197" s="30"/>
      <c r="D2197" s="30"/>
      <c r="E2197" s="30"/>
      <c r="F2197" s="30"/>
      <c r="G2197" s="30"/>
      <c r="H2197" s="30"/>
      <c r="I2197" s="30"/>
      <c r="J2197" s="30"/>
      <c r="K2197" s="30"/>
      <c r="L2197" s="30"/>
      <c r="M2197" s="30"/>
      <c r="N2197" s="30" t="str" cm="1">
        <f t="array" ref="N2197">Main_Log_Status(Main_Log[[#This Row],[Carrier]],Main_Log[[#This Row],[Net Weight]])</f>
        <v/>
      </c>
      <c r="O2197" s="30"/>
      <c r="P219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97" s="30"/>
      <c r="R2197" s="30" t="str" cm="1">
        <f t="array" ref="R2197">Main_Log_Ref(Main_Log[[#This Row],[Carrier]])</f>
        <v/>
      </c>
    </row>
    <row r="2198" spans="1:18" ht="29.85" customHeight="1" x14ac:dyDescent="0.45">
      <c r="A2198" s="30">
        <v>18</v>
      </c>
      <c r="B2198" s="30"/>
      <c r="C2198" s="30"/>
      <c r="D2198" s="30"/>
      <c r="E2198" s="30"/>
      <c r="F2198" s="30"/>
      <c r="G2198" s="30"/>
      <c r="H2198" s="30"/>
      <c r="I2198" s="30"/>
      <c r="J2198" s="30"/>
      <c r="K2198" s="30"/>
      <c r="L2198" s="30"/>
      <c r="M2198" s="30"/>
      <c r="N2198" s="30" t="str" cm="1">
        <f t="array" ref="N2198">Main_Log_Status(Main_Log[[#This Row],[Carrier]],Main_Log[[#This Row],[Net Weight]])</f>
        <v/>
      </c>
      <c r="O2198" s="30"/>
      <c r="P219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98" s="30"/>
      <c r="R2198" s="30" t="str" cm="1">
        <f t="array" ref="R2198">Main_Log_Ref(Main_Log[[#This Row],[Carrier]])</f>
        <v/>
      </c>
    </row>
    <row r="2199" spans="1:18" ht="29.85" customHeight="1" x14ac:dyDescent="0.45">
      <c r="A2199" s="30">
        <v>19</v>
      </c>
      <c r="B2199" s="30"/>
      <c r="C2199" s="30"/>
      <c r="D2199" s="30"/>
      <c r="E2199" s="30"/>
      <c r="F2199" s="30"/>
      <c r="G2199" s="30"/>
      <c r="H2199" s="30"/>
      <c r="I2199" s="30"/>
      <c r="J2199" s="30"/>
      <c r="K2199" s="30"/>
      <c r="L2199" s="30"/>
      <c r="M2199" s="30"/>
      <c r="N2199" s="30" t="str" cm="1">
        <f t="array" ref="N2199">Main_Log_Status(Main_Log[[#This Row],[Carrier]],Main_Log[[#This Row],[Net Weight]])</f>
        <v/>
      </c>
      <c r="O2199" s="30"/>
      <c r="P219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199" s="30"/>
      <c r="R2199" s="30" t="str" cm="1">
        <f t="array" ref="R2199">Main_Log_Ref(Main_Log[[#This Row],[Carrier]])</f>
        <v/>
      </c>
    </row>
    <row r="2200" spans="1:18" ht="29.85" customHeight="1" x14ac:dyDescent="0.45">
      <c r="A2200" s="30">
        <v>20</v>
      </c>
      <c r="B2200" s="30"/>
      <c r="C2200" s="30"/>
      <c r="D2200" s="30"/>
      <c r="E2200" s="30"/>
      <c r="F2200" s="30"/>
      <c r="G2200" s="30"/>
      <c r="H2200" s="30"/>
      <c r="I2200" s="30"/>
      <c r="J2200" s="30"/>
      <c r="K2200" s="30"/>
      <c r="L2200" s="30"/>
      <c r="M2200" s="30"/>
      <c r="N2200" s="30" t="str" cm="1">
        <f t="array" ref="N2200">Main_Log_Status(Main_Log[[#This Row],[Carrier]],Main_Log[[#This Row],[Net Weight]])</f>
        <v/>
      </c>
      <c r="O2200" s="30"/>
      <c r="P220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00" s="30"/>
      <c r="R2200" s="30" t="str" cm="1">
        <f t="array" ref="R2200">Main_Log_Ref(Main_Log[[#This Row],[Carrier]])</f>
        <v/>
      </c>
    </row>
    <row r="2201" spans="1:18" ht="29.85" customHeight="1" x14ac:dyDescent="0.45">
      <c r="A2201" s="30">
        <v>21</v>
      </c>
      <c r="B2201" s="30"/>
      <c r="C2201" s="30"/>
      <c r="D2201" s="30"/>
      <c r="E2201" s="30"/>
      <c r="F2201" s="30"/>
      <c r="G2201" s="30"/>
      <c r="H2201" s="30"/>
      <c r="I2201" s="30"/>
      <c r="J2201" s="30"/>
      <c r="K2201" s="30"/>
      <c r="L2201" s="30"/>
      <c r="M2201" s="30"/>
      <c r="N2201" s="30" t="str" cm="1">
        <f t="array" ref="N2201">Main_Log_Status(Main_Log[[#This Row],[Carrier]],Main_Log[[#This Row],[Net Weight]])</f>
        <v/>
      </c>
      <c r="O2201" s="30"/>
      <c r="P220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01" s="30"/>
      <c r="R2201" s="30" t="str" cm="1">
        <f t="array" ref="R2201">Main_Log_Ref(Main_Log[[#This Row],[Carrier]])</f>
        <v/>
      </c>
    </row>
    <row r="2202" spans="1:18" ht="29.85" customHeight="1" x14ac:dyDescent="0.45">
      <c r="A2202" s="30">
        <v>22</v>
      </c>
      <c r="B2202" s="30"/>
      <c r="C2202" s="30"/>
      <c r="D2202" s="30"/>
      <c r="E2202" s="30"/>
      <c r="F2202" s="30"/>
      <c r="G2202" s="30"/>
      <c r="H2202" s="30"/>
      <c r="I2202" s="30"/>
      <c r="J2202" s="30"/>
      <c r="K2202" s="30"/>
      <c r="L2202" s="30"/>
      <c r="M2202" s="30"/>
      <c r="N2202" s="30" t="str" cm="1">
        <f t="array" ref="N2202">Main_Log_Status(Main_Log[[#This Row],[Carrier]],Main_Log[[#This Row],[Net Weight]])</f>
        <v/>
      </c>
      <c r="O2202" s="30"/>
      <c r="P220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02" s="30"/>
      <c r="R2202" s="30" t="str" cm="1">
        <f t="array" ref="R2202">Main_Log_Ref(Main_Log[[#This Row],[Carrier]])</f>
        <v/>
      </c>
    </row>
    <row r="2203" spans="1:18" ht="29.85" customHeight="1" x14ac:dyDescent="0.45">
      <c r="A2203" s="30">
        <v>23</v>
      </c>
      <c r="B2203" s="30"/>
      <c r="C2203" s="30"/>
      <c r="D2203" s="30"/>
      <c r="E2203" s="30"/>
      <c r="F2203" s="30"/>
      <c r="G2203" s="30"/>
      <c r="H2203" s="30"/>
      <c r="I2203" s="30"/>
      <c r="J2203" s="30"/>
      <c r="K2203" s="30"/>
      <c r="L2203" s="30"/>
      <c r="M2203" s="30"/>
      <c r="N2203" s="30" t="str" cm="1">
        <f t="array" ref="N2203">Main_Log_Status(Main_Log[[#This Row],[Carrier]],Main_Log[[#This Row],[Net Weight]])</f>
        <v/>
      </c>
      <c r="O2203" s="30"/>
      <c r="P220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03" s="30"/>
      <c r="R2203" s="30" t="str" cm="1">
        <f t="array" ref="R2203">Main_Log_Ref(Main_Log[[#This Row],[Carrier]])</f>
        <v/>
      </c>
    </row>
    <row r="2204" spans="1:18" ht="29.85" customHeight="1" x14ac:dyDescent="0.45">
      <c r="A2204" s="30">
        <v>24</v>
      </c>
      <c r="B2204" s="30"/>
      <c r="C2204" s="30"/>
      <c r="D2204" s="30"/>
      <c r="E2204" s="30"/>
      <c r="F2204" s="30"/>
      <c r="G2204" s="30"/>
      <c r="H2204" s="30"/>
      <c r="I2204" s="30"/>
      <c r="J2204" s="30"/>
      <c r="K2204" s="30"/>
      <c r="L2204" s="30"/>
      <c r="M2204" s="30"/>
      <c r="N2204" s="30" t="str" cm="1">
        <f t="array" ref="N2204">Main_Log_Status(Main_Log[[#This Row],[Carrier]],Main_Log[[#This Row],[Net Weight]])</f>
        <v/>
      </c>
      <c r="O2204" s="30"/>
      <c r="P220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04" s="30"/>
      <c r="R2204" s="30" t="str" cm="1">
        <f t="array" ref="R2204">Main_Log_Ref(Main_Log[[#This Row],[Carrier]])</f>
        <v/>
      </c>
    </row>
    <row r="2205" spans="1:18" ht="29.85" customHeight="1" x14ac:dyDescent="0.45">
      <c r="A2205" s="30">
        <v>25</v>
      </c>
      <c r="B2205" s="30"/>
      <c r="C2205" s="30"/>
      <c r="D2205" s="30"/>
      <c r="E2205" s="30"/>
      <c r="F2205" s="30"/>
      <c r="G2205" s="30"/>
      <c r="H2205" s="30"/>
      <c r="I2205" s="30"/>
      <c r="J2205" s="30"/>
      <c r="K2205" s="30"/>
      <c r="L2205" s="30"/>
      <c r="M2205" s="30"/>
      <c r="N2205" s="30" t="str" cm="1">
        <f t="array" ref="N2205">Main_Log_Status(Main_Log[[#This Row],[Carrier]],Main_Log[[#This Row],[Net Weight]])</f>
        <v/>
      </c>
      <c r="O2205" s="30"/>
      <c r="P220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05" s="30"/>
      <c r="R2205" s="30" t="str" cm="1">
        <f t="array" ref="R2205">Main_Log_Ref(Main_Log[[#This Row],[Carrier]])</f>
        <v/>
      </c>
    </row>
    <row r="2206" spans="1:18" ht="29.85" customHeight="1" x14ac:dyDescent="0.45">
      <c r="A2206" s="30">
        <v>26</v>
      </c>
      <c r="B2206" s="30"/>
      <c r="C2206" s="30"/>
      <c r="D2206" s="30"/>
      <c r="E2206" s="30"/>
      <c r="F2206" s="30"/>
      <c r="G2206" s="30"/>
      <c r="H2206" s="30"/>
      <c r="I2206" s="30"/>
      <c r="J2206" s="30"/>
      <c r="K2206" s="30"/>
      <c r="L2206" s="30"/>
      <c r="M2206" s="30"/>
      <c r="N2206" s="30" t="str" cm="1">
        <f t="array" ref="N2206">Main_Log_Status(Main_Log[[#This Row],[Carrier]],Main_Log[[#This Row],[Net Weight]])</f>
        <v/>
      </c>
      <c r="O2206" s="30"/>
      <c r="P220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06" s="30"/>
      <c r="R2206" s="30" t="str" cm="1">
        <f t="array" ref="R2206">Main_Log_Ref(Main_Log[[#This Row],[Carrier]])</f>
        <v/>
      </c>
    </row>
    <row r="2207" spans="1:18" ht="29.85" customHeight="1" x14ac:dyDescent="0.45">
      <c r="A2207" s="30">
        <v>27</v>
      </c>
      <c r="B2207" s="30"/>
      <c r="C2207" s="30"/>
      <c r="D2207" s="30"/>
      <c r="E2207" s="30"/>
      <c r="F2207" s="30"/>
      <c r="G2207" s="30"/>
      <c r="H2207" s="30"/>
      <c r="I2207" s="30"/>
      <c r="J2207" s="30"/>
      <c r="K2207" s="30"/>
      <c r="L2207" s="30"/>
      <c r="M2207" s="30"/>
      <c r="N2207" s="30" t="str" cm="1">
        <f t="array" ref="N2207">Main_Log_Status(Main_Log[[#This Row],[Carrier]],Main_Log[[#This Row],[Net Weight]])</f>
        <v/>
      </c>
      <c r="O2207" s="30"/>
      <c r="P220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07" s="30"/>
      <c r="R2207" s="30" t="str" cm="1">
        <f t="array" ref="R2207">Main_Log_Ref(Main_Log[[#This Row],[Carrier]])</f>
        <v/>
      </c>
    </row>
    <row r="2208" spans="1:18" ht="29.85" customHeight="1" x14ac:dyDescent="0.45">
      <c r="A2208" s="30">
        <v>28</v>
      </c>
      <c r="B2208" s="30"/>
      <c r="C2208" s="30"/>
      <c r="D2208" s="30"/>
      <c r="E2208" s="30"/>
      <c r="F2208" s="30"/>
      <c r="G2208" s="30"/>
      <c r="H2208" s="30"/>
      <c r="I2208" s="30"/>
      <c r="J2208" s="30"/>
      <c r="K2208" s="30"/>
      <c r="L2208" s="30"/>
      <c r="M2208" s="30"/>
      <c r="N2208" s="30" t="str" cm="1">
        <f t="array" ref="N2208">Main_Log_Status(Main_Log[[#This Row],[Carrier]],Main_Log[[#This Row],[Net Weight]])</f>
        <v/>
      </c>
      <c r="O2208" s="30"/>
      <c r="P220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08" s="30"/>
      <c r="R2208" s="30" t="str" cm="1">
        <f t="array" ref="R2208">Main_Log_Ref(Main_Log[[#This Row],[Carrier]])</f>
        <v/>
      </c>
    </row>
    <row r="2209" spans="1:18" ht="29.85" customHeight="1" x14ac:dyDescent="0.45">
      <c r="A2209" s="30">
        <v>29</v>
      </c>
      <c r="B2209" s="30"/>
      <c r="C2209" s="30"/>
      <c r="D2209" s="30"/>
      <c r="E2209" s="30"/>
      <c r="F2209" s="30"/>
      <c r="G2209" s="30"/>
      <c r="H2209" s="30"/>
      <c r="I2209" s="30"/>
      <c r="J2209" s="30"/>
      <c r="K2209" s="30"/>
      <c r="L2209" s="30"/>
      <c r="M2209" s="30"/>
      <c r="N2209" s="30" t="str" cm="1">
        <f t="array" ref="N2209">Main_Log_Status(Main_Log[[#This Row],[Carrier]],Main_Log[[#This Row],[Net Weight]])</f>
        <v/>
      </c>
      <c r="O2209" s="30"/>
      <c r="P220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09" s="30"/>
      <c r="R2209" s="30" t="str" cm="1">
        <f t="array" ref="R2209">Main_Log_Ref(Main_Log[[#This Row],[Carrier]])</f>
        <v/>
      </c>
    </row>
    <row r="2210" spans="1:18" ht="29.85" customHeight="1" x14ac:dyDescent="0.45">
      <c r="A2210" s="30">
        <v>30</v>
      </c>
      <c r="B2210" s="30"/>
      <c r="C2210" s="30"/>
      <c r="D2210" s="30"/>
      <c r="E2210" s="30"/>
      <c r="F2210" s="30"/>
      <c r="G2210" s="30"/>
      <c r="H2210" s="30"/>
      <c r="I2210" s="30"/>
      <c r="J2210" s="30"/>
      <c r="K2210" s="30"/>
      <c r="L2210" s="30"/>
      <c r="M2210" s="30"/>
      <c r="N2210" s="30" t="str" cm="1">
        <f t="array" ref="N2210">Main_Log_Status(Main_Log[[#This Row],[Carrier]],Main_Log[[#This Row],[Net Weight]])</f>
        <v/>
      </c>
      <c r="O2210" s="30"/>
      <c r="P221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10" s="30"/>
      <c r="R2210" s="30" t="str" cm="1">
        <f t="array" ref="R2210">Main_Log_Ref(Main_Log[[#This Row],[Carrier]])</f>
        <v/>
      </c>
    </row>
    <row r="2211" spans="1:18" ht="29.85" customHeight="1" x14ac:dyDescent="0.45">
      <c r="A2211" s="30">
        <v>31</v>
      </c>
      <c r="B2211" s="30"/>
      <c r="C2211" s="30"/>
      <c r="D2211" s="30"/>
      <c r="E2211" s="30"/>
      <c r="F2211" s="30"/>
      <c r="G2211" s="30"/>
      <c r="H2211" s="30"/>
      <c r="I2211" s="30"/>
      <c r="J2211" s="30"/>
      <c r="K2211" s="30"/>
      <c r="L2211" s="30"/>
      <c r="M2211" s="30"/>
      <c r="N2211" s="30" t="str" cm="1">
        <f t="array" ref="N2211">Main_Log_Status(Main_Log[[#This Row],[Carrier]],Main_Log[[#This Row],[Net Weight]])</f>
        <v/>
      </c>
      <c r="O2211" s="30"/>
      <c r="P221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11" s="30"/>
      <c r="R2211" s="30" t="str" cm="1">
        <f t="array" ref="R2211">Main_Log_Ref(Main_Log[[#This Row],[Carrier]])</f>
        <v/>
      </c>
    </row>
    <row r="2212" spans="1:18" ht="29.85" customHeight="1" x14ac:dyDescent="0.45">
      <c r="A2212" s="30">
        <v>32</v>
      </c>
      <c r="B2212" s="30"/>
      <c r="C2212" s="30"/>
      <c r="D2212" s="30"/>
      <c r="E2212" s="30"/>
      <c r="F2212" s="30"/>
      <c r="G2212" s="30"/>
      <c r="H2212" s="30"/>
      <c r="I2212" s="30"/>
      <c r="J2212" s="30"/>
      <c r="K2212" s="30"/>
      <c r="L2212" s="30"/>
      <c r="M2212" s="30"/>
      <c r="N2212" s="30" t="str" cm="1">
        <f t="array" ref="N2212">Main_Log_Status(Main_Log[[#This Row],[Carrier]],Main_Log[[#This Row],[Net Weight]])</f>
        <v/>
      </c>
      <c r="O2212" s="30"/>
      <c r="P221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12" s="30"/>
      <c r="R2212" s="30" t="str" cm="1">
        <f t="array" ref="R2212">Main_Log_Ref(Main_Log[[#This Row],[Carrier]])</f>
        <v/>
      </c>
    </row>
    <row r="2213" spans="1:18" ht="29.85" customHeight="1" x14ac:dyDescent="0.45">
      <c r="A2213" s="30">
        <v>33</v>
      </c>
      <c r="B2213" s="30"/>
      <c r="C2213" s="30"/>
      <c r="D2213" s="30"/>
      <c r="E2213" s="30"/>
      <c r="F2213" s="30"/>
      <c r="G2213" s="30"/>
      <c r="H2213" s="30"/>
      <c r="I2213" s="30"/>
      <c r="J2213" s="30"/>
      <c r="K2213" s="30"/>
      <c r="L2213" s="30"/>
      <c r="M2213" s="30"/>
      <c r="N2213" s="30" t="str" cm="1">
        <f t="array" ref="N2213">Main_Log_Status(Main_Log[[#This Row],[Carrier]],Main_Log[[#This Row],[Net Weight]])</f>
        <v/>
      </c>
      <c r="O2213" s="30"/>
      <c r="P221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13" s="30"/>
      <c r="R2213" s="30" t="str" cm="1">
        <f t="array" ref="R2213">Main_Log_Ref(Main_Log[[#This Row],[Carrier]])</f>
        <v/>
      </c>
    </row>
    <row r="2214" spans="1:18" ht="29.85" customHeight="1" x14ac:dyDescent="0.45">
      <c r="A2214" s="30">
        <v>34</v>
      </c>
      <c r="B2214" s="30"/>
      <c r="C2214" s="30"/>
      <c r="D2214" s="30"/>
      <c r="E2214" s="30"/>
      <c r="F2214" s="30"/>
      <c r="G2214" s="30"/>
      <c r="H2214" s="30"/>
      <c r="I2214" s="30"/>
      <c r="J2214" s="30"/>
      <c r="K2214" s="30"/>
      <c r="L2214" s="30"/>
      <c r="M2214" s="30"/>
      <c r="N2214" s="30" t="str" cm="1">
        <f t="array" ref="N2214">Main_Log_Status(Main_Log[[#This Row],[Carrier]],Main_Log[[#This Row],[Net Weight]])</f>
        <v/>
      </c>
      <c r="O2214" s="30"/>
      <c r="P221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14" s="30"/>
      <c r="R2214" s="30" t="str" cm="1">
        <f t="array" ref="R2214">Main_Log_Ref(Main_Log[[#This Row],[Carrier]])</f>
        <v/>
      </c>
    </row>
    <row r="2215" spans="1:18" ht="29.85" customHeight="1" x14ac:dyDescent="0.45">
      <c r="A2215" s="30">
        <v>35</v>
      </c>
      <c r="B2215" s="30"/>
      <c r="C2215" s="30"/>
      <c r="D2215" s="30"/>
      <c r="E2215" s="30"/>
      <c r="F2215" s="30"/>
      <c r="G2215" s="30"/>
      <c r="H2215" s="30"/>
      <c r="I2215" s="30"/>
      <c r="J2215" s="30"/>
      <c r="K2215" s="30"/>
      <c r="L2215" s="30"/>
      <c r="M2215" s="30"/>
      <c r="N2215" s="30" t="str" cm="1">
        <f t="array" ref="N2215">Main_Log_Status(Main_Log[[#This Row],[Carrier]],Main_Log[[#This Row],[Net Weight]])</f>
        <v/>
      </c>
      <c r="O2215" s="30"/>
      <c r="P221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15" s="30"/>
      <c r="R2215" s="30" t="str" cm="1">
        <f t="array" ref="R2215">Main_Log_Ref(Main_Log[[#This Row],[Carrier]])</f>
        <v/>
      </c>
    </row>
    <row r="2216" spans="1:18" ht="29.85" customHeight="1" x14ac:dyDescent="0.45">
      <c r="A2216" s="30">
        <v>36</v>
      </c>
      <c r="B2216" s="30"/>
      <c r="C2216" s="30"/>
      <c r="D2216" s="30"/>
      <c r="E2216" s="30"/>
      <c r="F2216" s="30"/>
      <c r="G2216" s="30"/>
      <c r="H2216" s="30"/>
      <c r="I2216" s="30"/>
      <c r="J2216" s="30"/>
      <c r="K2216" s="30"/>
      <c r="L2216" s="30"/>
      <c r="M2216" s="30"/>
      <c r="N2216" s="30" t="str" cm="1">
        <f t="array" ref="N2216">Main_Log_Status(Main_Log[[#This Row],[Carrier]],Main_Log[[#This Row],[Net Weight]])</f>
        <v/>
      </c>
      <c r="O2216" s="30"/>
      <c r="P221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16" s="30"/>
      <c r="R2216" s="30" t="str" cm="1">
        <f t="array" ref="R2216">Main_Log_Ref(Main_Log[[#This Row],[Carrier]])</f>
        <v/>
      </c>
    </row>
    <row r="2217" spans="1:18" ht="29.85" customHeight="1" x14ac:dyDescent="0.45">
      <c r="A2217" s="30">
        <v>37</v>
      </c>
      <c r="B2217" s="30"/>
      <c r="C2217" s="30"/>
      <c r="D2217" s="30"/>
      <c r="E2217" s="30"/>
      <c r="F2217" s="30"/>
      <c r="G2217" s="30"/>
      <c r="H2217" s="30"/>
      <c r="I2217" s="30"/>
      <c r="J2217" s="30"/>
      <c r="K2217" s="30"/>
      <c r="L2217" s="30"/>
      <c r="M2217" s="30"/>
      <c r="N2217" s="30" t="str" cm="1">
        <f t="array" ref="N2217">Main_Log_Status(Main_Log[[#This Row],[Carrier]],Main_Log[[#This Row],[Net Weight]])</f>
        <v/>
      </c>
      <c r="O2217" s="30"/>
      <c r="P221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17" s="30"/>
      <c r="R2217" s="30" t="str" cm="1">
        <f t="array" ref="R2217">Main_Log_Ref(Main_Log[[#This Row],[Carrier]])</f>
        <v/>
      </c>
    </row>
    <row r="2218" spans="1:18" ht="29.85" customHeight="1" x14ac:dyDescent="0.45">
      <c r="A2218" s="30">
        <v>38</v>
      </c>
      <c r="B2218" s="30"/>
      <c r="C2218" s="30"/>
      <c r="D2218" s="30"/>
      <c r="E2218" s="30"/>
      <c r="F2218" s="30"/>
      <c r="G2218" s="30"/>
      <c r="H2218" s="30"/>
      <c r="I2218" s="30"/>
      <c r="J2218" s="30"/>
      <c r="K2218" s="30"/>
      <c r="L2218" s="30"/>
      <c r="M2218" s="30"/>
      <c r="N2218" s="30" t="str" cm="1">
        <f t="array" ref="N2218">Main_Log_Status(Main_Log[[#This Row],[Carrier]],Main_Log[[#This Row],[Net Weight]])</f>
        <v/>
      </c>
      <c r="O2218" s="30"/>
      <c r="P221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18" s="30"/>
      <c r="R2218" s="30" t="str" cm="1">
        <f t="array" ref="R2218">Main_Log_Ref(Main_Log[[#This Row],[Carrier]])</f>
        <v/>
      </c>
    </row>
    <row r="2219" spans="1:18" ht="29.85" customHeight="1" x14ac:dyDescent="0.45">
      <c r="A2219" s="30">
        <v>39</v>
      </c>
      <c r="B2219" s="30"/>
      <c r="C2219" s="30"/>
      <c r="D2219" s="30"/>
      <c r="E2219" s="30"/>
      <c r="F2219" s="30"/>
      <c r="G2219" s="30"/>
      <c r="H2219" s="30"/>
      <c r="I2219" s="30"/>
      <c r="J2219" s="30"/>
      <c r="K2219" s="30"/>
      <c r="L2219" s="30"/>
      <c r="M2219" s="30"/>
      <c r="N2219" s="30" t="str" cm="1">
        <f t="array" ref="N2219">Main_Log_Status(Main_Log[[#This Row],[Carrier]],Main_Log[[#This Row],[Net Weight]])</f>
        <v/>
      </c>
      <c r="O2219" s="30"/>
      <c r="P221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19" s="30"/>
      <c r="R2219" s="30" t="str" cm="1">
        <f t="array" ref="R2219">Main_Log_Ref(Main_Log[[#This Row],[Carrier]])</f>
        <v/>
      </c>
    </row>
    <row r="2220" spans="1:18" ht="29.85" customHeight="1" x14ac:dyDescent="0.45">
      <c r="A2220" s="30">
        <v>40</v>
      </c>
      <c r="B2220" s="30"/>
      <c r="C2220" s="30"/>
      <c r="D2220" s="30"/>
      <c r="E2220" s="30"/>
      <c r="F2220" s="30"/>
      <c r="G2220" s="30"/>
      <c r="H2220" s="30"/>
      <c r="I2220" s="30"/>
      <c r="J2220" s="30"/>
      <c r="K2220" s="30"/>
      <c r="L2220" s="30"/>
      <c r="M2220" s="30"/>
      <c r="N2220" s="30" t="str" cm="1">
        <f t="array" ref="N2220">Main_Log_Status(Main_Log[[#This Row],[Carrier]],Main_Log[[#This Row],[Net Weight]])</f>
        <v/>
      </c>
      <c r="O2220" s="30"/>
      <c r="P222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20" s="30"/>
      <c r="R2220" s="30" t="str" cm="1">
        <f t="array" ref="R2220">Main_Log_Ref(Main_Log[[#This Row],[Carrier]])</f>
        <v/>
      </c>
    </row>
    <row r="2221" spans="1:18" ht="29.85" customHeight="1" x14ac:dyDescent="0.45">
      <c r="A2221" s="30">
        <v>41</v>
      </c>
      <c r="B2221" s="30"/>
      <c r="C2221" s="30"/>
      <c r="D2221" s="30"/>
      <c r="E2221" s="30"/>
      <c r="F2221" s="30"/>
      <c r="G2221" s="30"/>
      <c r="H2221" s="30"/>
      <c r="I2221" s="30"/>
      <c r="J2221" s="30"/>
      <c r="K2221" s="30"/>
      <c r="L2221" s="30"/>
      <c r="M2221" s="30"/>
      <c r="N2221" s="30" t="str" cm="1">
        <f t="array" ref="N2221">Main_Log_Status(Main_Log[[#This Row],[Carrier]],Main_Log[[#This Row],[Net Weight]])</f>
        <v/>
      </c>
      <c r="O2221" s="30"/>
      <c r="P222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21" s="30"/>
      <c r="R2221" s="30" t="str" cm="1">
        <f t="array" ref="R2221">Main_Log_Ref(Main_Log[[#This Row],[Carrier]])</f>
        <v/>
      </c>
    </row>
    <row r="2222" spans="1:18" ht="29.85" customHeight="1" x14ac:dyDescent="0.45">
      <c r="A2222" s="30">
        <v>42</v>
      </c>
      <c r="B2222" s="30"/>
      <c r="C2222" s="30"/>
      <c r="D2222" s="30"/>
      <c r="E2222" s="30"/>
      <c r="F2222" s="30"/>
      <c r="G2222" s="30"/>
      <c r="H2222" s="30"/>
      <c r="I2222" s="30"/>
      <c r="J2222" s="30"/>
      <c r="K2222" s="30"/>
      <c r="L2222" s="30"/>
      <c r="M2222" s="30"/>
      <c r="N2222" s="30" t="str" cm="1">
        <f t="array" ref="N2222">Main_Log_Status(Main_Log[[#This Row],[Carrier]],Main_Log[[#This Row],[Net Weight]])</f>
        <v/>
      </c>
      <c r="O2222" s="30"/>
      <c r="P222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22" s="30"/>
      <c r="R2222" s="30" t="str" cm="1">
        <f t="array" ref="R2222">Main_Log_Ref(Main_Log[[#This Row],[Carrier]])</f>
        <v/>
      </c>
    </row>
    <row r="2223" spans="1:18" ht="29.85" customHeight="1" x14ac:dyDescent="0.45">
      <c r="A2223" s="30">
        <v>43</v>
      </c>
      <c r="B2223" s="30"/>
      <c r="C2223" s="30"/>
      <c r="D2223" s="30"/>
      <c r="E2223" s="30"/>
      <c r="F2223" s="30"/>
      <c r="G2223" s="30"/>
      <c r="H2223" s="30"/>
      <c r="I2223" s="30"/>
      <c r="J2223" s="30"/>
      <c r="K2223" s="30"/>
      <c r="L2223" s="30"/>
      <c r="M2223" s="30"/>
      <c r="N2223" s="30" t="str" cm="1">
        <f t="array" ref="N2223">Main_Log_Status(Main_Log[[#This Row],[Carrier]],Main_Log[[#This Row],[Net Weight]])</f>
        <v/>
      </c>
      <c r="O2223" s="30"/>
      <c r="P222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23" s="30"/>
      <c r="R2223" s="30" t="str" cm="1">
        <f t="array" ref="R2223">Main_Log_Ref(Main_Log[[#This Row],[Carrier]])</f>
        <v/>
      </c>
    </row>
    <row r="2224" spans="1:18" ht="29.85" customHeight="1" x14ac:dyDescent="0.45">
      <c r="A2224" s="30">
        <v>44</v>
      </c>
      <c r="B2224" s="30"/>
      <c r="C2224" s="30"/>
      <c r="D2224" s="30"/>
      <c r="E2224" s="30"/>
      <c r="F2224" s="30"/>
      <c r="G2224" s="30"/>
      <c r="H2224" s="30"/>
      <c r="I2224" s="30"/>
      <c r="J2224" s="30"/>
      <c r="K2224" s="30"/>
      <c r="L2224" s="30"/>
      <c r="M2224" s="30"/>
      <c r="N2224" s="30" t="str" cm="1">
        <f t="array" ref="N2224">Main_Log_Status(Main_Log[[#This Row],[Carrier]],Main_Log[[#This Row],[Net Weight]])</f>
        <v/>
      </c>
      <c r="O2224" s="30"/>
      <c r="P222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24" s="30"/>
      <c r="R2224" s="30" t="str" cm="1">
        <f t="array" ref="R2224">Main_Log_Ref(Main_Log[[#This Row],[Carrier]])</f>
        <v/>
      </c>
    </row>
    <row r="2225" spans="1:18" ht="29.85" customHeight="1" x14ac:dyDescent="0.45">
      <c r="A2225" s="30">
        <v>45</v>
      </c>
      <c r="B2225" s="30"/>
      <c r="C2225" s="30"/>
      <c r="D2225" s="30"/>
      <c r="E2225" s="30"/>
      <c r="F2225" s="30"/>
      <c r="G2225" s="30"/>
      <c r="H2225" s="30"/>
      <c r="I2225" s="30"/>
      <c r="J2225" s="30"/>
      <c r="K2225" s="30"/>
      <c r="L2225" s="30"/>
      <c r="M2225" s="30"/>
      <c r="N2225" s="30" t="str" cm="1">
        <f t="array" ref="N2225">Main_Log_Status(Main_Log[[#This Row],[Carrier]],Main_Log[[#This Row],[Net Weight]])</f>
        <v/>
      </c>
      <c r="O2225" s="30"/>
      <c r="P222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25" s="30"/>
      <c r="R2225" s="30" t="str" cm="1">
        <f t="array" ref="R2225">Main_Log_Ref(Main_Log[[#This Row],[Carrier]])</f>
        <v/>
      </c>
    </row>
    <row r="2226" spans="1:18" ht="29.85" customHeight="1" x14ac:dyDescent="0.45">
      <c r="A2226" s="30">
        <v>46</v>
      </c>
      <c r="B2226" s="30"/>
      <c r="C2226" s="30"/>
      <c r="D2226" s="30"/>
      <c r="E2226" s="30"/>
      <c r="F2226" s="30"/>
      <c r="G2226" s="30"/>
      <c r="H2226" s="30"/>
      <c r="I2226" s="30"/>
      <c r="J2226" s="30"/>
      <c r="K2226" s="30"/>
      <c r="L2226" s="30"/>
      <c r="M2226" s="30"/>
      <c r="N2226" s="30" t="str" cm="1">
        <f t="array" ref="N2226">Main_Log_Status(Main_Log[[#This Row],[Carrier]],Main_Log[[#This Row],[Net Weight]])</f>
        <v/>
      </c>
      <c r="O2226" s="30"/>
      <c r="P222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26" s="30"/>
      <c r="R2226" s="30" t="str" cm="1">
        <f t="array" ref="R2226">Main_Log_Ref(Main_Log[[#This Row],[Carrier]])</f>
        <v/>
      </c>
    </row>
    <row r="2227" spans="1:18" ht="29.85" customHeight="1" x14ac:dyDescent="0.45">
      <c r="A2227" s="30">
        <v>47</v>
      </c>
      <c r="B2227" s="30"/>
      <c r="C2227" s="30"/>
      <c r="D2227" s="30"/>
      <c r="E2227" s="30"/>
      <c r="F2227" s="30"/>
      <c r="G2227" s="30"/>
      <c r="H2227" s="30"/>
      <c r="I2227" s="30"/>
      <c r="J2227" s="30"/>
      <c r="K2227" s="30"/>
      <c r="L2227" s="30"/>
      <c r="M2227" s="30"/>
      <c r="N2227" s="30" t="str" cm="1">
        <f t="array" ref="N2227">Main_Log_Status(Main_Log[[#This Row],[Carrier]],Main_Log[[#This Row],[Net Weight]])</f>
        <v/>
      </c>
      <c r="O2227" s="30"/>
      <c r="P222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27" s="30"/>
      <c r="R2227" s="30" t="str" cm="1">
        <f t="array" ref="R2227">Main_Log_Ref(Main_Log[[#This Row],[Carrier]])</f>
        <v/>
      </c>
    </row>
    <row r="2228" spans="1:18" ht="29.85" customHeight="1" x14ac:dyDescent="0.45">
      <c r="A2228" s="30">
        <v>48</v>
      </c>
      <c r="B2228" s="30"/>
      <c r="C2228" s="30"/>
      <c r="D2228" s="30"/>
      <c r="E2228" s="30"/>
      <c r="F2228" s="30"/>
      <c r="G2228" s="30"/>
      <c r="H2228" s="30"/>
      <c r="I2228" s="30"/>
      <c r="J2228" s="30"/>
      <c r="K2228" s="30"/>
      <c r="L2228" s="30"/>
      <c r="M2228" s="30"/>
      <c r="N2228" s="30" t="str" cm="1">
        <f t="array" ref="N2228">Main_Log_Status(Main_Log[[#This Row],[Carrier]],Main_Log[[#This Row],[Net Weight]])</f>
        <v/>
      </c>
      <c r="O2228" s="30"/>
      <c r="P222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28" s="30"/>
      <c r="R2228" s="30" t="str" cm="1">
        <f t="array" ref="R2228">Main_Log_Ref(Main_Log[[#This Row],[Carrier]])</f>
        <v/>
      </c>
    </row>
    <row r="2229" spans="1:18" ht="29.85" customHeight="1" x14ac:dyDescent="0.45">
      <c r="A2229" s="30">
        <v>49</v>
      </c>
      <c r="B2229" s="30"/>
      <c r="C2229" s="30"/>
      <c r="D2229" s="30"/>
      <c r="E2229" s="30"/>
      <c r="F2229" s="30"/>
      <c r="G2229" s="30"/>
      <c r="H2229" s="30"/>
      <c r="I2229" s="30"/>
      <c r="J2229" s="30"/>
      <c r="K2229" s="30"/>
      <c r="L2229" s="30"/>
      <c r="M2229" s="30"/>
      <c r="N2229" s="30" t="str" cm="1">
        <f t="array" ref="N2229">Main_Log_Status(Main_Log[[#This Row],[Carrier]],Main_Log[[#This Row],[Net Weight]])</f>
        <v/>
      </c>
      <c r="O2229" s="30"/>
      <c r="P222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29" s="30"/>
      <c r="R2229" s="30" t="str" cm="1">
        <f t="array" ref="R2229">Main_Log_Ref(Main_Log[[#This Row],[Carrier]])</f>
        <v/>
      </c>
    </row>
    <row r="2230" spans="1:18" ht="29.85" customHeight="1" x14ac:dyDescent="0.45">
      <c r="A2230" s="30">
        <v>50</v>
      </c>
      <c r="B2230" s="30"/>
      <c r="C2230" s="30"/>
      <c r="D2230" s="30"/>
      <c r="E2230" s="30"/>
      <c r="F2230" s="30"/>
      <c r="G2230" s="30"/>
      <c r="H2230" s="30"/>
      <c r="I2230" s="30"/>
      <c r="J2230" s="30"/>
      <c r="K2230" s="30"/>
      <c r="L2230" s="30"/>
      <c r="M2230" s="30"/>
      <c r="N2230" s="30" t="str" cm="1">
        <f t="array" ref="N2230">Main_Log_Status(Main_Log[[#This Row],[Carrier]],Main_Log[[#This Row],[Net Weight]])</f>
        <v/>
      </c>
      <c r="O2230" s="30"/>
      <c r="P223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30" s="30"/>
      <c r="R2230" s="30" t="str" cm="1">
        <f t="array" ref="R2230">Main_Log_Ref(Main_Log[[#This Row],[Carrier]])</f>
        <v/>
      </c>
    </row>
    <row r="2231" spans="1:18" ht="29.85" customHeight="1" x14ac:dyDescent="0.45">
      <c r="A2231" s="30">
        <v>51</v>
      </c>
      <c r="B2231" s="30"/>
      <c r="C2231" s="30"/>
      <c r="D2231" s="30"/>
      <c r="E2231" s="30"/>
      <c r="F2231" s="30"/>
      <c r="G2231" s="30"/>
      <c r="H2231" s="30"/>
      <c r="I2231" s="30"/>
      <c r="J2231" s="30"/>
      <c r="K2231" s="30"/>
      <c r="L2231" s="30"/>
      <c r="M2231" s="30"/>
      <c r="N2231" s="30" t="str" cm="1">
        <f t="array" ref="N2231">Main_Log_Status(Main_Log[[#This Row],[Carrier]],Main_Log[[#This Row],[Net Weight]])</f>
        <v/>
      </c>
      <c r="O2231" s="30"/>
      <c r="P223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31" s="30"/>
      <c r="R2231" s="30" t="str" cm="1">
        <f t="array" ref="R2231">Main_Log_Ref(Main_Log[[#This Row],[Carrier]])</f>
        <v/>
      </c>
    </row>
    <row r="2232" spans="1:18" ht="29.85" customHeight="1" x14ac:dyDescent="0.45">
      <c r="A2232" s="30">
        <v>52</v>
      </c>
      <c r="B2232" s="30"/>
      <c r="C2232" s="30"/>
      <c r="D2232" s="30"/>
      <c r="E2232" s="30"/>
      <c r="F2232" s="30"/>
      <c r="G2232" s="30"/>
      <c r="H2232" s="30"/>
      <c r="I2232" s="30"/>
      <c r="J2232" s="30"/>
      <c r="K2232" s="30"/>
      <c r="L2232" s="30"/>
      <c r="M2232" s="30"/>
      <c r="N2232" s="30" t="str" cm="1">
        <f t="array" ref="N2232">Main_Log_Status(Main_Log[[#This Row],[Carrier]],Main_Log[[#This Row],[Net Weight]])</f>
        <v/>
      </c>
      <c r="O2232" s="30"/>
      <c r="P223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32" s="30"/>
      <c r="R2232" s="30" t="str" cm="1">
        <f t="array" ref="R2232">Main_Log_Ref(Main_Log[[#This Row],[Carrier]])</f>
        <v/>
      </c>
    </row>
    <row r="2233" spans="1:18" ht="29.85" customHeight="1" x14ac:dyDescent="0.45">
      <c r="A2233" s="30">
        <v>53</v>
      </c>
      <c r="B2233" s="30"/>
      <c r="C2233" s="30"/>
      <c r="D2233" s="30"/>
      <c r="E2233" s="30"/>
      <c r="F2233" s="30"/>
      <c r="G2233" s="30"/>
      <c r="H2233" s="30"/>
      <c r="I2233" s="30"/>
      <c r="J2233" s="30"/>
      <c r="K2233" s="30"/>
      <c r="L2233" s="30"/>
      <c r="M2233" s="30"/>
      <c r="N2233" s="30" t="str" cm="1">
        <f t="array" ref="N2233">Main_Log_Status(Main_Log[[#This Row],[Carrier]],Main_Log[[#This Row],[Net Weight]])</f>
        <v/>
      </c>
      <c r="O2233" s="30"/>
      <c r="P223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33" s="30"/>
      <c r="R2233" s="30" t="str" cm="1">
        <f t="array" ref="R2233">Main_Log_Ref(Main_Log[[#This Row],[Carrier]])</f>
        <v/>
      </c>
    </row>
    <row r="2234" spans="1:18" ht="29.85" customHeight="1" x14ac:dyDescent="0.45">
      <c r="A2234" s="30">
        <v>54</v>
      </c>
      <c r="B2234" s="30"/>
      <c r="C2234" s="30"/>
      <c r="D2234" s="30"/>
      <c r="E2234" s="30"/>
      <c r="F2234" s="30"/>
      <c r="G2234" s="30"/>
      <c r="H2234" s="30"/>
      <c r="I2234" s="30"/>
      <c r="J2234" s="30"/>
      <c r="K2234" s="30"/>
      <c r="L2234" s="30"/>
      <c r="M2234" s="30"/>
      <c r="N2234" s="30" t="str" cm="1">
        <f t="array" ref="N2234">Main_Log_Status(Main_Log[[#This Row],[Carrier]],Main_Log[[#This Row],[Net Weight]])</f>
        <v/>
      </c>
      <c r="O2234" s="30"/>
      <c r="P223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34" s="30"/>
      <c r="R2234" s="30" t="str" cm="1">
        <f t="array" ref="R2234">Main_Log_Ref(Main_Log[[#This Row],[Carrier]])</f>
        <v/>
      </c>
    </row>
    <row r="2235" spans="1:18" ht="29.85" customHeight="1" x14ac:dyDescent="0.45">
      <c r="A2235" s="30">
        <v>55</v>
      </c>
      <c r="B2235" s="30"/>
      <c r="C2235" s="30"/>
      <c r="D2235" s="30"/>
      <c r="E2235" s="30"/>
      <c r="F2235" s="30"/>
      <c r="G2235" s="30"/>
      <c r="H2235" s="30"/>
      <c r="I2235" s="30"/>
      <c r="J2235" s="30"/>
      <c r="K2235" s="30"/>
      <c r="L2235" s="30"/>
      <c r="M2235" s="30"/>
      <c r="N2235" s="30" t="str" cm="1">
        <f t="array" ref="N2235">Main_Log_Status(Main_Log[[#This Row],[Carrier]],Main_Log[[#This Row],[Net Weight]])</f>
        <v/>
      </c>
      <c r="O2235" s="30"/>
      <c r="P223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35" s="30"/>
      <c r="R2235" s="30" t="str" cm="1">
        <f t="array" ref="R2235">Main_Log_Ref(Main_Log[[#This Row],[Carrier]])</f>
        <v/>
      </c>
    </row>
    <row r="2236" spans="1:18" ht="29.85" customHeight="1" x14ac:dyDescent="0.45">
      <c r="A2236" s="30">
        <v>56</v>
      </c>
      <c r="B2236" s="30"/>
      <c r="C2236" s="30"/>
      <c r="D2236" s="30"/>
      <c r="E2236" s="30"/>
      <c r="F2236" s="30"/>
      <c r="G2236" s="30"/>
      <c r="H2236" s="30"/>
      <c r="I2236" s="30"/>
      <c r="J2236" s="30"/>
      <c r="K2236" s="30"/>
      <c r="L2236" s="30"/>
      <c r="M2236" s="30"/>
      <c r="N2236" s="30" t="str" cm="1">
        <f t="array" ref="N2236">Main_Log_Status(Main_Log[[#This Row],[Carrier]],Main_Log[[#This Row],[Net Weight]])</f>
        <v/>
      </c>
      <c r="O2236" s="30"/>
      <c r="P223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36" s="30"/>
      <c r="R2236" s="30" t="str" cm="1">
        <f t="array" ref="R2236">Main_Log_Ref(Main_Log[[#This Row],[Carrier]])</f>
        <v/>
      </c>
    </row>
    <row r="2237" spans="1:18" ht="29.85" customHeight="1" x14ac:dyDescent="0.45">
      <c r="A2237" s="30">
        <v>57</v>
      </c>
      <c r="B2237" s="30"/>
      <c r="C2237" s="30"/>
      <c r="D2237" s="30"/>
      <c r="E2237" s="30"/>
      <c r="F2237" s="30"/>
      <c r="G2237" s="30"/>
      <c r="H2237" s="30"/>
      <c r="I2237" s="30"/>
      <c r="J2237" s="30"/>
      <c r="K2237" s="30"/>
      <c r="L2237" s="30"/>
      <c r="M2237" s="30"/>
      <c r="N2237" s="30" t="str" cm="1">
        <f t="array" ref="N2237">Main_Log_Status(Main_Log[[#This Row],[Carrier]],Main_Log[[#This Row],[Net Weight]])</f>
        <v/>
      </c>
      <c r="O2237" s="30"/>
      <c r="P223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37" s="30"/>
      <c r="R2237" s="30" t="str" cm="1">
        <f t="array" ref="R2237">Main_Log_Ref(Main_Log[[#This Row],[Carrier]])</f>
        <v/>
      </c>
    </row>
    <row r="2238" spans="1:18" ht="29.85" customHeight="1" x14ac:dyDescent="0.45">
      <c r="A2238" s="30">
        <v>58</v>
      </c>
      <c r="B2238" s="30"/>
      <c r="C2238" s="30"/>
      <c r="D2238" s="30"/>
      <c r="E2238" s="30"/>
      <c r="F2238" s="30"/>
      <c r="G2238" s="30"/>
      <c r="H2238" s="30"/>
      <c r="I2238" s="30"/>
      <c r="J2238" s="30"/>
      <c r="K2238" s="30"/>
      <c r="L2238" s="30"/>
      <c r="M2238" s="30"/>
      <c r="N2238" s="30" t="str" cm="1">
        <f t="array" ref="N2238">Main_Log_Status(Main_Log[[#This Row],[Carrier]],Main_Log[[#This Row],[Net Weight]])</f>
        <v/>
      </c>
      <c r="O2238" s="30"/>
      <c r="P223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38" s="30"/>
      <c r="R2238" s="30" t="str" cm="1">
        <f t="array" ref="R2238">Main_Log_Ref(Main_Log[[#This Row],[Carrier]])</f>
        <v/>
      </c>
    </row>
    <row r="2239" spans="1:18" ht="29.85" customHeight="1" x14ac:dyDescent="0.45">
      <c r="A2239" s="30">
        <v>59</v>
      </c>
      <c r="B2239" s="30"/>
      <c r="C2239" s="30"/>
      <c r="D2239" s="30"/>
      <c r="E2239" s="30"/>
      <c r="F2239" s="30"/>
      <c r="G2239" s="30"/>
      <c r="H2239" s="30"/>
      <c r="I2239" s="30"/>
      <c r="J2239" s="30"/>
      <c r="K2239" s="30"/>
      <c r="L2239" s="30"/>
      <c r="M2239" s="30"/>
      <c r="N2239" s="30" t="str" cm="1">
        <f t="array" ref="N2239">Main_Log_Status(Main_Log[[#This Row],[Carrier]],Main_Log[[#This Row],[Net Weight]])</f>
        <v/>
      </c>
      <c r="O2239" s="30"/>
      <c r="P223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39" s="30"/>
      <c r="R2239" s="30" t="str" cm="1">
        <f t="array" ref="R2239">Main_Log_Ref(Main_Log[[#This Row],[Carrier]])</f>
        <v/>
      </c>
    </row>
    <row r="2240" spans="1:18" ht="29.85" customHeight="1" x14ac:dyDescent="0.45">
      <c r="A2240" s="30">
        <v>60</v>
      </c>
      <c r="B2240" s="30"/>
      <c r="C2240" s="30"/>
      <c r="D2240" s="30"/>
      <c r="E2240" s="30"/>
      <c r="F2240" s="30"/>
      <c r="G2240" s="30"/>
      <c r="H2240" s="30"/>
      <c r="I2240" s="30"/>
      <c r="J2240" s="30"/>
      <c r="K2240" s="30"/>
      <c r="L2240" s="30"/>
      <c r="M2240" s="30"/>
      <c r="N2240" s="30" t="str" cm="1">
        <f t="array" ref="N2240">Main_Log_Status(Main_Log[[#This Row],[Carrier]],Main_Log[[#This Row],[Net Weight]])</f>
        <v/>
      </c>
      <c r="O2240" s="30"/>
      <c r="P224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40" s="30"/>
      <c r="R2240" s="30" t="str" cm="1">
        <f t="array" ref="R2240">Main_Log_Ref(Main_Log[[#This Row],[Carrier]])</f>
        <v/>
      </c>
    </row>
    <row r="2241" spans="1:18" ht="29.85" customHeight="1" x14ac:dyDescent="0.45">
      <c r="A2241" s="30">
        <v>61</v>
      </c>
      <c r="B2241" s="30"/>
      <c r="C2241" s="30"/>
      <c r="D2241" s="30"/>
      <c r="E2241" s="30"/>
      <c r="F2241" s="30"/>
      <c r="G2241" s="30"/>
      <c r="H2241" s="30"/>
      <c r="I2241" s="30"/>
      <c r="J2241" s="30"/>
      <c r="K2241" s="30"/>
      <c r="L2241" s="30"/>
      <c r="M2241" s="30"/>
      <c r="N2241" s="30" t="str" cm="1">
        <f t="array" ref="N2241">Main_Log_Status(Main_Log[[#This Row],[Carrier]],Main_Log[[#This Row],[Net Weight]])</f>
        <v/>
      </c>
      <c r="O2241" s="30"/>
      <c r="P224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41" s="30"/>
      <c r="R2241" s="30" t="str" cm="1">
        <f t="array" ref="R2241">Main_Log_Ref(Main_Log[[#This Row],[Carrier]])</f>
        <v/>
      </c>
    </row>
    <row r="2242" spans="1:18" ht="29.85" customHeight="1" x14ac:dyDescent="0.45">
      <c r="A2242" s="30">
        <v>62</v>
      </c>
      <c r="B2242" s="30"/>
      <c r="C2242" s="30"/>
      <c r="D2242" s="30"/>
      <c r="E2242" s="30"/>
      <c r="F2242" s="30"/>
      <c r="G2242" s="30"/>
      <c r="H2242" s="30"/>
      <c r="I2242" s="30"/>
      <c r="J2242" s="30"/>
      <c r="K2242" s="30"/>
      <c r="L2242" s="30"/>
      <c r="M2242" s="30"/>
      <c r="N2242" s="30" t="str" cm="1">
        <f t="array" ref="N2242">Main_Log_Status(Main_Log[[#This Row],[Carrier]],Main_Log[[#This Row],[Net Weight]])</f>
        <v/>
      </c>
      <c r="O2242" s="30"/>
      <c r="P224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42" s="30"/>
      <c r="R2242" s="30" t="str" cm="1">
        <f t="array" ref="R2242">Main_Log_Ref(Main_Log[[#This Row],[Carrier]])</f>
        <v/>
      </c>
    </row>
    <row r="2243" spans="1:18" ht="29.85" customHeight="1" x14ac:dyDescent="0.45">
      <c r="A2243" s="30">
        <v>63</v>
      </c>
      <c r="B2243" s="30"/>
      <c r="C2243" s="30"/>
      <c r="D2243" s="30"/>
      <c r="E2243" s="30"/>
      <c r="F2243" s="30"/>
      <c r="G2243" s="30"/>
      <c r="H2243" s="30"/>
      <c r="I2243" s="30"/>
      <c r="J2243" s="30"/>
      <c r="K2243" s="30"/>
      <c r="L2243" s="30"/>
      <c r="M2243" s="30"/>
      <c r="N2243" s="30" t="str" cm="1">
        <f t="array" ref="N2243">Main_Log_Status(Main_Log[[#This Row],[Carrier]],Main_Log[[#This Row],[Net Weight]])</f>
        <v/>
      </c>
      <c r="O2243" s="30"/>
      <c r="P224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43" s="30"/>
      <c r="R2243" s="30" t="str" cm="1">
        <f t="array" ref="R2243">Main_Log_Ref(Main_Log[[#This Row],[Carrier]])</f>
        <v/>
      </c>
    </row>
    <row r="2244" spans="1:18" ht="29.85" customHeight="1" x14ac:dyDescent="0.45">
      <c r="A2244" s="30">
        <v>64</v>
      </c>
      <c r="B2244" s="30"/>
      <c r="C2244" s="30"/>
      <c r="D2244" s="30"/>
      <c r="E2244" s="30"/>
      <c r="F2244" s="30"/>
      <c r="G2244" s="30"/>
      <c r="H2244" s="30"/>
      <c r="I2244" s="30"/>
      <c r="J2244" s="30"/>
      <c r="K2244" s="30"/>
      <c r="L2244" s="30"/>
      <c r="M2244" s="30"/>
      <c r="N2244" s="30" t="str" cm="1">
        <f t="array" ref="N2244">Main_Log_Status(Main_Log[[#This Row],[Carrier]],Main_Log[[#This Row],[Net Weight]])</f>
        <v/>
      </c>
      <c r="O2244" s="30"/>
      <c r="P224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44" s="30"/>
      <c r="R2244" s="30" t="str" cm="1">
        <f t="array" ref="R2244">Main_Log_Ref(Main_Log[[#This Row],[Carrier]])</f>
        <v/>
      </c>
    </row>
    <row r="2245" spans="1:18" ht="29.85" customHeight="1" x14ac:dyDescent="0.45">
      <c r="A2245" s="30">
        <v>65</v>
      </c>
      <c r="B2245" s="30"/>
      <c r="C2245" s="30"/>
      <c r="D2245" s="30"/>
      <c r="E2245" s="30"/>
      <c r="F2245" s="30"/>
      <c r="G2245" s="30"/>
      <c r="H2245" s="30"/>
      <c r="I2245" s="30"/>
      <c r="J2245" s="30"/>
      <c r="K2245" s="30"/>
      <c r="L2245" s="30"/>
      <c r="M2245" s="30"/>
      <c r="N2245" s="30" t="str" cm="1">
        <f t="array" ref="N2245">Main_Log_Status(Main_Log[[#This Row],[Carrier]],Main_Log[[#This Row],[Net Weight]])</f>
        <v/>
      </c>
      <c r="O2245" s="30"/>
      <c r="P224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45" s="30"/>
      <c r="R2245" s="30" t="str" cm="1">
        <f t="array" ref="R2245">Main_Log_Ref(Main_Log[[#This Row],[Carrier]])</f>
        <v/>
      </c>
    </row>
    <row r="2246" spans="1:18" ht="29.85" customHeight="1" x14ac:dyDescent="0.45">
      <c r="A2246" s="30">
        <v>66</v>
      </c>
      <c r="B2246" s="30"/>
      <c r="C2246" s="30"/>
      <c r="D2246" s="30"/>
      <c r="E2246" s="30"/>
      <c r="F2246" s="30"/>
      <c r="G2246" s="30"/>
      <c r="H2246" s="30"/>
      <c r="I2246" s="30"/>
      <c r="J2246" s="30"/>
      <c r="K2246" s="30"/>
      <c r="L2246" s="30"/>
      <c r="M2246" s="30"/>
      <c r="N2246" s="30" t="str" cm="1">
        <f t="array" ref="N2246">Main_Log_Status(Main_Log[[#This Row],[Carrier]],Main_Log[[#This Row],[Net Weight]])</f>
        <v/>
      </c>
      <c r="O2246" s="30"/>
      <c r="P224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46" s="30"/>
      <c r="R2246" s="30" t="str" cm="1">
        <f t="array" ref="R2246">Main_Log_Ref(Main_Log[[#This Row],[Carrier]])</f>
        <v/>
      </c>
    </row>
    <row r="2247" spans="1:18" ht="29.85" customHeight="1" x14ac:dyDescent="0.45">
      <c r="A2247" s="30">
        <v>67</v>
      </c>
      <c r="B2247" s="30"/>
      <c r="C2247" s="30"/>
      <c r="D2247" s="30"/>
      <c r="E2247" s="30"/>
      <c r="F2247" s="30"/>
      <c r="G2247" s="30"/>
      <c r="H2247" s="30"/>
      <c r="I2247" s="30"/>
      <c r="J2247" s="30"/>
      <c r="K2247" s="30"/>
      <c r="L2247" s="30"/>
      <c r="M2247" s="30"/>
      <c r="N2247" s="30" t="str" cm="1">
        <f t="array" ref="N2247">Main_Log_Status(Main_Log[[#This Row],[Carrier]],Main_Log[[#This Row],[Net Weight]])</f>
        <v/>
      </c>
      <c r="O2247" s="30"/>
      <c r="P224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47" s="30"/>
      <c r="R2247" s="30" t="str" cm="1">
        <f t="array" ref="R2247">Main_Log_Ref(Main_Log[[#This Row],[Carrier]])</f>
        <v/>
      </c>
    </row>
    <row r="2248" spans="1:18" ht="29.85" customHeight="1" x14ac:dyDescent="0.45">
      <c r="A2248" s="30">
        <v>68</v>
      </c>
      <c r="B2248" s="30"/>
      <c r="C2248" s="30"/>
      <c r="D2248" s="30"/>
      <c r="E2248" s="30"/>
      <c r="F2248" s="30"/>
      <c r="G2248" s="30"/>
      <c r="H2248" s="30"/>
      <c r="I2248" s="30"/>
      <c r="J2248" s="30"/>
      <c r="K2248" s="30"/>
      <c r="L2248" s="30"/>
      <c r="M2248" s="30"/>
      <c r="N2248" s="30" t="str" cm="1">
        <f t="array" ref="N2248">Main_Log_Status(Main_Log[[#This Row],[Carrier]],Main_Log[[#This Row],[Net Weight]])</f>
        <v/>
      </c>
      <c r="O2248" s="30"/>
      <c r="P224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48" s="30"/>
      <c r="R2248" s="30" t="str" cm="1">
        <f t="array" ref="R2248">Main_Log_Ref(Main_Log[[#This Row],[Carrier]])</f>
        <v/>
      </c>
    </row>
    <row r="2249" spans="1:18" ht="29.85" customHeight="1" x14ac:dyDescent="0.45">
      <c r="A2249" s="30">
        <v>69</v>
      </c>
      <c r="B2249" s="30"/>
      <c r="C2249" s="30"/>
      <c r="D2249" s="30"/>
      <c r="E2249" s="30"/>
      <c r="F2249" s="30"/>
      <c r="G2249" s="30"/>
      <c r="H2249" s="30"/>
      <c r="I2249" s="30"/>
      <c r="J2249" s="30"/>
      <c r="K2249" s="30"/>
      <c r="L2249" s="30"/>
      <c r="M2249" s="30"/>
      <c r="N2249" s="30" t="str" cm="1">
        <f t="array" ref="N2249">Main_Log_Status(Main_Log[[#This Row],[Carrier]],Main_Log[[#This Row],[Net Weight]])</f>
        <v/>
      </c>
      <c r="O2249" s="30"/>
      <c r="P224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49" s="30"/>
      <c r="R2249" s="30" t="str" cm="1">
        <f t="array" ref="R2249">Main_Log_Ref(Main_Log[[#This Row],[Carrier]])</f>
        <v/>
      </c>
    </row>
    <row r="2250" spans="1:18" ht="29.85" customHeight="1" x14ac:dyDescent="0.45">
      <c r="A2250" s="30">
        <v>70</v>
      </c>
      <c r="B2250" s="30"/>
      <c r="C2250" s="30"/>
      <c r="D2250" s="30"/>
      <c r="E2250" s="30"/>
      <c r="F2250" s="30"/>
      <c r="G2250" s="30"/>
      <c r="H2250" s="30"/>
      <c r="I2250" s="30"/>
      <c r="J2250" s="30"/>
      <c r="K2250" s="30"/>
      <c r="L2250" s="30"/>
      <c r="M2250" s="30"/>
      <c r="N2250" s="30" t="str" cm="1">
        <f t="array" ref="N2250">Main_Log_Status(Main_Log[[#This Row],[Carrier]],Main_Log[[#This Row],[Net Weight]])</f>
        <v/>
      </c>
      <c r="O2250" s="30"/>
      <c r="P225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50" s="30"/>
      <c r="R2250" s="30" t="str" cm="1">
        <f t="array" ref="R2250">Main_Log_Ref(Main_Log[[#This Row],[Carrier]])</f>
        <v/>
      </c>
    </row>
    <row r="2251" spans="1:18" ht="29.85" customHeight="1" x14ac:dyDescent="0.45">
      <c r="A2251" s="30">
        <v>71</v>
      </c>
      <c r="B2251" s="30"/>
      <c r="C2251" s="30"/>
      <c r="D2251" s="30"/>
      <c r="E2251" s="30"/>
      <c r="F2251" s="30"/>
      <c r="G2251" s="30"/>
      <c r="H2251" s="30"/>
      <c r="I2251" s="30"/>
      <c r="J2251" s="30"/>
      <c r="K2251" s="30"/>
      <c r="L2251" s="30"/>
      <c r="M2251" s="30"/>
      <c r="N2251" s="30" t="str" cm="1">
        <f t="array" ref="N2251">Main_Log_Status(Main_Log[[#This Row],[Carrier]],Main_Log[[#This Row],[Net Weight]])</f>
        <v/>
      </c>
      <c r="O2251" s="30"/>
      <c r="P225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51" s="30"/>
      <c r="R2251" s="30" t="str" cm="1">
        <f t="array" ref="R2251">Main_Log_Ref(Main_Log[[#This Row],[Carrier]])</f>
        <v/>
      </c>
    </row>
    <row r="2252" spans="1:18" ht="29.85" customHeight="1" x14ac:dyDescent="0.45">
      <c r="A2252" s="30">
        <v>72</v>
      </c>
      <c r="B2252" s="30"/>
      <c r="C2252" s="30"/>
      <c r="D2252" s="30"/>
      <c r="E2252" s="30"/>
      <c r="F2252" s="30"/>
      <c r="G2252" s="30"/>
      <c r="H2252" s="30"/>
      <c r="I2252" s="30"/>
      <c r="J2252" s="30"/>
      <c r="K2252" s="30"/>
      <c r="L2252" s="30"/>
      <c r="M2252" s="30"/>
      <c r="N2252" s="30" t="str" cm="1">
        <f t="array" ref="N2252">Main_Log_Status(Main_Log[[#This Row],[Carrier]],Main_Log[[#This Row],[Net Weight]])</f>
        <v/>
      </c>
      <c r="O2252" s="30"/>
      <c r="P225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52" s="30"/>
      <c r="R2252" s="30" t="str" cm="1">
        <f t="array" ref="R2252">Main_Log_Ref(Main_Log[[#This Row],[Carrier]])</f>
        <v/>
      </c>
    </row>
    <row r="2253" spans="1:18" ht="29.85" customHeight="1" x14ac:dyDescent="0.45">
      <c r="A2253" s="30">
        <v>73</v>
      </c>
      <c r="B2253" s="30"/>
      <c r="C2253" s="30"/>
      <c r="D2253" s="30"/>
      <c r="E2253" s="30"/>
      <c r="F2253" s="30"/>
      <c r="G2253" s="30"/>
      <c r="H2253" s="30"/>
      <c r="I2253" s="30"/>
      <c r="J2253" s="30"/>
      <c r="K2253" s="30"/>
      <c r="L2253" s="30"/>
      <c r="M2253" s="30"/>
      <c r="N2253" s="30" t="str" cm="1">
        <f t="array" ref="N2253">Main_Log_Status(Main_Log[[#This Row],[Carrier]],Main_Log[[#This Row],[Net Weight]])</f>
        <v/>
      </c>
      <c r="O2253" s="30"/>
      <c r="P225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53" s="30"/>
      <c r="R2253" s="30" t="str" cm="1">
        <f t="array" ref="R2253">Main_Log_Ref(Main_Log[[#This Row],[Carrier]])</f>
        <v/>
      </c>
    </row>
    <row r="2254" spans="1:18" ht="29.85" customHeight="1" x14ac:dyDescent="0.45">
      <c r="A2254" s="30">
        <v>74</v>
      </c>
      <c r="B2254" s="30"/>
      <c r="C2254" s="30"/>
      <c r="D2254" s="30"/>
      <c r="E2254" s="30"/>
      <c r="F2254" s="30"/>
      <c r="G2254" s="30"/>
      <c r="H2254" s="30"/>
      <c r="I2254" s="30"/>
      <c r="J2254" s="30"/>
      <c r="K2254" s="30"/>
      <c r="L2254" s="30"/>
      <c r="M2254" s="30"/>
      <c r="N2254" s="30" t="str" cm="1">
        <f t="array" ref="N2254">Main_Log_Status(Main_Log[[#This Row],[Carrier]],Main_Log[[#This Row],[Net Weight]])</f>
        <v/>
      </c>
      <c r="O2254" s="30"/>
      <c r="P225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54" s="30"/>
      <c r="R2254" s="30" t="str" cm="1">
        <f t="array" ref="R2254">Main_Log_Ref(Main_Log[[#This Row],[Carrier]])</f>
        <v/>
      </c>
    </row>
    <row r="2255" spans="1:18" ht="29.85" customHeight="1" x14ac:dyDescent="0.45">
      <c r="A2255" s="30">
        <v>75</v>
      </c>
      <c r="B2255" s="30"/>
      <c r="C2255" s="30"/>
      <c r="D2255" s="30"/>
      <c r="E2255" s="30"/>
      <c r="F2255" s="30"/>
      <c r="G2255" s="30"/>
      <c r="H2255" s="30"/>
      <c r="I2255" s="30"/>
      <c r="J2255" s="30"/>
      <c r="K2255" s="30"/>
      <c r="L2255" s="30"/>
      <c r="M2255" s="30"/>
      <c r="N2255" s="30" t="str" cm="1">
        <f t="array" ref="N2255">Main_Log_Status(Main_Log[[#This Row],[Carrier]],Main_Log[[#This Row],[Net Weight]])</f>
        <v/>
      </c>
      <c r="O2255" s="30"/>
      <c r="P225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55" s="30"/>
      <c r="R2255" s="30" t="str" cm="1">
        <f t="array" ref="R2255">Main_Log_Ref(Main_Log[[#This Row],[Carrier]])</f>
        <v/>
      </c>
    </row>
    <row r="2256" spans="1:18" ht="29.85" customHeight="1" x14ac:dyDescent="0.45">
      <c r="A2256" s="30">
        <v>76</v>
      </c>
      <c r="B2256" s="30"/>
      <c r="C2256" s="30"/>
      <c r="D2256" s="30"/>
      <c r="E2256" s="30"/>
      <c r="F2256" s="30"/>
      <c r="G2256" s="30"/>
      <c r="H2256" s="30"/>
      <c r="I2256" s="30"/>
      <c r="J2256" s="30"/>
      <c r="K2256" s="30"/>
      <c r="L2256" s="30"/>
      <c r="M2256" s="30"/>
      <c r="N2256" s="30" t="str" cm="1">
        <f t="array" ref="N2256">Main_Log_Status(Main_Log[[#This Row],[Carrier]],Main_Log[[#This Row],[Net Weight]])</f>
        <v/>
      </c>
      <c r="O2256" s="30"/>
      <c r="P225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56" s="30"/>
      <c r="R2256" s="30" t="str" cm="1">
        <f t="array" ref="R2256">Main_Log_Ref(Main_Log[[#This Row],[Carrier]])</f>
        <v/>
      </c>
    </row>
    <row r="2257" spans="1:18" ht="29.85" customHeight="1" x14ac:dyDescent="0.45">
      <c r="A2257" s="30">
        <v>77</v>
      </c>
      <c r="B2257" s="30"/>
      <c r="C2257" s="30"/>
      <c r="D2257" s="30"/>
      <c r="E2257" s="30"/>
      <c r="F2257" s="30"/>
      <c r="G2257" s="30"/>
      <c r="H2257" s="30"/>
      <c r="I2257" s="30"/>
      <c r="J2257" s="30"/>
      <c r="K2257" s="30"/>
      <c r="L2257" s="30"/>
      <c r="M2257" s="30"/>
      <c r="N2257" s="30" t="str" cm="1">
        <f t="array" ref="N2257">Main_Log_Status(Main_Log[[#This Row],[Carrier]],Main_Log[[#This Row],[Net Weight]])</f>
        <v/>
      </c>
      <c r="O2257" s="30"/>
      <c r="P225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57" s="30"/>
      <c r="R2257" s="30" t="str" cm="1">
        <f t="array" ref="R2257">Main_Log_Ref(Main_Log[[#This Row],[Carrier]])</f>
        <v/>
      </c>
    </row>
    <row r="2258" spans="1:18" ht="29.85" customHeight="1" x14ac:dyDescent="0.45">
      <c r="A2258" s="30">
        <v>78</v>
      </c>
      <c r="B2258" s="30"/>
      <c r="C2258" s="30"/>
      <c r="D2258" s="30"/>
      <c r="E2258" s="30"/>
      <c r="F2258" s="30"/>
      <c r="G2258" s="30"/>
      <c r="H2258" s="30"/>
      <c r="I2258" s="30"/>
      <c r="J2258" s="30"/>
      <c r="K2258" s="30"/>
      <c r="L2258" s="30"/>
      <c r="M2258" s="30"/>
      <c r="N2258" s="30" t="str" cm="1">
        <f t="array" ref="N2258">Main_Log_Status(Main_Log[[#This Row],[Carrier]],Main_Log[[#This Row],[Net Weight]])</f>
        <v/>
      </c>
      <c r="O2258" s="30"/>
      <c r="P225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58" s="30"/>
      <c r="R2258" s="30" t="str" cm="1">
        <f t="array" ref="R2258">Main_Log_Ref(Main_Log[[#This Row],[Carrier]])</f>
        <v/>
      </c>
    </row>
    <row r="2259" spans="1:18" ht="29.85" customHeight="1" x14ac:dyDescent="0.45">
      <c r="A2259" s="30">
        <v>79</v>
      </c>
      <c r="B2259" s="30"/>
      <c r="C2259" s="30"/>
      <c r="D2259" s="30"/>
      <c r="E2259" s="30"/>
      <c r="F2259" s="30"/>
      <c r="G2259" s="30"/>
      <c r="H2259" s="30"/>
      <c r="I2259" s="30"/>
      <c r="J2259" s="30"/>
      <c r="K2259" s="30"/>
      <c r="L2259" s="30"/>
      <c r="M2259" s="30"/>
      <c r="N2259" s="30" t="str" cm="1">
        <f t="array" ref="N2259">Main_Log_Status(Main_Log[[#This Row],[Carrier]],Main_Log[[#This Row],[Net Weight]])</f>
        <v/>
      </c>
      <c r="O2259" s="30"/>
      <c r="P225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59" s="30"/>
      <c r="R2259" s="30" t="str" cm="1">
        <f t="array" ref="R2259">Main_Log_Ref(Main_Log[[#This Row],[Carrier]])</f>
        <v/>
      </c>
    </row>
    <row r="2260" spans="1:18" ht="29.85" customHeight="1" x14ac:dyDescent="0.45">
      <c r="A2260" s="30">
        <v>80</v>
      </c>
      <c r="B2260" s="30"/>
      <c r="C2260" s="30"/>
      <c r="D2260" s="30"/>
      <c r="E2260" s="30"/>
      <c r="F2260" s="30"/>
      <c r="G2260" s="30"/>
      <c r="H2260" s="30"/>
      <c r="I2260" s="30"/>
      <c r="J2260" s="30"/>
      <c r="K2260" s="30"/>
      <c r="L2260" s="30"/>
      <c r="M2260" s="30"/>
      <c r="N2260" s="30" t="str" cm="1">
        <f t="array" ref="N2260">Main_Log_Status(Main_Log[[#This Row],[Carrier]],Main_Log[[#This Row],[Net Weight]])</f>
        <v/>
      </c>
      <c r="O2260" s="30"/>
      <c r="P226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60" s="30"/>
      <c r="R2260" s="30" t="str" cm="1">
        <f t="array" ref="R2260">Main_Log_Ref(Main_Log[[#This Row],[Carrier]])</f>
        <v/>
      </c>
    </row>
    <row r="2261" spans="1:18" ht="29.85" customHeight="1" x14ac:dyDescent="0.45">
      <c r="A2261" s="30">
        <v>81</v>
      </c>
      <c r="B2261" s="30"/>
      <c r="C2261" s="30"/>
      <c r="D2261" s="30"/>
      <c r="E2261" s="30"/>
      <c r="F2261" s="30"/>
      <c r="G2261" s="30"/>
      <c r="H2261" s="30"/>
      <c r="I2261" s="30"/>
      <c r="J2261" s="30"/>
      <c r="K2261" s="30"/>
      <c r="L2261" s="30"/>
      <c r="M2261" s="30"/>
      <c r="N2261" s="30" t="str" cm="1">
        <f t="array" ref="N2261">Main_Log_Status(Main_Log[[#This Row],[Carrier]],Main_Log[[#This Row],[Net Weight]])</f>
        <v/>
      </c>
      <c r="O2261" s="30"/>
      <c r="P226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61" s="30"/>
      <c r="R2261" s="30" t="str" cm="1">
        <f t="array" ref="R2261">Main_Log_Ref(Main_Log[[#This Row],[Carrier]])</f>
        <v/>
      </c>
    </row>
    <row r="2262" spans="1:18" ht="29.85" customHeight="1" x14ac:dyDescent="0.45">
      <c r="A2262" s="30">
        <v>82</v>
      </c>
      <c r="B2262" s="30"/>
      <c r="C2262" s="30"/>
      <c r="D2262" s="30"/>
      <c r="E2262" s="30"/>
      <c r="F2262" s="30"/>
      <c r="G2262" s="30"/>
      <c r="H2262" s="30"/>
      <c r="I2262" s="30"/>
      <c r="J2262" s="30"/>
      <c r="K2262" s="30"/>
      <c r="L2262" s="30"/>
      <c r="M2262" s="30"/>
      <c r="N2262" s="30" t="str" cm="1">
        <f t="array" ref="N2262">Main_Log_Status(Main_Log[[#This Row],[Carrier]],Main_Log[[#This Row],[Net Weight]])</f>
        <v/>
      </c>
      <c r="O2262" s="30"/>
      <c r="P226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62" s="30"/>
      <c r="R2262" s="30" t="str" cm="1">
        <f t="array" ref="R2262">Main_Log_Ref(Main_Log[[#This Row],[Carrier]])</f>
        <v/>
      </c>
    </row>
    <row r="2263" spans="1:18" ht="29.85" customHeight="1" x14ac:dyDescent="0.45">
      <c r="A2263" s="30">
        <v>83</v>
      </c>
      <c r="B2263" s="30"/>
      <c r="C2263" s="30"/>
      <c r="D2263" s="30"/>
      <c r="E2263" s="30"/>
      <c r="F2263" s="30"/>
      <c r="G2263" s="30"/>
      <c r="H2263" s="30"/>
      <c r="I2263" s="30"/>
      <c r="J2263" s="30"/>
      <c r="K2263" s="30"/>
      <c r="L2263" s="30"/>
      <c r="M2263" s="30"/>
      <c r="N2263" s="30" t="str" cm="1">
        <f t="array" ref="N2263">Main_Log_Status(Main_Log[[#This Row],[Carrier]],Main_Log[[#This Row],[Net Weight]])</f>
        <v/>
      </c>
      <c r="O2263" s="30"/>
      <c r="P226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63" s="30"/>
      <c r="R2263" s="30" t="str" cm="1">
        <f t="array" ref="R2263">Main_Log_Ref(Main_Log[[#This Row],[Carrier]])</f>
        <v/>
      </c>
    </row>
    <row r="2264" spans="1:18" ht="29.85" customHeight="1" x14ac:dyDescent="0.45">
      <c r="A2264" s="30">
        <v>84</v>
      </c>
      <c r="B2264" s="30"/>
      <c r="C2264" s="30"/>
      <c r="D2264" s="30"/>
      <c r="E2264" s="30"/>
      <c r="F2264" s="30"/>
      <c r="G2264" s="30"/>
      <c r="H2264" s="30"/>
      <c r="I2264" s="30"/>
      <c r="J2264" s="30"/>
      <c r="K2264" s="30"/>
      <c r="L2264" s="30"/>
      <c r="M2264" s="30"/>
      <c r="N2264" s="30" t="str" cm="1">
        <f t="array" ref="N2264">Main_Log_Status(Main_Log[[#This Row],[Carrier]],Main_Log[[#This Row],[Net Weight]])</f>
        <v/>
      </c>
      <c r="O2264" s="30"/>
      <c r="P226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64" s="30"/>
      <c r="R2264" s="30" t="str" cm="1">
        <f t="array" ref="R2264">Main_Log_Ref(Main_Log[[#This Row],[Carrier]])</f>
        <v/>
      </c>
    </row>
    <row r="2265" spans="1:18" ht="29.85" customHeight="1" x14ac:dyDescent="0.45">
      <c r="A2265" s="30">
        <v>85</v>
      </c>
      <c r="B2265" s="30"/>
      <c r="C2265" s="30"/>
      <c r="D2265" s="30"/>
      <c r="E2265" s="30"/>
      <c r="F2265" s="30"/>
      <c r="G2265" s="30"/>
      <c r="H2265" s="30"/>
      <c r="I2265" s="30"/>
      <c r="J2265" s="30"/>
      <c r="K2265" s="30"/>
      <c r="L2265" s="30"/>
      <c r="M2265" s="30"/>
      <c r="N2265" s="30" t="str" cm="1">
        <f t="array" ref="N2265">Main_Log_Status(Main_Log[[#This Row],[Carrier]],Main_Log[[#This Row],[Net Weight]])</f>
        <v/>
      </c>
      <c r="O2265" s="30"/>
      <c r="P226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65" s="30"/>
      <c r="R2265" s="30" t="str" cm="1">
        <f t="array" ref="R2265">Main_Log_Ref(Main_Log[[#This Row],[Carrier]])</f>
        <v/>
      </c>
    </row>
    <row r="2266" spans="1:18" ht="29.85" customHeight="1" x14ac:dyDescent="0.45">
      <c r="A2266" s="30">
        <v>86</v>
      </c>
      <c r="B2266" s="30"/>
      <c r="C2266" s="30"/>
      <c r="D2266" s="30"/>
      <c r="E2266" s="30"/>
      <c r="F2266" s="30"/>
      <c r="G2266" s="30"/>
      <c r="H2266" s="30"/>
      <c r="I2266" s="30"/>
      <c r="J2266" s="30"/>
      <c r="K2266" s="30"/>
      <c r="L2266" s="30"/>
      <c r="M2266" s="30"/>
      <c r="N2266" s="30" t="str" cm="1">
        <f t="array" ref="N2266">Main_Log_Status(Main_Log[[#This Row],[Carrier]],Main_Log[[#This Row],[Net Weight]])</f>
        <v/>
      </c>
      <c r="O2266" s="30"/>
      <c r="P226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66" s="30"/>
      <c r="R2266" s="30" t="str" cm="1">
        <f t="array" ref="R2266">Main_Log_Ref(Main_Log[[#This Row],[Carrier]])</f>
        <v/>
      </c>
    </row>
    <row r="2267" spans="1:18" ht="29.85" customHeight="1" x14ac:dyDescent="0.45">
      <c r="A2267" s="30">
        <v>87</v>
      </c>
      <c r="B2267" s="30"/>
      <c r="C2267" s="30"/>
      <c r="D2267" s="30"/>
      <c r="E2267" s="30"/>
      <c r="F2267" s="30"/>
      <c r="G2267" s="30"/>
      <c r="H2267" s="30"/>
      <c r="I2267" s="30"/>
      <c r="J2267" s="30"/>
      <c r="K2267" s="30"/>
      <c r="L2267" s="30"/>
      <c r="M2267" s="30"/>
      <c r="N2267" s="30" t="str" cm="1">
        <f t="array" ref="N2267">Main_Log_Status(Main_Log[[#This Row],[Carrier]],Main_Log[[#This Row],[Net Weight]])</f>
        <v/>
      </c>
      <c r="O2267" s="30"/>
      <c r="P226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67" s="30"/>
      <c r="R2267" s="30" t="str" cm="1">
        <f t="array" ref="R2267">Main_Log_Ref(Main_Log[[#This Row],[Carrier]])</f>
        <v/>
      </c>
    </row>
    <row r="2268" spans="1:18" ht="29.85" customHeight="1" x14ac:dyDescent="0.45">
      <c r="A2268" s="30">
        <v>88</v>
      </c>
      <c r="B2268" s="30"/>
      <c r="C2268" s="30"/>
      <c r="D2268" s="30"/>
      <c r="E2268" s="30"/>
      <c r="F2268" s="30"/>
      <c r="G2268" s="30"/>
      <c r="H2268" s="30"/>
      <c r="I2268" s="30"/>
      <c r="J2268" s="30"/>
      <c r="K2268" s="30"/>
      <c r="L2268" s="30"/>
      <c r="M2268" s="30"/>
      <c r="N2268" s="30" t="str" cm="1">
        <f t="array" ref="N2268">Main_Log_Status(Main_Log[[#This Row],[Carrier]],Main_Log[[#This Row],[Net Weight]])</f>
        <v/>
      </c>
      <c r="O2268" s="30"/>
      <c r="P226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68" s="30"/>
      <c r="R2268" s="30" t="str" cm="1">
        <f t="array" ref="R2268">Main_Log_Ref(Main_Log[[#This Row],[Carrier]])</f>
        <v/>
      </c>
    </row>
    <row r="2269" spans="1:18" ht="29.85" customHeight="1" x14ac:dyDescent="0.45">
      <c r="A2269" s="30">
        <v>89</v>
      </c>
      <c r="B2269" s="30"/>
      <c r="C2269" s="30"/>
      <c r="D2269" s="30"/>
      <c r="E2269" s="30"/>
      <c r="F2269" s="30"/>
      <c r="G2269" s="30"/>
      <c r="H2269" s="30"/>
      <c r="I2269" s="30"/>
      <c r="J2269" s="30"/>
      <c r="K2269" s="30"/>
      <c r="L2269" s="30"/>
      <c r="M2269" s="30"/>
      <c r="N2269" s="30" t="str" cm="1">
        <f t="array" ref="N2269">Main_Log_Status(Main_Log[[#This Row],[Carrier]],Main_Log[[#This Row],[Net Weight]])</f>
        <v/>
      </c>
      <c r="O2269" s="30"/>
      <c r="P226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69" s="30"/>
      <c r="R2269" s="30" t="str" cm="1">
        <f t="array" ref="R2269">Main_Log_Ref(Main_Log[[#This Row],[Carrier]])</f>
        <v/>
      </c>
    </row>
    <row r="2270" spans="1:18" ht="29.85" customHeight="1" x14ac:dyDescent="0.45">
      <c r="A2270" s="30">
        <v>90</v>
      </c>
      <c r="B2270" s="30"/>
      <c r="C2270" s="30"/>
      <c r="D2270" s="30"/>
      <c r="E2270" s="30"/>
      <c r="F2270" s="30"/>
      <c r="G2270" s="30"/>
      <c r="H2270" s="30"/>
      <c r="I2270" s="30"/>
      <c r="J2270" s="30"/>
      <c r="K2270" s="30"/>
      <c r="L2270" s="30"/>
      <c r="M2270" s="30"/>
      <c r="N2270" s="30" t="str" cm="1">
        <f t="array" ref="N2270">Main_Log_Status(Main_Log[[#This Row],[Carrier]],Main_Log[[#This Row],[Net Weight]])</f>
        <v/>
      </c>
      <c r="O2270" s="30"/>
      <c r="P227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70" s="30"/>
      <c r="R2270" s="30" t="str" cm="1">
        <f t="array" ref="R2270">Main_Log_Ref(Main_Log[[#This Row],[Carrier]])</f>
        <v/>
      </c>
    </row>
    <row r="2271" spans="1:18" ht="29.85" customHeight="1" x14ac:dyDescent="0.45">
      <c r="A2271" s="30">
        <v>91</v>
      </c>
      <c r="B2271" s="30"/>
      <c r="C2271" s="30"/>
      <c r="D2271" s="30"/>
      <c r="E2271" s="30"/>
      <c r="F2271" s="30"/>
      <c r="G2271" s="30"/>
      <c r="H2271" s="30"/>
      <c r="I2271" s="30"/>
      <c r="J2271" s="30"/>
      <c r="K2271" s="30"/>
      <c r="L2271" s="30"/>
      <c r="M2271" s="30"/>
      <c r="N2271" s="30" t="str" cm="1">
        <f t="array" ref="N2271">Main_Log_Status(Main_Log[[#This Row],[Carrier]],Main_Log[[#This Row],[Net Weight]])</f>
        <v/>
      </c>
      <c r="O2271" s="30"/>
      <c r="P227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71" s="30"/>
      <c r="R2271" s="30" t="str" cm="1">
        <f t="array" ref="R2271">Main_Log_Ref(Main_Log[[#This Row],[Carrier]])</f>
        <v/>
      </c>
    </row>
    <row r="2272" spans="1:18" ht="29.85" customHeight="1" x14ac:dyDescent="0.45">
      <c r="A2272" s="30">
        <v>92</v>
      </c>
      <c r="B2272" s="30"/>
      <c r="C2272" s="30"/>
      <c r="D2272" s="30"/>
      <c r="E2272" s="30"/>
      <c r="F2272" s="30"/>
      <c r="G2272" s="30"/>
      <c r="H2272" s="30"/>
      <c r="I2272" s="30"/>
      <c r="J2272" s="30"/>
      <c r="K2272" s="30"/>
      <c r="L2272" s="30"/>
      <c r="M2272" s="30"/>
      <c r="N2272" s="30" t="str" cm="1">
        <f t="array" ref="N2272">Main_Log_Status(Main_Log[[#This Row],[Carrier]],Main_Log[[#This Row],[Net Weight]])</f>
        <v/>
      </c>
      <c r="O2272" s="30"/>
      <c r="P227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72" s="30"/>
      <c r="R2272" s="30" t="str" cm="1">
        <f t="array" ref="R2272">Main_Log_Ref(Main_Log[[#This Row],[Carrier]])</f>
        <v/>
      </c>
    </row>
    <row r="2273" spans="1:18" ht="29.85" customHeight="1" x14ac:dyDescent="0.45">
      <c r="A2273" s="30">
        <v>93</v>
      </c>
      <c r="B2273" s="30"/>
      <c r="C2273" s="30"/>
      <c r="D2273" s="30"/>
      <c r="E2273" s="30"/>
      <c r="F2273" s="30"/>
      <c r="G2273" s="30"/>
      <c r="H2273" s="30"/>
      <c r="I2273" s="30"/>
      <c r="J2273" s="30"/>
      <c r="K2273" s="30"/>
      <c r="L2273" s="30"/>
      <c r="M2273" s="30"/>
      <c r="N2273" s="30" t="str" cm="1">
        <f t="array" ref="N2273">Main_Log_Status(Main_Log[[#This Row],[Carrier]],Main_Log[[#This Row],[Net Weight]])</f>
        <v/>
      </c>
      <c r="O2273" s="30"/>
      <c r="P227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73" s="30"/>
      <c r="R2273" s="30" t="str" cm="1">
        <f t="array" ref="R2273">Main_Log_Ref(Main_Log[[#This Row],[Carrier]])</f>
        <v/>
      </c>
    </row>
    <row r="2274" spans="1:18" ht="29.85" customHeight="1" x14ac:dyDescent="0.45">
      <c r="A2274" s="30">
        <v>94</v>
      </c>
      <c r="B2274" s="30"/>
      <c r="C2274" s="30"/>
      <c r="D2274" s="30"/>
      <c r="E2274" s="30"/>
      <c r="F2274" s="30"/>
      <c r="G2274" s="30"/>
      <c r="H2274" s="30"/>
      <c r="I2274" s="30"/>
      <c r="J2274" s="30"/>
      <c r="K2274" s="30"/>
      <c r="L2274" s="30"/>
      <c r="M2274" s="30"/>
      <c r="N2274" s="30" t="str" cm="1">
        <f t="array" ref="N2274">Main_Log_Status(Main_Log[[#This Row],[Carrier]],Main_Log[[#This Row],[Net Weight]])</f>
        <v/>
      </c>
      <c r="O2274" s="30"/>
      <c r="P227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74" s="30"/>
      <c r="R2274" s="30" t="str" cm="1">
        <f t="array" ref="R2274">Main_Log_Ref(Main_Log[[#This Row],[Carrier]])</f>
        <v/>
      </c>
    </row>
    <row r="2275" spans="1:18" ht="29.85" customHeight="1" x14ac:dyDescent="0.45">
      <c r="A2275" s="30">
        <v>95</v>
      </c>
      <c r="B2275" s="30"/>
      <c r="C2275" s="30"/>
      <c r="D2275" s="30"/>
      <c r="E2275" s="30"/>
      <c r="F2275" s="30"/>
      <c r="G2275" s="30"/>
      <c r="H2275" s="30"/>
      <c r="I2275" s="30"/>
      <c r="J2275" s="30"/>
      <c r="K2275" s="30"/>
      <c r="L2275" s="30"/>
      <c r="M2275" s="30"/>
      <c r="N2275" s="30" t="str" cm="1">
        <f t="array" ref="N2275">Main_Log_Status(Main_Log[[#This Row],[Carrier]],Main_Log[[#This Row],[Net Weight]])</f>
        <v/>
      </c>
      <c r="O2275" s="30"/>
      <c r="P227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75" s="30"/>
      <c r="R2275" s="30" t="str" cm="1">
        <f t="array" ref="R2275">Main_Log_Ref(Main_Log[[#This Row],[Carrier]])</f>
        <v/>
      </c>
    </row>
    <row r="2276" spans="1:18" ht="29.85" customHeight="1" x14ac:dyDescent="0.45">
      <c r="A2276" s="30">
        <v>96</v>
      </c>
      <c r="B2276" s="30"/>
      <c r="C2276" s="30"/>
      <c r="D2276" s="30"/>
      <c r="E2276" s="30"/>
      <c r="F2276" s="30"/>
      <c r="G2276" s="30"/>
      <c r="H2276" s="30"/>
      <c r="I2276" s="30"/>
      <c r="J2276" s="30"/>
      <c r="K2276" s="30"/>
      <c r="L2276" s="30"/>
      <c r="M2276" s="30"/>
      <c r="N2276" s="30" t="str" cm="1">
        <f t="array" ref="N2276">Main_Log_Status(Main_Log[[#This Row],[Carrier]],Main_Log[[#This Row],[Net Weight]])</f>
        <v/>
      </c>
      <c r="O2276" s="30"/>
      <c r="P227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76" s="30"/>
      <c r="R2276" s="30" t="str" cm="1">
        <f t="array" ref="R2276">Main_Log_Ref(Main_Log[[#This Row],[Carrier]])</f>
        <v/>
      </c>
    </row>
    <row r="2277" spans="1:18" ht="29.85" customHeight="1" x14ac:dyDescent="0.45">
      <c r="A2277" s="30">
        <v>97</v>
      </c>
      <c r="B2277" s="30"/>
      <c r="C2277" s="30"/>
      <c r="D2277" s="30"/>
      <c r="E2277" s="30"/>
      <c r="F2277" s="30"/>
      <c r="G2277" s="30"/>
      <c r="H2277" s="30"/>
      <c r="I2277" s="30"/>
      <c r="J2277" s="30"/>
      <c r="K2277" s="30"/>
      <c r="L2277" s="30"/>
      <c r="M2277" s="30"/>
      <c r="N2277" s="30" t="str" cm="1">
        <f t="array" ref="N2277">Main_Log_Status(Main_Log[[#This Row],[Carrier]],Main_Log[[#This Row],[Net Weight]])</f>
        <v/>
      </c>
      <c r="O2277" s="30"/>
      <c r="P227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77" s="30"/>
      <c r="R2277" s="30" t="str" cm="1">
        <f t="array" ref="R2277">Main_Log_Ref(Main_Log[[#This Row],[Carrier]])</f>
        <v/>
      </c>
    </row>
    <row r="2278" spans="1:18" ht="29.85" customHeight="1" x14ac:dyDescent="0.45">
      <c r="A2278" s="30">
        <v>98</v>
      </c>
      <c r="B2278" s="30"/>
      <c r="C2278" s="30"/>
      <c r="D2278" s="30"/>
      <c r="E2278" s="30"/>
      <c r="F2278" s="30"/>
      <c r="G2278" s="30"/>
      <c r="H2278" s="30"/>
      <c r="I2278" s="30"/>
      <c r="J2278" s="30"/>
      <c r="K2278" s="30"/>
      <c r="L2278" s="30"/>
      <c r="M2278" s="30"/>
      <c r="N2278" s="30" t="str" cm="1">
        <f t="array" ref="N2278">Main_Log_Status(Main_Log[[#This Row],[Carrier]],Main_Log[[#This Row],[Net Weight]])</f>
        <v/>
      </c>
      <c r="O2278" s="30"/>
      <c r="P227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78" s="30"/>
      <c r="R2278" s="30" t="str" cm="1">
        <f t="array" ref="R2278">Main_Log_Ref(Main_Log[[#This Row],[Carrier]])</f>
        <v/>
      </c>
    </row>
    <row r="2279" spans="1:18" ht="29.85" customHeight="1" x14ac:dyDescent="0.45">
      <c r="A2279" s="30">
        <v>99</v>
      </c>
      <c r="B2279" s="30"/>
      <c r="C2279" s="30"/>
      <c r="D2279" s="30"/>
      <c r="E2279" s="30"/>
      <c r="F2279" s="30"/>
      <c r="G2279" s="30"/>
      <c r="H2279" s="30"/>
      <c r="I2279" s="30"/>
      <c r="J2279" s="30"/>
      <c r="K2279" s="30"/>
      <c r="L2279" s="30"/>
      <c r="M2279" s="30"/>
      <c r="N2279" s="30" t="str" cm="1">
        <f t="array" ref="N2279">Main_Log_Status(Main_Log[[#This Row],[Carrier]],Main_Log[[#This Row],[Net Weight]])</f>
        <v/>
      </c>
      <c r="O2279" s="30"/>
      <c r="P227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79" s="30"/>
      <c r="R2279" s="30" t="str" cm="1">
        <f t="array" ref="R2279">Main_Log_Ref(Main_Log[[#This Row],[Carrier]])</f>
        <v/>
      </c>
    </row>
    <row r="2280" spans="1:18" ht="29.85" customHeight="1" x14ac:dyDescent="0.45">
      <c r="A2280" s="30">
        <v>1</v>
      </c>
      <c r="B2280" s="30"/>
      <c r="C2280" s="30"/>
      <c r="D2280" s="30"/>
      <c r="E2280" s="30"/>
      <c r="F2280" s="30"/>
      <c r="G2280" s="30"/>
      <c r="H2280" s="30"/>
      <c r="I2280" s="30"/>
      <c r="J2280" s="30"/>
      <c r="K2280" s="30"/>
      <c r="L2280" s="30"/>
      <c r="M2280" s="30"/>
      <c r="N2280" s="30" t="str" cm="1">
        <f t="array" ref="N2280">Main_Log_Status(Main_Log[[#This Row],[Carrier]],Main_Log[[#This Row],[Net Weight]])</f>
        <v/>
      </c>
      <c r="O2280" s="30"/>
      <c r="P228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80" s="30"/>
      <c r="R2280" s="30" t="str" cm="1">
        <f t="array" ref="R2280">Main_Log_Ref(Main_Log[[#This Row],[Carrier]])</f>
        <v/>
      </c>
    </row>
    <row r="2281" spans="1:18" ht="29.85" customHeight="1" x14ac:dyDescent="0.45">
      <c r="A2281" s="30">
        <v>2</v>
      </c>
      <c r="B2281" s="30"/>
      <c r="C2281" s="30"/>
      <c r="D2281" s="30"/>
      <c r="E2281" s="30"/>
      <c r="F2281" s="30"/>
      <c r="G2281" s="30"/>
      <c r="H2281" s="30"/>
      <c r="I2281" s="30"/>
      <c r="J2281" s="30"/>
      <c r="K2281" s="30"/>
      <c r="L2281" s="30"/>
      <c r="M2281" s="30"/>
      <c r="N2281" s="30" t="str" cm="1">
        <f t="array" ref="N2281">Main_Log_Status(Main_Log[[#This Row],[Carrier]],Main_Log[[#This Row],[Net Weight]])</f>
        <v/>
      </c>
      <c r="O2281" s="30"/>
      <c r="P228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81" s="30"/>
      <c r="R2281" s="30" t="str" cm="1">
        <f t="array" ref="R2281">Main_Log_Ref(Main_Log[[#This Row],[Carrier]])</f>
        <v/>
      </c>
    </row>
    <row r="2282" spans="1:18" ht="29.85" customHeight="1" x14ac:dyDescent="0.45">
      <c r="A2282" s="30">
        <v>3</v>
      </c>
      <c r="B2282" s="30"/>
      <c r="C2282" s="30"/>
      <c r="D2282" s="30"/>
      <c r="E2282" s="30"/>
      <c r="F2282" s="30"/>
      <c r="G2282" s="30"/>
      <c r="H2282" s="30"/>
      <c r="I2282" s="30"/>
      <c r="J2282" s="30"/>
      <c r="K2282" s="30"/>
      <c r="L2282" s="30"/>
      <c r="M2282" s="30"/>
      <c r="N2282" s="30" t="str" cm="1">
        <f t="array" ref="N2282">Main_Log_Status(Main_Log[[#This Row],[Carrier]],Main_Log[[#This Row],[Net Weight]])</f>
        <v/>
      </c>
      <c r="O2282" s="30"/>
      <c r="P228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82" s="30"/>
      <c r="R2282" s="30" t="str" cm="1">
        <f t="array" ref="R2282">Main_Log_Ref(Main_Log[[#This Row],[Carrier]])</f>
        <v/>
      </c>
    </row>
    <row r="2283" spans="1:18" ht="29.85" customHeight="1" x14ac:dyDescent="0.45">
      <c r="A2283" s="30">
        <v>4</v>
      </c>
      <c r="B2283" s="30"/>
      <c r="C2283" s="30"/>
      <c r="D2283" s="30"/>
      <c r="E2283" s="30"/>
      <c r="F2283" s="30"/>
      <c r="G2283" s="30"/>
      <c r="H2283" s="30"/>
      <c r="I2283" s="30"/>
      <c r="J2283" s="30"/>
      <c r="K2283" s="30"/>
      <c r="L2283" s="30"/>
      <c r="M2283" s="30"/>
      <c r="N2283" s="30" t="str" cm="1">
        <f t="array" ref="N2283">Main_Log_Status(Main_Log[[#This Row],[Carrier]],Main_Log[[#This Row],[Net Weight]])</f>
        <v/>
      </c>
      <c r="O2283" s="30"/>
      <c r="P228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83" s="30"/>
      <c r="R2283" s="30" t="str" cm="1">
        <f t="array" ref="R2283">Main_Log_Ref(Main_Log[[#This Row],[Carrier]])</f>
        <v/>
      </c>
    </row>
    <row r="2284" spans="1:18" ht="29.85" customHeight="1" x14ac:dyDescent="0.45">
      <c r="A2284" s="30">
        <v>5</v>
      </c>
      <c r="B2284" s="30"/>
      <c r="C2284" s="30"/>
      <c r="D2284" s="30"/>
      <c r="E2284" s="30"/>
      <c r="F2284" s="30"/>
      <c r="G2284" s="30"/>
      <c r="H2284" s="30"/>
      <c r="I2284" s="30"/>
      <c r="J2284" s="30"/>
      <c r="K2284" s="30"/>
      <c r="L2284" s="30"/>
      <c r="M2284" s="30"/>
      <c r="N2284" s="30" t="str" cm="1">
        <f t="array" ref="N2284">Main_Log_Status(Main_Log[[#This Row],[Carrier]],Main_Log[[#This Row],[Net Weight]])</f>
        <v/>
      </c>
      <c r="O2284" s="30"/>
      <c r="P228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84" s="30"/>
      <c r="R2284" s="30" t="str" cm="1">
        <f t="array" ref="R2284">Main_Log_Ref(Main_Log[[#This Row],[Carrier]])</f>
        <v/>
      </c>
    </row>
    <row r="2285" spans="1:18" ht="29.85" customHeight="1" x14ac:dyDescent="0.45">
      <c r="A2285" s="30">
        <v>6</v>
      </c>
      <c r="B2285" s="30"/>
      <c r="C2285" s="30"/>
      <c r="D2285" s="30"/>
      <c r="E2285" s="30"/>
      <c r="F2285" s="30"/>
      <c r="G2285" s="30"/>
      <c r="H2285" s="30"/>
      <c r="I2285" s="30"/>
      <c r="J2285" s="30"/>
      <c r="K2285" s="30"/>
      <c r="L2285" s="30"/>
      <c r="M2285" s="30"/>
      <c r="N2285" s="30" t="str" cm="1">
        <f t="array" ref="N2285">Main_Log_Status(Main_Log[[#This Row],[Carrier]],Main_Log[[#This Row],[Net Weight]])</f>
        <v/>
      </c>
      <c r="O2285" s="30"/>
      <c r="P228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85" s="30"/>
      <c r="R2285" s="30" t="str" cm="1">
        <f t="array" ref="R2285">Main_Log_Ref(Main_Log[[#This Row],[Carrier]])</f>
        <v/>
      </c>
    </row>
    <row r="2286" spans="1:18" ht="29.85" customHeight="1" x14ac:dyDescent="0.45">
      <c r="A2286" s="30">
        <v>7</v>
      </c>
      <c r="B2286" s="30"/>
      <c r="C2286" s="30"/>
      <c r="D2286" s="30"/>
      <c r="E2286" s="30"/>
      <c r="F2286" s="30"/>
      <c r="G2286" s="30"/>
      <c r="H2286" s="30"/>
      <c r="I2286" s="30"/>
      <c r="J2286" s="30"/>
      <c r="K2286" s="30"/>
      <c r="L2286" s="30"/>
      <c r="M2286" s="30"/>
      <c r="N2286" s="30" t="str" cm="1">
        <f t="array" ref="N2286">Main_Log_Status(Main_Log[[#This Row],[Carrier]],Main_Log[[#This Row],[Net Weight]])</f>
        <v/>
      </c>
      <c r="O2286" s="30"/>
      <c r="P228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86" s="30"/>
      <c r="R2286" s="30" t="str" cm="1">
        <f t="array" ref="R2286">Main_Log_Ref(Main_Log[[#This Row],[Carrier]])</f>
        <v/>
      </c>
    </row>
    <row r="2287" spans="1:18" ht="29.85" customHeight="1" x14ac:dyDescent="0.45">
      <c r="A2287" s="30">
        <v>8</v>
      </c>
      <c r="B2287" s="30"/>
      <c r="C2287" s="30"/>
      <c r="D2287" s="30"/>
      <c r="E2287" s="30"/>
      <c r="F2287" s="30"/>
      <c r="G2287" s="30"/>
      <c r="H2287" s="30"/>
      <c r="I2287" s="30"/>
      <c r="J2287" s="30"/>
      <c r="K2287" s="30"/>
      <c r="L2287" s="30"/>
      <c r="M2287" s="30"/>
      <c r="N2287" s="30" t="str" cm="1">
        <f t="array" ref="N2287">Main_Log_Status(Main_Log[[#This Row],[Carrier]],Main_Log[[#This Row],[Net Weight]])</f>
        <v/>
      </c>
      <c r="O2287" s="30"/>
      <c r="P228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87" s="30"/>
      <c r="R2287" s="30" t="str" cm="1">
        <f t="array" ref="R2287">Main_Log_Ref(Main_Log[[#This Row],[Carrier]])</f>
        <v/>
      </c>
    </row>
    <row r="2288" spans="1:18" ht="29.85" customHeight="1" x14ac:dyDescent="0.45">
      <c r="A2288" s="30">
        <v>9</v>
      </c>
      <c r="B2288" s="30"/>
      <c r="C2288" s="30"/>
      <c r="D2288" s="30"/>
      <c r="E2288" s="30"/>
      <c r="F2288" s="30"/>
      <c r="G2288" s="30"/>
      <c r="H2288" s="30"/>
      <c r="I2288" s="30"/>
      <c r="J2288" s="30"/>
      <c r="K2288" s="30"/>
      <c r="L2288" s="30"/>
      <c r="M2288" s="30"/>
      <c r="N2288" s="30" t="str" cm="1">
        <f t="array" ref="N2288">Main_Log_Status(Main_Log[[#This Row],[Carrier]],Main_Log[[#This Row],[Net Weight]])</f>
        <v/>
      </c>
      <c r="O2288" s="30"/>
      <c r="P228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88" s="30"/>
      <c r="R2288" s="30" t="str" cm="1">
        <f t="array" ref="R2288">Main_Log_Ref(Main_Log[[#This Row],[Carrier]])</f>
        <v/>
      </c>
    </row>
    <row r="2289" spans="1:18" ht="29.85" customHeight="1" x14ac:dyDescent="0.45">
      <c r="A2289" s="30">
        <v>10</v>
      </c>
      <c r="B2289" s="30"/>
      <c r="C2289" s="30"/>
      <c r="D2289" s="30"/>
      <c r="E2289" s="30"/>
      <c r="F2289" s="30"/>
      <c r="G2289" s="30"/>
      <c r="H2289" s="30"/>
      <c r="I2289" s="30"/>
      <c r="J2289" s="30"/>
      <c r="K2289" s="30"/>
      <c r="L2289" s="30"/>
      <c r="M2289" s="30"/>
      <c r="N2289" s="30" t="str" cm="1">
        <f t="array" ref="N2289">Main_Log_Status(Main_Log[[#This Row],[Carrier]],Main_Log[[#This Row],[Net Weight]])</f>
        <v/>
      </c>
      <c r="O2289" s="30"/>
      <c r="P228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89" s="30"/>
      <c r="R2289" s="30" t="str" cm="1">
        <f t="array" ref="R2289">Main_Log_Ref(Main_Log[[#This Row],[Carrier]])</f>
        <v/>
      </c>
    </row>
    <row r="2290" spans="1:18" ht="29.85" customHeight="1" x14ac:dyDescent="0.45">
      <c r="A2290" s="30">
        <v>11</v>
      </c>
      <c r="B2290" s="30"/>
      <c r="C2290" s="30"/>
      <c r="D2290" s="30"/>
      <c r="E2290" s="30"/>
      <c r="F2290" s="30"/>
      <c r="G2290" s="30"/>
      <c r="H2290" s="30"/>
      <c r="I2290" s="30"/>
      <c r="J2290" s="30"/>
      <c r="K2290" s="30"/>
      <c r="L2290" s="30"/>
      <c r="M2290" s="30"/>
      <c r="N2290" s="30" t="str" cm="1">
        <f t="array" ref="N2290">Main_Log_Status(Main_Log[[#This Row],[Carrier]],Main_Log[[#This Row],[Net Weight]])</f>
        <v/>
      </c>
      <c r="O2290" s="30"/>
      <c r="P229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90" s="30"/>
      <c r="R2290" s="30" t="str" cm="1">
        <f t="array" ref="R2290">Main_Log_Ref(Main_Log[[#This Row],[Carrier]])</f>
        <v/>
      </c>
    </row>
    <row r="2291" spans="1:18" ht="29.85" customHeight="1" x14ac:dyDescent="0.45">
      <c r="A2291" s="30">
        <v>12</v>
      </c>
      <c r="B2291" s="30"/>
      <c r="C2291" s="30"/>
      <c r="D2291" s="30"/>
      <c r="E2291" s="30"/>
      <c r="F2291" s="30"/>
      <c r="G2291" s="30"/>
      <c r="H2291" s="30"/>
      <c r="I2291" s="30"/>
      <c r="J2291" s="30"/>
      <c r="K2291" s="30"/>
      <c r="L2291" s="30"/>
      <c r="M2291" s="30"/>
      <c r="N2291" s="30" t="str" cm="1">
        <f t="array" ref="N2291">Main_Log_Status(Main_Log[[#This Row],[Carrier]],Main_Log[[#This Row],[Net Weight]])</f>
        <v/>
      </c>
      <c r="O2291" s="30"/>
      <c r="P229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91" s="30"/>
      <c r="R2291" s="30" t="str" cm="1">
        <f t="array" ref="R2291">Main_Log_Ref(Main_Log[[#This Row],[Carrier]])</f>
        <v/>
      </c>
    </row>
    <row r="2292" spans="1:18" ht="29.85" customHeight="1" x14ac:dyDescent="0.45">
      <c r="A2292" s="30">
        <v>13</v>
      </c>
      <c r="B2292" s="30"/>
      <c r="C2292" s="30"/>
      <c r="D2292" s="30"/>
      <c r="E2292" s="30"/>
      <c r="F2292" s="30"/>
      <c r="G2292" s="30"/>
      <c r="H2292" s="30"/>
      <c r="I2292" s="30"/>
      <c r="J2292" s="30"/>
      <c r="K2292" s="30"/>
      <c r="L2292" s="30"/>
      <c r="M2292" s="30"/>
      <c r="N2292" s="30" t="str" cm="1">
        <f t="array" ref="N2292">Main_Log_Status(Main_Log[[#This Row],[Carrier]],Main_Log[[#This Row],[Net Weight]])</f>
        <v/>
      </c>
      <c r="O2292" s="30"/>
      <c r="P229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92" s="30"/>
      <c r="R2292" s="30" t="str" cm="1">
        <f t="array" ref="R2292">Main_Log_Ref(Main_Log[[#This Row],[Carrier]])</f>
        <v/>
      </c>
    </row>
    <row r="2293" spans="1:18" ht="29.85" customHeight="1" x14ac:dyDescent="0.45">
      <c r="A2293" s="30">
        <v>14</v>
      </c>
      <c r="B2293" s="30"/>
      <c r="C2293" s="30"/>
      <c r="D2293" s="30"/>
      <c r="E2293" s="30"/>
      <c r="F2293" s="30"/>
      <c r="G2293" s="30"/>
      <c r="H2293" s="30"/>
      <c r="I2293" s="30"/>
      <c r="J2293" s="30"/>
      <c r="K2293" s="30"/>
      <c r="L2293" s="30"/>
      <c r="M2293" s="30"/>
      <c r="N2293" s="30" t="str" cm="1">
        <f t="array" ref="N2293">Main_Log_Status(Main_Log[[#This Row],[Carrier]],Main_Log[[#This Row],[Net Weight]])</f>
        <v/>
      </c>
      <c r="O2293" s="30"/>
      <c r="P229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93" s="30"/>
      <c r="R2293" s="30" t="str" cm="1">
        <f t="array" ref="R2293">Main_Log_Ref(Main_Log[[#This Row],[Carrier]])</f>
        <v/>
      </c>
    </row>
    <row r="2294" spans="1:18" ht="29.85" customHeight="1" x14ac:dyDescent="0.45">
      <c r="A2294" s="30">
        <v>15</v>
      </c>
      <c r="B2294" s="30"/>
      <c r="C2294" s="30"/>
      <c r="D2294" s="30"/>
      <c r="E2294" s="30"/>
      <c r="F2294" s="30"/>
      <c r="G2294" s="30"/>
      <c r="H2294" s="30"/>
      <c r="I2294" s="30"/>
      <c r="J2294" s="30"/>
      <c r="K2294" s="30"/>
      <c r="L2294" s="30"/>
      <c r="M2294" s="30"/>
      <c r="N2294" s="30" t="str" cm="1">
        <f t="array" ref="N2294">Main_Log_Status(Main_Log[[#This Row],[Carrier]],Main_Log[[#This Row],[Net Weight]])</f>
        <v/>
      </c>
      <c r="O2294" s="30"/>
      <c r="P229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94" s="30"/>
      <c r="R2294" s="30" t="str" cm="1">
        <f t="array" ref="R2294">Main_Log_Ref(Main_Log[[#This Row],[Carrier]])</f>
        <v/>
      </c>
    </row>
    <row r="2295" spans="1:18" ht="29.85" customHeight="1" x14ac:dyDescent="0.45">
      <c r="A2295" s="30">
        <v>16</v>
      </c>
      <c r="B2295" s="30"/>
      <c r="C2295" s="30"/>
      <c r="D2295" s="30"/>
      <c r="E2295" s="30"/>
      <c r="F2295" s="30"/>
      <c r="G2295" s="30"/>
      <c r="H2295" s="30"/>
      <c r="I2295" s="30"/>
      <c r="J2295" s="30"/>
      <c r="K2295" s="30"/>
      <c r="L2295" s="30"/>
      <c r="M2295" s="30"/>
      <c r="N2295" s="30" t="str" cm="1">
        <f t="array" ref="N2295">Main_Log_Status(Main_Log[[#This Row],[Carrier]],Main_Log[[#This Row],[Net Weight]])</f>
        <v/>
      </c>
      <c r="O2295" s="30"/>
      <c r="P229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95" s="30"/>
      <c r="R2295" s="30" t="str" cm="1">
        <f t="array" ref="R2295">Main_Log_Ref(Main_Log[[#This Row],[Carrier]])</f>
        <v/>
      </c>
    </row>
    <row r="2296" spans="1:18" ht="29.85" customHeight="1" x14ac:dyDescent="0.45">
      <c r="A2296" s="30">
        <v>17</v>
      </c>
      <c r="B2296" s="30"/>
      <c r="C2296" s="30"/>
      <c r="D2296" s="30"/>
      <c r="E2296" s="30"/>
      <c r="F2296" s="30"/>
      <c r="G2296" s="30"/>
      <c r="H2296" s="30"/>
      <c r="I2296" s="30"/>
      <c r="J2296" s="30"/>
      <c r="K2296" s="30"/>
      <c r="L2296" s="30"/>
      <c r="M2296" s="30"/>
      <c r="N2296" s="30" t="str" cm="1">
        <f t="array" ref="N2296">Main_Log_Status(Main_Log[[#This Row],[Carrier]],Main_Log[[#This Row],[Net Weight]])</f>
        <v/>
      </c>
      <c r="O2296" s="30"/>
      <c r="P229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96" s="30"/>
      <c r="R2296" s="30" t="str" cm="1">
        <f t="array" ref="R2296">Main_Log_Ref(Main_Log[[#This Row],[Carrier]])</f>
        <v/>
      </c>
    </row>
    <row r="2297" spans="1:18" ht="29.85" customHeight="1" x14ac:dyDescent="0.45">
      <c r="A2297" s="30">
        <v>18</v>
      </c>
      <c r="B2297" s="30"/>
      <c r="C2297" s="30"/>
      <c r="D2297" s="30"/>
      <c r="E2297" s="30"/>
      <c r="F2297" s="30"/>
      <c r="G2297" s="30"/>
      <c r="H2297" s="30"/>
      <c r="I2297" s="30"/>
      <c r="J2297" s="30"/>
      <c r="K2297" s="30"/>
      <c r="L2297" s="30"/>
      <c r="M2297" s="30"/>
      <c r="N2297" s="30" t="str" cm="1">
        <f t="array" ref="N2297">Main_Log_Status(Main_Log[[#This Row],[Carrier]],Main_Log[[#This Row],[Net Weight]])</f>
        <v/>
      </c>
      <c r="O2297" s="30"/>
      <c r="P229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97" s="30"/>
      <c r="R2297" s="30" t="str" cm="1">
        <f t="array" ref="R2297">Main_Log_Ref(Main_Log[[#This Row],[Carrier]])</f>
        <v/>
      </c>
    </row>
    <row r="2298" spans="1:18" ht="29.85" customHeight="1" x14ac:dyDescent="0.45">
      <c r="A2298" s="30">
        <v>19</v>
      </c>
      <c r="B2298" s="30"/>
      <c r="C2298" s="30"/>
      <c r="D2298" s="30"/>
      <c r="E2298" s="30"/>
      <c r="F2298" s="30"/>
      <c r="G2298" s="30"/>
      <c r="H2298" s="30"/>
      <c r="I2298" s="30"/>
      <c r="J2298" s="30"/>
      <c r="K2298" s="30"/>
      <c r="L2298" s="30"/>
      <c r="M2298" s="30"/>
      <c r="N2298" s="30" t="str" cm="1">
        <f t="array" ref="N2298">Main_Log_Status(Main_Log[[#This Row],[Carrier]],Main_Log[[#This Row],[Net Weight]])</f>
        <v/>
      </c>
      <c r="O2298" s="30"/>
      <c r="P229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98" s="30"/>
      <c r="R2298" s="30" t="str" cm="1">
        <f t="array" ref="R2298">Main_Log_Ref(Main_Log[[#This Row],[Carrier]])</f>
        <v/>
      </c>
    </row>
    <row r="2299" spans="1:18" ht="29.85" customHeight="1" x14ac:dyDescent="0.45">
      <c r="A2299" s="30">
        <v>20</v>
      </c>
      <c r="B2299" s="30"/>
      <c r="C2299" s="30"/>
      <c r="D2299" s="30"/>
      <c r="E2299" s="30"/>
      <c r="F2299" s="30"/>
      <c r="G2299" s="30"/>
      <c r="H2299" s="30"/>
      <c r="I2299" s="30"/>
      <c r="J2299" s="30"/>
      <c r="K2299" s="30"/>
      <c r="L2299" s="30"/>
      <c r="M2299" s="30"/>
      <c r="N2299" s="30" t="str" cm="1">
        <f t="array" ref="N2299">Main_Log_Status(Main_Log[[#This Row],[Carrier]],Main_Log[[#This Row],[Net Weight]])</f>
        <v/>
      </c>
      <c r="O2299" s="30"/>
      <c r="P229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299" s="30"/>
      <c r="R2299" s="30" t="str" cm="1">
        <f t="array" ref="R2299">Main_Log_Ref(Main_Log[[#This Row],[Carrier]])</f>
        <v/>
      </c>
    </row>
    <row r="2300" spans="1:18" ht="29.85" customHeight="1" x14ac:dyDescent="0.45">
      <c r="A2300" s="30">
        <v>21</v>
      </c>
      <c r="B2300" s="30"/>
      <c r="C2300" s="30"/>
      <c r="D2300" s="30"/>
      <c r="E2300" s="30"/>
      <c r="F2300" s="30"/>
      <c r="G2300" s="30"/>
      <c r="H2300" s="30"/>
      <c r="I2300" s="30"/>
      <c r="J2300" s="30"/>
      <c r="K2300" s="30"/>
      <c r="L2300" s="30"/>
      <c r="M2300" s="30"/>
      <c r="N2300" s="30" t="str" cm="1">
        <f t="array" ref="N2300">Main_Log_Status(Main_Log[[#This Row],[Carrier]],Main_Log[[#This Row],[Net Weight]])</f>
        <v/>
      </c>
      <c r="O2300" s="30"/>
      <c r="P230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00" s="30"/>
      <c r="R2300" s="30" t="str" cm="1">
        <f t="array" ref="R2300">Main_Log_Ref(Main_Log[[#This Row],[Carrier]])</f>
        <v/>
      </c>
    </row>
    <row r="2301" spans="1:18" ht="29.85" customHeight="1" x14ac:dyDescent="0.45">
      <c r="A2301" s="30">
        <v>22</v>
      </c>
      <c r="B2301" s="30"/>
      <c r="C2301" s="30"/>
      <c r="D2301" s="30"/>
      <c r="E2301" s="30"/>
      <c r="F2301" s="30"/>
      <c r="G2301" s="30"/>
      <c r="H2301" s="30"/>
      <c r="I2301" s="30"/>
      <c r="J2301" s="30"/>
      <c r="K2301" s="30"/>
      <c r="L2301" s="30"/>
      <c r="M2301" s="30"/>
      <c r="N2301" s="30" t="str" cm="1">
        <f t="array" ref="N2301">Main_Log_Status(Main_Log[[#This Row],[Carrier]],Main_Log[[#This Row],[Net Weight]])</f>
        <v/>
      </c>
      <c r="O2301" s="30"/>
      <c r="P230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01" s="30"/>
      <c r="R2301" s="30" t="str" cm="1">
        <f t="array" ref="R2301">Main_Log_Ref(Main_Log[[#This Row],[Carrier]])</f>
        <v/>
      </c>
    </row>
    <row r="2302" spans="1:18" ht="29.85" customHeight="1" x14ac:dyDescent="0.45">
      <c r="A2302" s="30">
        <v>23</v>
      </c>
      <c r="B2302" s="30"/>
      <c r="C2302" s="30"/>
      <c r="D2302" s="30"/>
      <c r="E2302" s="30"/>
      <c r="F2302" s="30"/>
      <c r="G2302" s="30"/>
      <c r="H2302" s="30"/>
      <c r="I2302" s="30"/>
      <c r="J2302" s="30"/>
      <c r="K2302" s="30"/>
      <c r="L2302" s="30"/>
      <c r="M2302" s="30"/>
      <c r="N2302" s="30" t="str" cm="1">
        <f t="array" ref="N2302">Main_Log_Status(Main_Log[[#This Row],[Carrier]],Main_Log[[#This Row],[Net Weight]])</f>
        <v/>
      </c>
      <c r="O2302" s="30"/>
      <c r="P230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02" s="30"/>
      <c r="R2302" s="30" t="str" cm="1">
        <f t="array" ref="R2302">Main_Log_Ref(Main_Log[[#This Row],[Carrier]])</f>
        <v/>
      </c>
    </row>
    <row r="2303" spans="1:18" ht="29.85" customHeight="1" x14ac:dyDescent="0.45">
      <c r="A2303" s="30">
        <v>24</v>
      </c>
      <c r="B2303" s="30"/>
      <c r="C2303" s="30"/>
      <c r="D2303" s="30"/>
      <c r="E2303" s="30"/>
      <c r="F2303" s="30"/>
      <c r="G2303" s="30"/>
      <c r="H2303" s="30"/>
      <c r="I2303" s="30"/>
      <c r="J2303" s="30"/>
      <c r="K2303" s="30"/>
      <c r="L2303" s="30"/>
      <c r="M2303" s="30"/>
      <c r="N2303" s="30" t="str" cm="1">
        <f t="array" ref="N2303">Main_Log_Status(Main_Log[[#This Row],[Carrier]],Main_Log[[#This Row],[Net Weight]])</f>
        <v/>
      </c>
      <c r="O2303" s="30"/>
      <c r="P230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03" s="30"/>
      <c r="R2303" s="30" t="str" cm="1">
        <f t="array" ref="R2303">Main_Log_Ref(Main_Log[[#This Row],[Carrier]])</f>
        <v/>
      </c>
    </row>
    <row r="2304" spans="1:18" ht="29.85" customHeight="1" x14ac:dyDescent="0.45">
      <c r="A2304" s="30">
        <v>25</v>
      </c>
      <c r="B2304" s="30"/>
      <c r="C2304" s="30"/>
      <c r="D2304" s="30"/>
      <c r="E2304" s="30"/>
      <c r="F2304" s="30"/>
      <c r="G2304" s="30"/>
      <c r="H2304" s="30"/>
      <c r="I2304" s="30"/>
      <c r="J2304" s="30"/>
      <c r="K2304" s="30"/>
      <c r="L2304" s="30"/>
      <c r="M2304" s="30"/>
      <c r="N2304" s="30" t="str" cm="1">
        <f t="array" ref="N2304">Main_Log_Status(Main_Log[[#This Row],[Carrier]],Main_Log[[#This Row],[Net Weight]])</f>
        <v/>
      </c>
      <c r="O2304" s="30"/>
      <c r="P230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04" s="30"/>
      <c r="R2304" s="30" t="str" cm="1">
        <f t="array" ref="R2304">Main_Log_Ref(Main_Log[[#This Row],[Carrier]])</f>
        <v/>
      </c>
    </row>
    <row r="2305" spans="1:18" ht="29.85" customHeight="1" x14ac:dyDescent="0.45">
      <c r="A2305" s="30">
        <v>26</v>
      </c>
      <c r="B2305" s="30"/>
      <c r="C2305" s="30"/>
      <c r="D2305" s="30"/>
      <c r="E2305" s="30"/>
      <c r="F2305" s="30"/>
      <c r="G2305" s="30"/>
      <c r="H2305" s="30"/>
      <c r="I2305" s="30"/>
      <c r="J2305" s="30"/>
      <c r="K2305" s="30"/>
      <c r="L2305" s="30"/>
      <c r="M2305" s="30"/>
      <c r="N2305" s="30" t="str" cm="1">
        <f t="array" ref="N2305">Main_Log_Status(Main_Log[[#This Row],[Carrier]],Main_Log[[#This Row],[Net Weight]])</f>
        <v/>
      </c>
      <c r="O2305" s="30"/>
      <c r="P230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05" s="30"/>
      <c r="R2305" s="30" t="str" cm="1">
        <f t="array" ref="R2305">Main_Log_Ref(Main_Log[[#This Row],[Carrier]])</f>
        <v/>
      </c>
    </row>
    <row r="2306" spans="1:18" ht="29.85" customHeight="1" x14ac:dyDescent="0.45">
      <c r="A2306" s="30">
        <v>27</v>
      </c>
      <c r="B2306" s="30"/>
      <c r="C2306" s="30"/>
      <c r="D2306" s="30"/>
      <c r="E2306" s="30"/>
      <c r="F2306" s="30"/>
      <c r="G2306" s="30"/>
      <c r="H2306" s="30"/>
      <c r="I2306" s="30"/>
      <c r="J2306" s="30"/>
      <c r="K2306" s="30"/>
      <c r="L2306" s="30"/>
      <c r="M2306" s="30"/>
      <c r="N2306" s="30" t="str" cm="1">
        <f t="array" ref="N2306">Main_Log_Status(Main_Log[[#This Row],[Carrier]],Main_Log[[#This Row],[Net Weight]])</f>
        <v/>
      </c>
      <c r="O2306" s="30"/>
      <c r="P230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06" s="30"/>
      <c r="R2306" s="30" t="str" cm="1">
        <f t="array" ref="R2306">Main_Log_Ref(Main_Log[[#This Row],[Carrier]])</f>
        <v/>
      </c>
    </row>
    <row r="2307" spans="1:18" ht="29.85" customHeight="1" x14ac:dyDescent="0.45">
      <c r="A2307" s="30">
        <v>28</v>
      </c>
      <c r="B2307" s="30"/>
      <c r="C2307" s="30"/>
      <c r="D2307" s="30"/>
      <c r="E2307" s="30"/>
      <c r="F2307" s="30"/>
      <c r="G2307" s="30"/>
      <c r="H2307" s="30"/>
      <c r="I2307" s="30"/>
      <c r="J2307" s="30"/>
      <c r="K2307" s="30"/>
      <c r="L2307" s="30"/>
      <c r="M2307" s="30"/>
      <c r="N2307" s="30" t="str" cm="1">
        <f t="array" ref="N2307">Main_Log_Status(Main_Log[[#This Row],[Carrier]],Main_Log[[#This Row],[Net Weight]])</f>
        <v/>
      </c>
      <c r="O2307" s="30"/>
      <c r="P230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07" s="30"/>
      <c r="R2307" s="30" t="str" cm="1">
        <f t="array" ref="R2307">Main_Log_Ref(Main_Log[[#This Row],[Carrier]])</f>
        <v/>
      </c>
    </row>
    <row r="2308" spans="1:18" ht="29.85" customHeight="1" x14ac:dyDescent="0.45">
      <c r="A2308" s="30">
        <v>29</v>
      </c>
      <c r="B2308" s="30"/>
      <c r="C2308" s="30"/>
      <c r="D2308" s="30"/>
      <c r="E2308" s="30"/>
      <c r="F2308" s="30"/>
      <c r="G2308" s="30"/>
      <c r="H2308" s="30"/>
      <c r="I2308" s="30"/>
      <c r="J2308" s="30"/>
      <c r="K2308" s="30"/>
      <c r="L2308" s="30"/>
      <c r="M2308" s="30"/>
      <c r="N2308" s="30" t="str" cm="1">
        <f t="array" ref="N2308">Main_Log_Status(Main_Log[[#This Row],[Carrier]],Main_Log[[#This Row],[Net Weight]])</f>
        <v/>
      </c>
      <c r="O2308" s="30"/>
      <c r="P230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08" s="30"/>
      <c r="R2308" s="30" t="str" cm="1">
        <f t="array" ref="R2308">Main_Log_Ref(Main_Log[[#This Row],[Carrier]])</f>
        <v/>
      </c>
    </row>
    <row r="2309" spans="1:18" ht="29.85" customHeight="1" x14ac:dyDescent="0.45">
      <c r="A2309" s="30">
        <v>30</v>
      </c>
      <c r="B2309" s="30"/>
      <c r="C2309" s="30"/>
      <c r="D2309" s="30"/>
      <c r="E2309" s="30"/>
      <c r="F2309" s="30"/>
      <c r="G2309" s="30"/>
      <c r="H2309" s="30"/>
      <c r="I2309" s="30"/>
      <c r="J2309" s="30"/>
      <c r="K2309" s="30"/>
      <c r="L2309" s="30"/>
      <c r="M2309" s="30"/>
      <c r="N2309" s="30" t="str" cm="1">
        <f t="array" ref="N2309">Main_Log_Status(Main_Log[[#This Row],[Carrier]],Main_Log[[#This Row],[Net Weight]])</f>
        <v/>
      </c>
      <c r="O2309" s="30"/>
      <c r="P230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09" s="30"/>
      <c r="R2309" s="30" t="str" cm="1">
        <f t="array" ref="R2309">Main_Log_Ref(Main_Log[[#This Row],[Carrier]])</f>
        <v/>
      </c>
    </row>
    <row r="2310" spans="1:18" ht="29.85" customHeight="1" x14ac:dyDescent="0.45">
      <c r="A2310" s="30">
        <v>31</v>
      </c>
      <c r="B2310" s="30"/>
      <c r="C2310" s="30"/>
      <c r="D2310" s="30"/>
      <c r="E2310" s="30"/>
      <c r="F2310" s="30"/>
      <c r="G2310" s="30"/>
      <c r="H2310" s="30"/>
      <c r="I2310" s="30"/>
      <c r="J2310" s="30"/>
      <c r="K2310" s="30"/>
      <c r="L2310" s="30"/>
      <c r="M2310" s="30"/>
      <c r="N2310" s="30" t="str" cm="1">
        <f t="array" ref="N2310">Main_Log_Status(Main_Log[[#This Row],[Carrier]],Main_Log[[#This Row],[Net Weight]])</f>
        <v/>
      </c>
      <c r="O2310" s="30"/>
      <c r="P231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10" s="30"/>
      <c r="R2310" s="30" t="str" cm="1">
        <f t="array" ref="R2310">Main_Log_Ref(Main_Log[[#This Row],[Carrier]])</f>
        <v/>
      </c>
    </row>
    <row r="2311" spans="1:18" ht="29.85" customHeight="1" x14ac:dyDescent="0.45">
      <c r="A2311" s="30">
        <v>32</v>
      </c>
      <c r="B2311" s="30"/>
      <c r="C2311" s="30"/>
      <c r="D2311" s="30"/>
      <c r="E2311" s="30"/>
      <c r="F2311" s="30"/>
      <c r="G2311" s="30"/>
      <c r="H2311" s="30"/>
      <c r="I2311" s="30"/>
      <c r="J2311" s="30"/>
      <c r="K2311" s="30"/>
      <c r="L2311" s="30"/>
      <c r="M2311" s="30"/>
      <c r="N2311" s="30" t="str" cm="1">
        <f t="array" ref="N2311">Main_Log_Status(Main_Log[[#This Row],[Carrier]],Main_Log[[#This Row],[Net Weight]])</f>
        <v/>
      </c>
      <c r="O2311" s="30"/>
      <c r="P231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11" s="30"/>
      <c r="R2311" s="30" t="str" cm="1">
        <f t="array" ref="R2311">Main_Log_Ref(Main_Log[[#This Row],[Carrier]])</f>
        <v/>
      </c>
    </row>
    <row r="2312" spans="1:18" ht="29.85" customHeight="1" x14ac:dyDescent="0.45">
      <c r="A2312" s="30">
        <v>33</v>
      </c>
      <c r="B2312" s="30"/>
      <c r="C2312" s="30"/>
      <c r="D2312" s="30"/>
      <c r="E2312" s="30"/>
      <c r="F2312" s="30"/>
      <c r="G2312" s="30"/>
      <c r="H2312" s="30"/>
      <c r="I2312" s="30"/>
      <c r="J2312" s="30"/>
      <c r="K2312" s="30"/>
      <c r="L2312" s="30"/>
      <c r="M2312" s="30"/>
      <c r="N2312" s="30" t="str" cm="1">
        <f t="array" ref="N2312">Main_Log_Status(Main_Log[[#This Row],[Carrier]],Main_Log[[#This Row],[Net Weight]])</f>
        <v/>
      </c>
      <c r="O2312" s="30"/>
      <c r="P231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12" s="30"/>
      <c r="R2312" s="30" t="str" cm="1">
        <f t="array" ref="R2312">Main_Log_Ref(Main_Log[[#This Row],[Carrier]])</f>
        <v/>
      </c>
    </row>
    <row r="2313" spans="1:18" ht="29.85" customHeight="1" x14ac:dyDescent="0.45">
      <c r="A2313" s="30">
        <v>34</v>
      </c>
      <c r="B2313" s="30"/>
      <c r="C2313" s="30"/>
      <c r="D2313" s="30"/>
      <c r="E2313" s="30"/>
      <c r="F2313" s="30"/>
      <c r="G2313" s="30"/>
      <c r="H2313" s="30"/>
      <c r="I2313" s="30"/>
      <c r="J2313" s="30"/>
      <c r="K2313" s="30"/>
      <c r="L2313" s="30"/>
      <c r="M2313" s="30"/>
      <c r="N2313" s="30" t="str" cm="1">
        <f t="array" ref="N2313">Main_Log_Status(Main_Log[[#This Row],[Carrier]],Main_Log[[#This Row],[Net Weight]])</f>
        <v/>
      </c>
      <c r="O2313" s="30"/>
      <c r="P231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13" s="30"/>
      <c r="R2313" s="30" t="str" cm="1">
        <f t="array" ref="R2313">Main_Log_Ref(Main_Log[[#This Row],[Carrier]])</f>
        <v/>
      </c>
    </row>
    <row r="2314" spans="1:18" ht="29.85" customHeight="1" x14ac:dyDescent="0.45">
      <c r="A2314" s="30">
        <v>35</v>
      </c>
      <c r="B2314" s="30"/>
      <c r="C2314" s="30"/>
      <c r="D2314" s="30"/>
      <c r="E2314" s="30"/>
      <c r="F2314" s="30"/>
      <c r="G2314" s="30"/>
      <c r="H2314" s="30"/>
      <c r="I2314" s="30"/>
      <c r="J2314" s="30"/>
      <c r="K2314" s="30"/>
      <c r="L2314" s="30"/>
      <c r="M2314" s="30"/>
      <c r="N2314" s="30" t="str" cm="1">
        <f t="array" ref="N2314">Main_Log_Status(Main_Log[[#This Row],[Carrier]],Main_Log[[#This Row],[Net Weight]])</f>
        <v/>
      </c>
      <c r="O2314" s="30"/>
      <c r="P231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14" s="30"/>
      <c r="R2314" s="30" t="str" cm="1">
        <f t="array" ref="R2314">Main_Log_Ref(Main_Log[[#This Row],[Carrier]])</f>
        <v/>
      </c>
    </row>
    <row r="2315" spans="1:18" ht="29.85" customHeight="1" x14ac:dyDescent="0.45">
      <c r="A2315" s="30">
        <v>36</v>
      </c>
      <c r="B2315" s="30"/>
      <c r="C2315" s="30"/>
      <c r="D2315" s="30"/>
      <c r="E2315" s="30"/>
      <c r="F2315" s="30"/>
      <c r="G2315" s="30"/>
      <c r="H2315" s="30"/>
      <c r="I2315" s="30"/>
      <c r="J2315" s="30"/>
      <c r="K2315" s="30"/>
      <c r="L2315" s="30"/>
      <c r="M2315" s="30"/>
      <c r="N2315" s="30" t="str" cm="1">
        <f t="array" ref="N2315">Main_Log_Status(Main_Log[[#This Row],[Carrier]],Main_Log[[#This Row],[Net Weight]])</f>
        <v/>
      </c>
      <c r="O2315" s="30"/>
      <c r="P231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15" s="30"/>
      <c r="R2315" s="30" t="str" cm="1">
        <f t="array" ref="R2315">Main_Log_Ref(Main_Log[[#This Row],[Carrier]])</f>
        <v/>
      </c>
    </row>
    <row r="2316" spans="1:18" ht="29.85" customHeight="1" x14ac:dyDescent="0.45">
      <c r="A2316" s="30">
        <v>37</v>
      </c>
      <c r="B2316" s="30"/>
      <c r="C2316" s="30"/>
      <c r="D2316" s="30"/>
      <c r="E2316" s="30"/>
      <c r="F2316" s="30"/>
      <c r="G2316" s="30"/>
      <c r="H2316" s="30"/>
      <c r="I2316" s="30"/>
      <c r="J2316" s="30"/>
      <c r="K2316" s="30"/>
      <c r="L2316" s="30"/>
      <c r="M2316" s="30"/>
      <c r="N2316" s="30" t="str" cm="1">
        <f t="array" ref="N2316">Main_Log_Status(Main_Log[[#This Row],[Carrier]],Main_Log[[#This Row],[Net Weight]])</f>
        <v/>
      </c>
      <c r="O2316" s="30"/>
      <c r="P231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16" s="30"/>
      <c r="R2316" s="30" t="str" cm="1">
        <f t="array" ref="R2316">Main_Log_Ref(Main_Log[[#This Row],[Carrier]])</f>
        <v/>
      </c>
    </row>
    <row r="2317" spans="1:18" ht="29.85" customHeight="1" x14ac:dyDescent="0.45">
      <c r="A2317" s="30">
        <v>38</v>
      </c>
      <c r="B2317" s="30"/>
      <c r="C2317" s="30"/>
      <c r="D2317" s="30"/>
      <c r="E2317" s="30"/>
      <c r="F2317" s="30"/>
      <c r="G2317" s="30"/>
      <c r="H2317" s="30"/>
      <c r="I2317" s="30"/>
      <c r="J2317" s="30"/>
      <c r="K2317" s="30"/>
      <c r="L2317" s="30"/>
      <c r="M2317" s="30"/>
      <c r="N2317" s="30" t="str" cm="1">
        <f t="array" ref="N2317">Main_Log_Status(Main_Log[[#This Row],[Carrier]],Main_Log[[#This Row],[Net Weight]])</f>
        <v/>
      </c>
      <c r="O2317" s="30"/>
      <c r="P231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17" s="30"/>
      <c r="R2317" s="30" t="str" cm="1">
        <f t="array" ref="R2317">Main_Log_Ref(Main_Log[[#This Row],[Carrier]])</f>
        <v/>
      </c>
    </row>
    <row r="2318" spans="1:18" ht="29.85" customHeight="1" x14ac:dyDescent="0.45">
      <c r="A2318" s="30">
        <v>39</v>
      </c>
      <c r="B2318" s="30"/>
      <c r="C2318" s="30"/>
      <c r="D2318" s="30"/>
      <c r="E2318" s="30"/>
      <c r="F2318" s="30"/>
      <c r="G2318" s="30"/>
      <c r="H2318" s="30"/>
      <c r="I2318" s="30"/>
      <c r="J2318" s="30"/>
      <c r="K2318" s="30"/>
      <c r="L2318" s="30"/>
      <c r="M2318" s="30"/>
      <c r="N2318" s="30" t="str" cm="1">
        <f t="array" ref="N2318">Main_Log_Status(Main_Log[[#This Row],[Carrier]],Main_Log[[#This Row],[Net Weight]])</f>
        <v/>
      </c>
      <c r="O2318" s="30"/>
      <c r="P231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18" s="30"/>
      <c r="R2318" s="30" t="str" cm="1">
        <f t="array" ref="R2318">Main_Log_Ref(Main_Log[[#This Row],[Carrier]])</f>
        <v/>
      </c>
    </row>
    <row r="2319" spans="1:18" ht="29.85" customHeight="1" x14ac:dyDescent="0.45">
      <c r="A2319" s="30">
        <v>40</v>
      </c>
      <c r="B2319" s="30"/>
      <c r="C2319" s="30"/>
      <c r="D2319" s="30"/>
      <c r="E2319" s="30"/>
      <c r="F2319" s="30"/>
      <c r="G2319" s="30"/>
      <c r="H2319" s="30"/>
      <c r="I2319" s="30"/>
      <c r="J2319" s="30"/>
      <c r="K2319" s="30"/>
      <c r="L2319" s="30"/>
      <c r="M2319" s="30"/>
      <c r="N2319" s="30" t="str" cm="1">
        <f t="array" ref="N2319">Main_Log_Status(Main_Log[[#This Row],[Carrier]],Main_Log[[#This Row],[Net Weight]])</f>
        <v/>
      </c>
      <c r="O2319" s="30"/>
      <c r="P231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19" s="30"/>
      <c r="R2319" s="30" t="str" cm="1">
        <f t="array" ref="R2319">Main_Log_Ref(Main_Log[[#This Row],[Carrier]])</f>
        <v/>
      </c>
    </row>
    <row r="2320" spans="1:18" ht="29.85" customHeight="1" x14ac:dyDescent="0.45">
      <c r="A2320" s="30">
        <v>41</v>
      </c>
      <c r="B2320" s="30"/>
      <c r="C2320" s="30"/>
      <c r="D2320" s="30"/>
      <c r="E2320" s="30"/>
      <c r="F2320" s="30"/>
      <c r="G2320" s="30"/>
      <c r="H2320" s="30"/>
      <c r="I2320" s="30"/>
      <c r="J2320" s="30"/>
      <c r="K2320" s="30"/>
      <c r="L2320" s="30"/>
      <c r="M2320" s="30"/>
      <c r="N2320" s="30" t="str" cm="1">
        <f t="array" ref="N2320">Main_Log_Status(Main_Log[[#This Row],[Carrier]],Main_Log[[#This Row],[Net Weight]])</f>
        <v/>
      </c>
      <c r="O2320" s="30"/>
      <c r="P232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20" s="30"/>
      <c r="R2320" s="30" t="str" cm="1">
        <f t="array" ref="R2320">Main_Log_Ref(Main_Log[[#This Row],[Carrier]])</f>
        <v/>
      </c>
    </row>
    <row r="2321" spans="1:18" ht="29.85" customHeight="1" x14ac:dyDescent="0.45">
      <c r="A2321" s="30">
        <v>42</v>
      </c>
      <c r="B2321" s="30"/>
      <c r="C2321" s="30"/>
      <c r="D2321" s="30"/>
      <c r="E2321" s="30"/>
      <c r="F2321" s="30"/>
      <c r="G2321" s="30"/>
      <c r="H2321" s="30"/>
      <c r="I2321" s="30"/>
      <c r="J2321" s="30"/>
      <c r="K2321" s="30"/>
      <c r="L2321" s="30"/>
      <c r="M2321" s="30"/>
      <c r="N2321" s="30" t="str" cm="1">
        <f t="array" ref="N2321">Main_Log_Status(Main_Log[[#This Row],[Carrier]],Main_Log[[#This Row],[Net Weight]])</f>
        <v/>
      </c>
      <c r="O2321" s="30"/>
      <c r="P232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21" s="30"/>
      <c r="R2321" s="30" t="str" cm="1">
        <f t="array" ref="R2321">Main_Log_Ref(Main_Log[[#This Row],[Carrier]])</f>
        <v/>
      </c>
    </row>
    <row r="2322" spans="1:18" ht="29.85" customHeight="1" x14ac:dyDescent="0.45">
      <c r="A2322" s="30">
        <v>43</v>
      </c>
      <c r="B2322" s="30"/>
      <c r="C2322" s="30"/>
      <c r="D2322" s="30"/>
      <c r="E2322" s="30"/>
      <c r="F2322" s="30"/>
      <c r="G2322" s="30"/>
      <c r="H2322" s="30"/>
      <c r="I2322" s="30"/>
      <c r="J2322" s="30"/>
      <c r="K2322" s="30"/>
      <c r="L2322" s="30"/>
      <c r="M2322" s="30"/>
      <c r="N2322" s="30" t="str" cm="1">
        <f t="array" ref="N2322">Main_Log_Status(Main_Log[[#This Row],[Carrier]],Main_Log[[#This Row],[Net Weight]])</f>
        <v/>
      </c>
      <c r="O2322" s="30"/>
      <c r="P232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22" s="30"/>
      <c r="R2322" s="30" t="str" cm="1">
        <f t="array" ref="R2322">Main_Log_Ref(Main_Log[[#This Row],[Carrier]])</f>
        <v/>
      </c>
    </row>
    <row r="2323" spans="1:18" ht="29.85" customHeight="1" x14ac:dyDescent="0.45">
      <c r="A2323" s="30">
        <v>44</v>
      </c>
      <c r="B2323" s="30"/>
      <c r="C2323" s="30"/>
      <c r="D2323" s="30"/>
      <c r="E2323" s="30"/>
      <c r="F2323" s="30"/>
      <c r="G2323" s="30"/>
      <c r="H2323" s="30"/>
      <c r="I2323" s="30"/>
      <c r="J2323" s="30"/>
      <c r="K2323" s="30"/>
      <c r="L2323" s="30"/>
      <c r="M2323" s="30"/>
      <c r="N2323" s="30" t="str" cm="1">
        <f t="array" ref="N2323">Main_Log_Status(Main_Log[[#This Row],[Carrier]],Main_Log[[#This Row],[Net Weight]])</f>
        <v/>
      </c>
      <c r="O2323" s="30"/>
      <c r="P232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23" s="30"/>
      <c r="R2323" s="30" t="str" cm="1">
        <f t="array" ref="R2323">Main_Log_Ref(Main_Log[[#This Row],[Carrier]])</f>
        <v/>
      </c>
    </row>
    <row r="2324" spans="1:18" ht="29.85" customHeight="1" x14ac:dyDescent="0.45">
      <c r="A2324" s="30">
        <v>45</v>
      </c>
      <c r="B2324" s="30"/>
      <c r="C2324" s="30"/>
      <c r="D2324" s="30"/>
      <c r="E2324" s="30"/>
      <c r="F2324" s="30"/>
      <c r="G2324" s="30"/>
      <c r="H2324" s="30"/>
      <c r="I2324" s="30"/>
      <c r="J2324" s="30"/>
      <c r="K2324" s="30"/>
      <c r="L2324" s="30"/>
      <c r="M2324" s="30"/>
      <c r="N2324" s="30" t="str" cm="1">
        <f t="array" ref="N2324">Main_Log_Status(Main_Log[[#This Row],[Carrier]],Main_Log[[#This Row],[Net Weight]])</f>
        <v/>
      </c>
      <c r="O2324" s="30"/>
      <c r="P232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24" s="30"/>
      <c r="R2324" s="30" t="str" cm="1">
        <f t="array" ref="R2324">Main_Log_Ref(Main_Log[[#This Row],[Carrier]])</f>
        <v/>
      </c>
    </row>
    <row r="2325" spans="1:18" ht="29.85" customHeight="1" x14ac:dyDescent="0.45">
      <c r="A2325" s="30">
        <v>46</v>
      </c>
      <c r="B2325" s="30"/>
      <c r="C2325" s="30"/>
      <c r="D2325" s="30"/>
      <c r="E2325" s="30"/>
      <c r="F2325" s="30"/>
      <c r="G2325" s="30"/>
      <c r="H2325" s="30"/>
      <c r="I2325" s="30"/>
      <c r="J2325" s="30"/>
      <c r="K2325" s="30"/>
      <c r="L2325" s="30"/>
      <c r="M2325" s="30"/>
      <c r="N2325" s="30" t="str" cm="1">
        <f t="array" ref="N2325">Main_Log_Status(Main_Log[[#This Row],[Carrier]],Main_Log[[#This Row],[Net Weight]])</f>
        <v/>
      </c>
      <c r="O2325" s="30"/>
      <c r="P232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25" s="30"/>
      <c r="R2325" s="30" t="str" cm="1">
        <f t="array" ref="R2325">Main_Log_Ref(Main_Log[[#This Row],[Carrier]])</f>
        <v/>
      </c>
    </row>
    <row r="2326" spans="1:18" ht="29.85" customHeight="1" x14ac:dyDescent="0.45">
      <c r="A2326" s="30">
        <v>47</v>
      </c>
      <c r="B2326" s="30"/>
      <c r="C2326" s="30"/>
      <c r="D2326" s="30"/>
      <c r="E2326" s="30"/>
      <c r="F2326" s="30"/>
      <c r="G2326" s="30"/>
      <c r="H2326" s="30"/>
      <c r="I2326" s="30"/>
      <c r="J2326" s="30"/>
      <c r="K2326" s="30"/>
      <c r="L2326" s="30"/>
      <c r="M2326" s="30"/>
      <c r="N2326" s="30" t="str" cm="1">
        <f t="array" ref="N2326">Main_Log_Status(Main_Log[[#This Row],[Carrier]],Main_Log[[#This Row],[Net Weight]])</f>
        <v/>
      </c>
      <c r="O2326" s="30"/>
      <c r="P232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26" s="30"/>
      <c r="R2326" s="30" t="str" cm="1">
        <f t="array" ref="R2326">Main_Log_Ref(Main_Log[[#This Row],[Carrier]])</f>
        <v/>
      </c>
    </row>
    <row r="2327" spans="1:18" ht="29.85" customHeight="1" x14ac:dyDescent="0.45">
      <c r="A2327" s="30">
        <v>48</v>
      </c>
      <c r="B2327" s="30"/>
      <c r="C2327" s="30"/>
      <c r="D2327" s="30"/>
      <c r="E2327" s="30"/>
      <c r="F2327" s="30"/>
      <c r="G2327" s="30"/>
      <c r="H2327" s="30"/>
      <c r="I2327" s="30"/>
      <c r="J2327" s="30"/>
      <c r="K2327" s="30"/>
      <c r="L2327" s="30"/>
      <c r="M2327" s="30"/>
      <c r="N2327" s="30" t="str" cm="1">
        <f t="array" ref="N2327">Main_Log_Status(Main_Log[[#This Row],[Carrier]],Main_Log[[#This Row],[Net Weight]])</f>
        <v/>
      </c>
      <c r="O2327" s="30"/>
      <c r="P232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27" s="30"/>
      <c r="R2327" s="30" t="str" cm="1">
        <f t="array" ref="R2327">Main_Log_Ref(Main_Log[[#This Row],[Carrier]])</f>
        <v/>
      </c>
    </row>
    <row r="2328" spans="1:18" ht="29.85" customHeight="1" x14ac:dyDescent="0.45">
      <c r="A2328" s="30">
        <v>49</v>
      </c>
      <c r="B2328" s="30"/>
      <c r="C2328" s="30"/>
      <c r="D2328" s="30"/>
      <c r="E2328" s="30"/>
      <c r="F2328" s="30"/>
      <c r="G2328" s="30"/>
      <c r="H2328" s="30"/>
      <c r="I2328" s="30"/>
      <c r="J2328" s="30"/>
      <c r="K2328" s="30"/>
      <c r="L2328" s="30"/>
      <c r="M2328" s="30"/>
      <c r="N2328" s="30" t="str" cm="1">
        <f t="array" ref="N2328">Main_Log_Status(Main_Log[[#This Row],[Carrier]],Main_Log[[#This Row],[Net Weight]])</f>
        <v/>
      </c>
      <c r="O2328" s="30"/>
      <c r="P232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28" s="30"/>
      <c r="R2328" s="30" t="str" cm="1">
        <f t="array" ref="R2328">Main_Log_Ref(Main_Log[[#This Row],[Carrier]])</f>
        <v/>
      </c>
    </row>
    <row r="2329" spans="1:18" ht="29.85" customHeight="1" x14ac:dyDescent="0.45">
      <c r="A2329" s="30">
        <v>50</v>
      </c>
      <c r="B2329" s="30"/>
      <c r="C2329" s="30"/>
      <c r="D2329" s="30"/>
      <c r="E2329" s="30"/>
      <c r="F2329" s="30"/>
      <c r="G2329" s="30"/>
      <c r="H2329" s="30"/>
      <c r="I2329" s="30"/>
      <c r="J2329" s="30"/>
      <c r="K2329" s="30"/>
      <c r="L2329" s="30"/>
      <c r="M2329" s="30"/>
      <c r="N2329" s="30" t="str" cm="1">
        <f t="array" ref="N2329">Main_Log_Status(Main_Log[[#This Row],[Carrier]],Main_Log[[#This Row],[Net Weight]])</f>
        <v/>
      </c>
      <c r="O2329" s="30"/>
      <c r="P232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29" s="30"/>
      <c r="R2329" s="30" t="str" cm="1">
        <f t="array" ref="R2329">Main_Log_Ref(Main_Log[[#This Row],[Carrier]])</f>
        <v/>
      </c>
    </row>
    <row r="2330" spans="1:18" ht="29.85" customHeight="1" x14ac:dyDescent="0.45">
      <c r="A2330" s="30">
        <v>51</v>
      </c>
      <c r="B2330" s="30"/>
      <c r="C2330" s="30"/>
      <c r="D2330" s="30"/>
      <c r="E2330" s="30"/>
      <c r="F2330" s="30"/>
      <c r="G2330" s="30"/>
      <c r="H2330" s="30"/>
      <c r="I2330" s="30"/>
      <c r="J2330" s="30"/>
      <c r="K2330" s="30"/>
      <c r="L2330" s="30"/>
      <c r="M2330" s="30"/>
      <c r="N2330" s="30" t="str" cm="1">
        <f t="array" ref="N2330">Main_Log_Status(Main_Log[[#This Row],[Carrier]],Main_Log[[#This Row],[Net Weight]])</f>
        <v/>
      </c>
      <c r="O2330" s="30"/>
      <c r="P233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30" s="30"/>
      <c r="R2330" s="30" t="str" cm="1">
        <f t="array" ref="R2330">Main_Log_Ref(Main_Log[[#This Row],[Carrier]])</f>
        <v/>
      </c>
    </row>
    <row r="2331" spans="1:18" ht="29.85" customHeight="1" x14ac:dyDescent="0.45">
      <c r="A2331" s="30">
        <v>52</v>
      </c>
      <c r="B2331" s="30"/>
      <c r="C2331" s="30"/>
      <c r="D2331" s="30"/>
      <c r="E2331" s="30"/>
      <c r="F2331" s="30"/>
      <c r="G2331" s="30"/>
      <c r="H2331" s="30"/>
      <c r="I2331" s="30"/>
      <c r="J2331" s="30"/>
      <c r="K2331" s="30"/>
      <c r="L2331" s="30"/>
      <c r="M2331" s="30"/>
      <c r="N2331" s="30" t="str" cm="1">
        <f t="array" ref="N2331">Main_Log_Status(Main_Log[[#This Row],[Carrier]],Main_Log[[#This Row],[Net Weight]])</f>
        <v/>
      </c>
      <c r="O2331" s="30"/>
      <c r="P233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31" s="30"/>
      <c r="R2331" s="30" t="str" cm="1">
        <f t="array" ref="R2331">Main_Log_Ref(Main_Log[[#This Row],[Carrier]])</f>
        <v/>
      </c>
    </row>
    <row r="2332" spans="1:18" ht="29.85" customHeight="1" x14ac:dyDescent="0.45">
      <c r="A2332" s="30">
        <v>53</v>
      </c>
      <c r="B2332" s="30"/>
      <c r="C2332" s="30"/>
      <c r="D2332" s="30"/>
      <c r="E2332" s="30"/>
      <c r="F2332" s="30"/>
      <c r="G2332" s="30"/>
      <c r="H2332" s="30"/>
      <c r="I2332" s="30"/>
      <c r="J2332" s="30"/>
      <c r="K2332" s="30"/>
      <c r="L2332" s="30"/>
      <c r="M2332" s="30"/>
      <c r="N2332" s="30" t="str" cm="1">
        <f t="array" ref="N2332">Main_Log_Status(Main_Log[[#This Row],[Carrier]],Main_Log[[#This Row],[Net Weight]])</f>
        <v/>
      </c>
      <c r="O2332" s="30"/>
      <c r="P233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32" s="30"/>
      <c r="R2332" s="30" t="str" cm="1">
        <f t="array" ref="R2332">Main_Log_Ref(Main_Log[[#This Row],[Carrier]])</f>
        <v/>
      </c>
    </row>
    <row r="2333" spans="1:18" ht="29.85" customHeight="1" x14ac:dyDescent="0.45">
      <c r="A2333" s="30">
        <v>54</v>
      </c>
      <c r="B2333" s="30"/>
      <c r="C2333" s="30"/>
      <c r="D2333" s="30"/>
      <c r="E2333" s="30"/>
      <c r="F2333" s="30"/>
      <c r="G2333" s="30"/>
      <c r="H2333" s="30"/>
      <c r="I2333" s="30"/>
      <c r="J2333" s="30"/>
      <c r="K2333" s="30"/>
      <c r="L2333" s="30"/>
      <c r="M2333" s="30"/>
      <c r="N2333" s="30" t="str" cm="1">
        <f t="array" ref="N2333">Main_Log_Status(Main_Log[[#This Row],[Carrier]],Main_Log[[#This Row],[Net Weight]])</f>
        <v/>
      </c>
      <c r="O2333" s="30"/>
      <c r="P233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33" s="30"/>
      <c r="R2333" s="30" t="str" cm="1">
        <f t="array" ref="R2333">Main_Log_Ref(Main_Log[[#This Row],[Carrier]])</f>
        <v/>
      </c>
    </row>
    <row r="2334" spans="1:18" ht="29.85" customHeight="1" x14ac:dyDescent="0.45">
      <c r="A2334" s="30">
        <v>55</v>
      </c>
      <c r="B2334" s="30"/>
      <c r="C2334" s="30"/>
      <c r="D2334" s="30"/>
      <c r="E2334" s="30"/>
      <c r="F2334" s="30"/>
      <c r="G2334" s="30"/>
      <c r="H2334" s="30"/>
      <c r="I2334" s="30"/>
      <c r="J2334" s="30"/>
      <c r="K2334" s="30"/>
      <c r="L2334" s="30"/>
      <c r="M2334" s="30"/>
      <c r="N2334" s="30" t="str" cm="1">
        <f t="array" ref="N2334">Main_Log_Status(Main_Log[[#This Row],[Carrier]],Main_Log[[#This Row],[Net Weight]])</f>
        <v/>
      </c>
      <c r="O2334" s="30"/>
      <c r="P233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34" s="30"/>
      <c r="R2334" s="30" t="str" cm="1">
        <f t="array" ref="R2334">Main_Log_Ref(Main_Log[[#This Row],[Carrier]])</f>
        <v/>
      </c>
    </row>
    <row r="2335" spans="1:18" ht="29.85" customHeight="1" x14ac:dyDescent="0.45">
      <c r="A2335" s="30">
        <v>56</v>
      </c>
      <c r="B2335" s="30"/>
      <c r="C2335" s="30"/>
      <c r="D2335" s="30"/>
      <c r="E2335" s="30"/>
      <c r="F2335" s="30"/>
      <c r="G2335" s="30"/>
      <c r="H2335" s="30"/>
      <c r="I2335" s="30"/>
      <c r="J2335" s="30"/>
      <c r="K2335" s="30"/>
      <c r="L2335" s="30"/>
      <c r="M2335" s="30"/>
      <c r="N2335" s="30" t="str" cm="1">
        <f t="array" ref="N2335">Main_Log_Status(Main_Log[[#This Row],[Carrier]],Main_Log[[#This Row],[Net Weight]])</f>
        <v/>
      </c>
      <c r="O2335" s="30"/>
      <c r="P233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35" s="30"/>
      <c r="R2335" s="30" t="str" cm="1">
        <f t="array" ref="R2335">Main_Log_Ref(Main_Log[[#This Row],[Carrier]])</f>
        <v/>
      </c>
    </row>
    <row r="2336" spans="1:18" ht="29.85" customHeight="1" x14ac:dyDescent="0.45">
      <c r="A2336" s="30">
        <v>57</v>
      </c>
      <c r="B2336" s="30"/>
      <c r="C2336" s="30"/>
      <c r="D2336" s="30"/>
      <c r="E2336" s="30"/>
      <c r="F2336" s="30"/>
      <c r="G2336" s="30"/>
      <c r="H2336" s="30"/>
      <c r="I2336" s="30"/>
      <c r="J2336" s="30"/>
      <c r="K2336" s="30"/>
      <c r="L2336" s="30"/>
      <c r="M2336" s="30"/>
      <c r="N2336" s="30" t="str" cm="1">
        <f t="array" ref="N2336">Main_Log_Status(Main_Log[[#This Row],[Carrier]],Main_Log[[#This Row],[Net Weight]])</f>
        <v/>
      </c>
      <c r="O2336" s="30"/>
      <c r="P233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36" s="30"/>
      <c r="R2336" s="30" t="str" cm="1">
        <f t="array" ref="R2336">Main_Log_Ref(Main_Log[[#This Row],[Carrier]])</f>
        <v/>
      </c>
    </row>
    <row r="2337" spans="1:18" ht="29.85" customHeight="1" x14ac:dyDescent="0.45">
      <c r="A2337" s="30">
        <v>58</v>
      </c>
      <c r="B2337" s="30"/>
      <c r="C2337" s="30"/>
      <c r="D2337" s="30"/>
      <c r="E2337" s="30"/>
      <c r="F2337" s="30"/>
      <c r="G2337" s="30"/>
      <c r="H2337" s="30"/>
      <c r="I2337" s="30"/>
      <c r="J2337" s="30"/>
      <c r="K2337" s="30"/>
      <c r="L2337" s="30"/>
      <c r="M2337" s="30"/>
      <c r="N2337" s="30" t="str" cm="1">
        <f t="array" ref="N2337">Main_Log_Status(Main_Log[[#This Row],[Carrier]],Main_Log[[#This Row],[Net Weight]])</f>
        <v/>
      </c>
      <c r="O2337" s="30"/>
      <c r="P233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37" s="30"/>
      <c r="R2337" s="30" t="str" cm="1">
        <f t="array" ref="R2337">Main_Log_Ref(Main_Log[[#This Row],[Carrier]])</f>
        <v/>
      </c>
    </row>
    <row r="2338" spans="1:18" ht="29.85" customHeight="1" x14ac:dyDescent="0.45">
      <c r="A2338" s="30">
        <v>59</v>
      </c>
      <c r="B2338" s="30"/>
      <c r="C2338" s="30"/>
      <c r="D2338" s="30"/>
      <c r="E2338" s="30"/>
      <c r="F2338" s="30"/>
      <c r="G2338" s="30"/>
      <c r="H2338" s="30"/>
      <c r="I2338" s="30"/>
      <c r="J2338" s="30"/>
      <c r="K2338" s="30"/>
      <c r="L2338" s="30"/>
      <c r="M2338" s="30"/>
      <c r="N2338" s="30" t="str" cm="1">
        <f t="array" ref="N2338">Main_Log_Status(Main_Log[[#This Row],[Carrier]],Main_Log[[#This Row],[Net Weight]])</f>
        <v/>
      </c>
      <c r="O2338" s="30"/>
      <c r="P233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38" s="30"/>
      <c r="R2338" s="30" t="str" cm="1">
        <f t="array" ref="R2338">Main_Log_Ref(Main_Log[[#This Row],[Carrier]])</f>
        <v/>
      </c>
    </row>
    <row r="2339" spans="1:18" ht="29.85" customHeight="1" x14ac:dyDescent="0.45">
      <c r="A2339" s="30">
        <v>60</v>
      </c>
      <c r="B2339" s="30"/>
      <c r="C2339" s="30"/>
      <c r="D2339" s="30"/>
      <c r="E2339" s="30"/>
      <c r="F2339" s="30"/>
      <c r="G2339" s="30"/>
      <c r="H2339" s="30"/>
      <c r="I2339" s="30"/>
      <c r="J2339" s="30"/>
      <c r="K2339" s="30"/>
      <c r="L2339" s="30"/>
      <c r="M2339" s="30"/>
      <c r="N2339" s="30" t="str" cm="1">
        <f t="array" ref="N2339">Main_Log_Status(Main_Log[[#This Row],[Carrier]],Main_Log[[#This Row],[Net Weight]])</f>
        <v/>
      </c>
      <c r="O2339" s="30"/>
      <c r="P233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39" s="30"/>
      <c r="R2339" s="30" t="str" cm="1">
        <f t="array" ref="R2339">Main_Log_Ref(Main_Log[[#This Row],[Carrier]])</f>
        <v/>
      </c>
    </row>
    <row r="2340" spans="1:18" ht="29.85" customHeight="1" x14ac:dyDescent="0.45">
      <c r="A2340" s="30">
        <v>61</v>
      </c>
      <c r="B2340" s="30"/>
      <c r="C2340" s="30"/>
      <c r="D2340" s="30"/>
      <c r="E2340" s="30"/>
      <c r="F2340" s="30"/>
      <c r="G2340" s="30"/>
      <c r="H2340" s="30"/>
      <c r="I2340" s="30"/>
      <c r="J2340" s="30"/>
      <c r="K2340" s="30"/>
      <c r="L2340" s="30"/>
      <c r="M2340" s="30"/>
      <c r="N2340" s="30" t="str" cm="1">
        <f t="array" ref="N2340">Main_Log_Status(Main_Log[[#This Row],[Carrier]],Main_Log[[#This Row],[Net Weight]])</f>
        <v/>
      </c>
      <c r="O2340" s="30"/>
      <c r="P234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40" s="30"/>
      <c r="R2340" s="30" t="str" cm="1">
        <f t="array" ref="R2340">Main_Log_Ref(Main_Log[[#This Row],[Carrier]])</f>
        <v/>
      </c>
    </row>
    <row r="2341" spans="1:18" ht="29.85" customHeight="1" x14ac:dyDescent="0.45">
      <c r="A2341" s="30">
        <v>62</v>
      </c>
      <c r="B2341" s="30"/>
      <c r="C2341" s="30"/>
      <c r="D2341" s="30"/>
      <c r="E2341" s="30"/>
      <c r="F2341" s="30"/>
      <c r="G2341" s="30"/>
      <c r="H2341" s="30"/>
      <c r="I2341" s="30"/>
      <c r="J2341" s="30"/>
      <c r="K2341" s="30"/>
      <c r="L2341" s="30"/>
      <c r="M2341" s="30"/>
      <c r="N2341" s="30" t="str" cm="1">
        <f t="array" ref="N2341">Main_Log_Status(Main_Log[[#This Row],[Carrier]],Main_Log[[#This Row],[Net Weight]])</f>
        <v/>
      </c>
      <c r="O2341" s="30"/>
      <c r="P234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41" s="30"/>
      <c r="R2341" s="30" t="str" cm="1">
        <f t="array" ref="R2341">Main_Log_Ref(Main_Log[[#This Row],[Carrier]])</f>
        <v/>
      </c>
    </row>
    <row r="2342" spans="1:18" ht="29.85" customHeight="1" x14ac:dyDescent="0.45">
      <c r="A2342" s="30">
        <v>63</v>
      </c>
      <c r="B2342" s="30"/>
      <c r="C2342" s="30"/>
      <c r="D2342" s="30"/>
      <c r="E2342" s="30"/>
      <c r="F2342" s="30"/>
      <c r="G2342" s="30"/>
      <c r="H2342" s="30"/>
      <c r="I2342" s="30"/>
      <c r="J2342" s="30"/>
      <c r="K2342" s="30"/>
      <c r="L2342" s="30"/>
      <c r="M2342" s="30"/>
      <c r="N2342" s="30" t="str" cm="1">
        <f t="array" ref="N2342">Main_Log_Status(Main_Log[[#This Row],[Carrier]],Main_Log[[#This Row],[Net Weight]])</f>
        <v/>
      </c>
      <c r="O2342" s="30"/>
      <c r="P234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42" s="30"/>
      <c r="R2342" s="30" t="str" cm="1">
        <f t="array" ref="R2342">Main_Log_Ref(Main_Log[[#This Row],[Carrier]])</f>
        <v/>
      </c>
    </row>
    <row r="2343" spans="1:18" ht="29.85" customHeight="1" x14ac:dyDescent="0.45">
      <c r="A2343" s="30">
        <v>64</v>
      </c>
      <c r="B2343" s="30"/>
      <c r="C2343" s="30"/>
      <c r="D2343" s="30"/>
      <c r="E2343" s="30"/>
      <c r="F2343" s="30"/>
      <c r="G2343" s="30"/>
      <c r="H2343" s="30"/>
      <c r="I2343" s="30"/>
      <c r="J2343" s="30"/>
      <c r="K2343" s="30"/>
      <c r="L2343" s="30"/>
      <c r="M2343" s="30"/>
      <c r="N2343" s="30" t="str" cm="1">
        <f t="array" ref="N2343">Main_Log_Status(Main_Log[[#This Row],[Carrier]],Main_Log[[#This Row],[Net Weight]])</f>
        <v/>
      </c>
      <c r="O2343" s="30"/>
      <c r="P234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43" s="30"/>
      <c r="R2343" s="30" t="str" cm="1">
        <f t="array" ref="R2343">Main_Log_Ref(Main_Log[[#This Row],[Carrier]])</f>
        <v/>
      </c>
    </row>
    <row r="2344" spans="1:18" ht="29.85" customHeight="1" x14ac:dyDescent="0.45">
      <c r="A2344" s="30">
        <v>65</v>
      </c>
      <c r="B2344" s="30"/>
      <c r="C2344" s="30"/>
      <c r="D2344" s="30"/>
      <c r="E2344" s="30"/>
      <c r="F2344" s="30"/>
      <c r="G2344" s="30"/>
      <c r="H2344" s="30"/>
      <c r="I2344" s="30"/>
      <c r="J2344" s="30"/>
      <c r="K2344" s="30"/>
      <c r="L2344" s="30"/>
      <c r="M2344" s="30"/>
      <c r="N2344" s="30" t="str" cm="1">
        <f t="array" ref="N2344">Main_Log_Status(Main_Log[[#This Row],[Carrier]],Main_Log[[#This Row],[Net Weight]])</f>
        <v/>
      </c>
      <c r="O2344" s="30"/>
      <c r="P234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44" s="30"/>
      <c r="R2344" s="30" t="str" cm="1">
        <f t="array" ref="R2344">Main_Log_Ref(Main_Log[[#This Row],[Carrier]])</f>
        <v/>
      </c>
    </row>
    <row r="2345" spans="1:18" ht="29.85" customHeight="1" x14ac:dyDescent="0.45">
      <c r="A2345" s="30">
        <v>66</v>
      </c>
      <c r="B2345" s="30"/>
      <c r="C2345" s="30"/>
      <c r="D2345" s="30"/>
      <c r="E2345" s="30"/>
      <c r="F2345" s="30"/>
      <c r="G2345" s="30"/>
      <c r="H2345" s="30"/>
      <c r="I2345" s="30"/>
      <c r="J2345" s="30"/>
      <c r="K2345" s="30"/>
      <c r="L2345" s="30"/>
      <c r="M2345" s="30"/>
      <c r="N2345" s="30" t="str" cm="1">
        <f t="array" ref="N2345">Main_Log_Status(Main_Log[[#This Row],[Carrier]],Main_Log[[#This Row],[Net Weight]])</f>
        <v/>
      </c>
      <c r="O2345" s="30"/>
      <c r="P234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45" s="30"/>
      <c r="R2345" s="30" t="str" cm="1">
        <f t="array" ref="R2345">Main_Log_Ref(Main_Log[[#This Row],[Carrier]])</f>
        <v/>
      </c>
    </row>
    <row r="2346" spans="1:18" ht="29.85" customHeight="1" x14ac:dyDescent="0.45">
      <c r="A2346" s="30">
        <v>67</v>
      </c>
      <c r="B2346" s="30"/>
      <c r="C2346" s="30"/>
      <c r="D2346" s="30"/>
      <c r="E2346" s="30"/>
      <c r="F2346" s="30"/>
      <c r="G2346" s="30"/>
      <c r="H2346" s="30"/>
      <c r="I2346" s="30"/>
      <c r="J2346" s="30"/>
      <c r="K2346" s="30"/>
      <c r="L2346" s="30"/>
      <c r="M2346" s="30"/>
      <c r="N2346" s="30" t="str" cm="1">
        <f t="array" ref="N2346">Main_Log_Status(Main_Log[[#This Row],[Carrier]],Main_Log[[#This Row],[Net Weight]])</f>
        <v/>
      </c>
      <c r="O2346" s="30"/>
      <c r="P234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46" s="30"/>
      <c r="R2346" s="30" t="str" cm="1">
        <f t="array" ref="R2346">Main_Log_Ref(Main_Log[[#This Row],[Carrier]])</f>
        <v/>
      </c>
    </row>
    <row r="2347" spans="1:18" ht="29.85" customHeight="1" x14ac:dyDescent="0.45">
      <c r="A2347" s="30">
        <v>68</v>
      </c>
      <c r="B2347" s="30"/>
      <c r="C2347" s="30"/>
      <c r="D2347" s="30"/>
      <c r="E2347" s="30"/>
      <c r="F2347" s="30"/>
      <c r="G2347" s="30"/>
      <c r="H2347" s="30"/>
      <c r="I2347" s="30"/>
      <c r="J2347" s="30"/>
      <c r="K2347" s="30"/>
      <c r="L2347" s="30"/>
      <c r="M2347" s="30"/>
      <c r="N2347" s="30" t="str" cm="1">
        <f t="array" ref="N2347">Main_Log_Status(Main_Log[[#This Row],[Carrier]],Main_Log[[#This Row],[Net Weight]])</f>
        <v/>
      </c>
      <c r="O2347" s="30"/>
      <c r="P234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47" s="30"/>
      <c r="R2347" s="30" t="str" cm="1">
        <f t="array" ref="R2347">Main_Log_Ref(Main_Log[[#This Row],[Carrier]])</f>
        <v/>
      </c>
    </row>
    <row r="2348" spans="1:18" ht="29.85" customHeight="1" x14ac:dyDescent="0.45">
      <c r="A2348" s="30">
        <v>69</v>
      </c>
      <c r="B2348" s="30"/>
      <c r="C2348" s="30"/>
      <c r="D2348" s="30"/>
      <c r="E2348" s="30"/>
      <c r="F2348" s="30"/>
      <c r="G2348" s="30"/>
      <c r="H2348" s="30"/>
      <c r="I2348" s="30"/>
      <c r="J2348" s="30"/>
      <c r="K2348" s="30"/>
      <c r="L2348" s="30"/>
      <c r="M2348" s="30"/>
      <c r="N2348" s="30" t="str" cm="1">
        <f t="array" ref="N2348">Main_Log_Status(Main_Log[[#This Row],[Carrier]],Main_Log[[#This Row],[Net Weight]])</f>
        <v/>
      </c>
      <c r="O2348" s="30"/>
      <c r="P234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48" s="30"/>
      <c r="R2348" s="30" t="str" cm="1">
        <f t="array" ref="R2348">Main_Log_Ref(Main_Log[[#This Row],[Carrier]])</f>
        <v/>
      </c>
    </row>
    <row r="2349" spans="1:18" ht="29.85" customHeight="1" x14ac:dyDescent="0.45">
      <c r="A2349" s="30">
        <v>70</v>
      </c>
      <c r="B2349" s="30"/>
      <c r="C2349" s="30"/>
      <c r="D2349" s="30"/>
      <c r="E2349" s="30"/>
      <c r="F2349" s="30"/>
      <c r="G2349" s="30"/>
      <c r="H2349" s="30"/>
      <c r="I2349" s="30"/>
      <c r="J2349" s="30"/>
      <c r="K2349" s="30"/>
      <c r="L2349" s="30"/>
      <c r="M2349" s="30"/>
      <c r="N2349" s="30" t="str" cm="1">
        <f t="array" ref="N2349">Main_Log_Status(Main_Log[[#This Row],[Carrier]],Main_Log[[#This Row],[Net Weight]])</f>
        <v/>
      </c>
      <c r="O2349" s="30"/>
      <c r="P234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49" s="30"/>
      <c r="R2349" s="30" t="str" cm="1">
        <f t="array" ref="R2349">Main_Log_Ref(Main_Log[[#This Row],[Carrier]])</f>
        <v/>
      </c>
    </row>
    <row r="2350" spans="1:18" ht="29.85" customHeight="1" x14ac:dyDescent="0.45">
      <c r="A2350" s="30">
        <v>71</v>
      </c>
      <c r="B2350" s="30"/>
      <c r="C2350" s="30"/>
      <c r="D2350" s="30"/>
      <c r="E2350" s="30"/>
      <c r="F2350" s="30"/>
      <c r="G2350" s="30"/>
      <c r="H2350" s="30"/>
      <c r="I2350" s="30"/>
      <c r="J2350" s="30"/>
      <c r="K2350" s="30"/>
      <c r="L2350" s="30"/>
      <c r="M2350" s="30"/>
      <c r="N2350" s="30" t="str" cm="1">
        <f t="array" ref="N2350">Main_Log_Status(Main_Log[[#This Row],[Carrier]],Main_Log[[#This Row],[Net Weight]])</f>
        <v/>
      </c>
      <c r="O2350" s="30"/>
      <c r="P235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50" s="30"/>
      <c r="R2350" s="30" t="str" cm="1">
        <f t="array" ref="R2350">Main_Log_Ref(Main_Log[[#This Row],[Carrier]])</f>
        <v/>
      </c>
    </row>
    <row r="2351" spans="1:18" ht="29.85" customHeight="1" x14ac:dyDescent="0.45">
      <c r="A2351" s="30">
        <v>72</v>
      </c>
      <c r="B2351" s="30"/>
      <c r="C2351" s="30"/>
      <c r="D2351" s="30"/>
      <c r="E2351" s="30"/>
      <c r="F2351" s="30"/>
      <c r="G2351" s="30"/>
      <c r="H2351" s="30"/>
      <c r="I2351" s="30"/>
      <c r="J2351" s="30"/>
      <c r="K2351" s="30"/>
      <c r="L2351" s="30"/>
      <c r="M2351" s="30"/>
      <c r="N2351" s="30" t="str" cm="1">
        <f t="array" ref="N2351">Main_Log_Status(Main_Log[[#This Row],[Carrier]],Main_Log[[#This Row],[Net Weight]])</f>
        <v/>
      </c>
      <c r="O2351" s="30"/>
      <c r="P235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51" s="30"/>
      <c r="R2351" s="30" t="str" cm="1">
        <f t="array" ref="R2351">Main_Log_Ref(Main_Log[[#This Row],[Carrier]])</f>
        <v/>
      </c>
    </row>
    <row r="2352" spans="1:18" ht="29.85" customHeight="1" x14ac:dyDescent="0.45">
      <c r="A2352" s="30">
        <v>73</v>
      </c>
      <c r="B2352" s="30"/>
      <c r="C2352" s="30"/>
      <c r="D2352" s="30"/>
      <c r="E2352" s="30"/>
      <c r="F2352" s="30"/>
      <c r="G2352" s="30"/>
      <c r="H2352" s="30"/>
      <c r="I2352" s="30"/>
      <c r="J2352" s="30"/>
      <c r="K2352" s="30"/>
      <c r="L2352" s="30"/>
      <c r="M2352" s="30"/>
      <c r="N2352" s="30" t="str" cm="1">
        <f t="array" ref="N2352">Main_Log_Status(Main_Log[[#This Row],[Carrier]],Main_Log[[#This Row],[Net Weight]])</f>
        <v/>
      </c>
      <c r="O2352" s="30"/>
      <c r="P235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52" s="30"/>
      <c r="R2352" s="30" t="str" cm="1">
        <f t="array" ref="R2352">Main_Log_Ref(Main_Log[[#This Row],[Carrier]])</f>
        <v/>
      </c>
    </row>
    <row r="2353" spans="1:18" ht="29.85" customHeight="1" x14ac:dyDescent="0.45">
      <c r="A2353" s="30">
        <v>74</v>
      </c>
      <c r="B2353" s="30"/>
      <c r="C2353" s="30"/>
      <c r="D2353" s="30"/>
      <c r="E2353" s="30"/>
      <c r="F2353" s="30"/>
      <c r="G2353" s="30"/>
      <c r="H2353" s="30"/>
      <c r="I2353" s="30"/>
      <c r="J2353" s="30"/>
      <c r="K2353" s="30"/>
      <c r="L2353" s="30"/>
      <c r="M2353" s="30"/>
      <c r="N2353" s="30" t="str" cm="1">
        <f t="array" ref="N2353">Main_Log_Status(Main_Log[[#This Row],[Carrier]],Main_Log[[#This Row],[Net Weight]])</f>
        <v/>
      </c>
      <c r="O2353" s="30"/>
      <c r="P235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53" s="30"/>
      <c r="R2353" s="30" t="str" cm="1">
        <f t="array" ref="R2353">Main_Log_Ref(Main_Log[[#This Row],[Carrier]])</f>
        <v/>
      </c>
    </row>
    <row r="2354" spans="1:18" ht="29.85" customHeight="1" x14ac:dyDescent="0.45">
      <c r="A2354" s="30">
        <v>75</v>
      </c>
      <c r="B2354" s="30"/>
      <c r="C2354" s="30"/>
      <c r="D2354" s="30"/>
      <c r="E2354" s="30"/>
      <c r="F2354" s="30"/>
      <c r="G2354" s="30"/>
      <c r="H2354" s="30"/>
      <c r="I2354" s="30"/>
      <c r="J2354" s="30"/>
      <c r="K2354" s="30"/>
      <c r="L2354" s="30"/>
      <c r="M2354" s="30"/>
      <c r="N2354" s="30" t="str" cm="1">
        <f t="array" ref="N2354">Main_Log_Status(Main_Log[[#This Row],[Carrier]],Main_Log[[#This Row],[Net Weight]])</f>
        <v/>
      </c>
      <c r="O2354" s="30"/>
      <c r="P235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54" s="30"/>
      <c r="R2354" s="30" t="str" cm="1">
        <f t="array" ref="R2354">Main_Log_Ref(Main_Log[[#This Row],[Carrier]])</f>
        <v/>
      </c>
    </row>
    <row r="2355" spans="1:18" ht="29.85" customHeight="1" x14ac:dyDescent="0.45">
      <c r="A2355" s="30">
        <v>76</v>
      </c>
      <c r="B2355" s="30"/>
      <c r="C2355" s="30"/>
      <c r="D2355" s="30"/>
      <c r="E2355" s="30"/>
      <c r="F2355" s="30"/>
      <c r="G2355" s="30"/>
      <c r="H2355" s="30"/>
      <c r="I2355" s="30"/>
      <c r="J2355" s="30"/>
      <c r="K2355" s="30"/>
      <c r="L2355" s="30"/>
      <c r="M2355" s="30"/>
      <c r="N2355" s="30" t="str" cm="1">
        <f t="array" ref="N2355">Main_Log_Status(Main_Log[[#This Row],[Carrier]],Main_Log[[#This Row],[Net Weight]])</f>
        <v/>
      </c>
      <c r="O2355" s="30"/>
      <c r="P235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55" s="30"/>
      <c r="R2355" s="30" t="str" cm="1">
        <f t="array" ref="R2355">Main_Log_Ref(Main_Log[[#This Row],[Carrier]])</f>
        <v/>
      </c>
    </row>
    <row r="2356" spans="1:18" ht="29.85" customHeight="1" x14ac:dyDescent="0.45">
      <c r="A2356" s="30">
        <v>77</v>
      </c>
      <c r="B2356" s="30"/>
      <c r="C2356" s="30"/>
      <c r="D2356" s="30"/>
      <c r="E2356" s="30"/>
      <c r="F2356" s="30"/>
      <c r="G2356" s="30"/>
      <c r="H2356" s="30"/>
      <c r="I2356" s="30"/>
      <c r="J2356" s="30"/>
      <c r="K2356" s="30"/>
      <c r="L2356" s="30"/>
      <c r="M2356" s="30"/>
      <c r="N2356" s="30" t="str" cm="1">
        <f t="array" ref="N2356">Main_Log_Status(Main_Log[[#This Row],[Carrier]],Main_Log[[#This Row],[Net Weight]])</f>
        <v/>
      </c>
      <c r="O2356" s="30"/>
      <c r="P235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56" s="30"/>
      <c r="R2356" s="30" t="str" cm="1">
        <f t="array" ref="R2356">Main_Log_Ref(Main_Log[[#This Row],[Carrier]])</f>
        <v/>
      </c>
    </row>
    <row r="2357" spans="1:18" ht="29.85" customHeight="1" x14ac:dyDescent="0.45">
      <c r="A2357" s="30">
        <v>78</v>
      </c>
      <c r="B2357" s="30"/>
      <c r="C2357" s="30"/>
      <c r="D2357" s="30"/>
      <c r="E2357" s="30"/>
      <c r="F2357" s="30"/>
      <c r="G2357" s="30"/>
      <c r="H2357" s="30"/>
      <c r="I2357" s="30"/>
      <c r="J2357" s="30"/>
      <c r="K2357" s="30"/>
      <c r="L2357" s="30"/>
      <c r="M2357" s="30"/>
      <c r="N2357" s="30" t="str" cm="1">
        <f t="array" ref="N2357">Main_Log_Status(Main_Log[[#This Row],[Carrier]],Main_Log[[#This Row],[Net Weight]])</f>
        <v/>
      </c>
      <c r="O2357" s="30"/>
      <c r="P235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57" s="30"/>
      <c r="R2357" s="30" t="str" cm="1">
        <f t="array" ref="R2357">Main_Log_Ref(Main_Log[[#This Row],[Carrier]])</f>
        <v/>
      </c>
    </row>
    <row r="2358" spans="1:18" ht="29.85" customHeight="1" x14ac:dyDescent="0.45">
      <c r="A2358" s="30">
        <v>79</v>
      </c>
      <c r="B2358" s="30"/>
      <c r="C2358" s="30"/>
      <c r="D2358" s="30"/>
      <c r="E2358" s="30"/>
      <c r="F2358" s="30"/>
      <c r="G2358" s="30"/>
      <c r="H2358" s="30"/>
      <c r="I2358" s="30"/>
      <c r="J2358" s="30"/>
      <c r="K2358" s="30"/>
      <c r="L2358" s="30"/>
      <c r="M2358" s="30"/>
      <c r="N2358" s="30" t="str" cm="1">
        <f t="array" ref="N2358">Main_Log_Status(Main_Log[[#This Row],[Carrier]],Main_Log[[#This Row],[Net Weight]])</f>
        <v/>
      </c>
      <c r="O2358" s="30"/>
      <c r="P235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58" s="30"/>
      <c r="R2358" s="30" t="str" cm="1">
        <f t="array" ref="R2358">Main_Log_Ref(Main_Log[[#This Row],[Carrier]])</f>
        <v/>
      </c>
    </row>
    <row r="2359" spans="1:18" ht="29.85" customHeight="1" x14ac:dyDescent="0.45">
      <c r="A2359" s="30">
        <v>80</v>
      </c>
      <c r="B2359" s="30"/>
      <c r="C2359" s="30"/>
      <c r="D2359" s="30"/>
      <c r="E2359" s="30"/>
      <c r="F2359" s="30"/>
      <c r="G2359" s="30"/>
      <c r="H2359" s="30"/>
      <c r="I2359" s="30"/>
      <c r="J2359" s="30"/>
      <c r="K2359" s="30"/>
      <c r="L2359" s="30"/>
      <c r="M2359" s="30"/>
      <c r="N2359" s="30" t="str" cm="1">
        <f t="array" ref="N2359">Main_Log_Status(Main_Log[[#This Row],[Carrier]],Main_Log[[#This Row],[Net Weight]])</f>
        <v/>
      </c>
      <c r="O2359" s="30"/>
      <c r="P235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59" s="30"/>
      <c r="R2359" s="30" t="str" cm="1">
        <f t="array" ref="R2359">Main_Log_Ref(Main_Log[[#This Row],[Carrier]])</f>
        <v/>
      </c>
    </row>
    <row r="2360" spans="1:18" ht="29.85" customHeight="1" x14ac:dyDescent="0.45">
      <c r="A2360" s="30">
        <v>81</v>
      </c>
      <c r="B2360" s="30"/>
      <c r="C2360" s="30"/>
      <c r="D2360" s="30"/>
      <c r="E2360" s="30"/>
      <c r="F2360" s="30"/>
      <c r="G2360" s="30"/>
      <c r="H2360" s="30"/>
      <c r="I2360" s="30"/>
      <c r="J2360" s="30"/>
      <c r="K2360" s="30"/>
      <c r="L2360" s="30"/>
      <c r="M2360" s="30"/>
      <c r="N2360" s="30" t="str" cm="1">
        <f t="array" ref="N2360">Main_Log_Status(Main_Log[[#This Row],[Carrier]],Main_Log[[#This Row],[Net Weight]])</f>
        <v/>
      </c>
      <c r="O2360" s="30"/>
      <c r="P236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60" s="30"/>
      <c r="R2360" s="30" t="str" cm="1">
        <f t="array" ref="R2360">Main_Log_Ref(Main_Log[[#This Row],[Carrier]])</f>
        <v/>
      </c>
    </row>
    <row r="2361" spans="1:18" ht="29.85" customHeight="1" x14ac:dyDescent="0.45">
      <c r="A2361" s="30">
        <v>82</v>
      </c>
      <c r="B2361" s="30"/>
      <c r="C2361" s="30"/>
      <c r="D2361" s="30"/>
      <c r="E2361" s="30"/>
      <c r="F2361" s="30"/>
      <c r="G2361" s="30"/>
      <c r="H2361" s="30"/>
      <c r="I2361" s="30"/>
      <c r="J2361" s="30"/>
      <c r="K2361" s="30"/>
      <c r="L2361" s="30"/>
      <c r="M2361" s="30"/>
      <c r="N2361" s="30" t="str" cm="1">
        <f t="array" ref="N2361">Main_Log_Status(Main_Log[[#This Row],[Carrier]],Main_Log[[#This Row],[Net Weight]])</f>
        <v/>
      </c>
      <c r="O2361" s="30"/>
      <c r="P236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61" s="30"/>
      <c r="R2361" s="30" t="str" cm="1">
        <f t="array" ref="R2361">Main_Log_Ref(Main_Log[[#This Row],[Carrier]])</f>
        <v/>
      </c>
    </row>
    <row r="2362" spans="1:18" ht="29.85" customHeight="1" x14ac:dyDescent="0.45">
      <c r="A2362" s="30">
        <v>83</v>
      </c>
      <c r="B2362" s="30"/>
      <c r="C2362" s="30"/>
      <c r="D2362" s="30"/>
      <c r="E2362" s="30"/>
      <c r="F2362" s="30"/>
      <c r="G2362" s="30"/>
      <c r="H2362" s="30"/>
      <c r="I2362" s="30"/>
      <c r="J2362" s="30"/>
      <c r="K2362" s="30"/>
      <c r="L2362" s="30"/>
      <c r="M2362" s="30"/>
      <c r="N2362" s="30" t="str" cm="1">
        <f t="array" ref="N2362">Main_Log_Status(Main_Log[[#This Row],[Carrier]],Main_Log[[#This Row],[Net Weight]])</f>
        <v/>
      </c>
      <c r="O2362" s="30"/>
      <c r="P236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62" s="30"/>
      <c r="R2362" s="30" t="str" cm="1">
        <f t="array" ref="R2362">Main_Log_Ref(Main_Log[[#This Row],[Carrier]])</f>
        <v/>
      </c>
    </row>
    <row r="2363" spans="1:18" ht="29.85" customHeight="1" x14ac:dyDescent="0.45">
      <c r="A2363" s="30">
        <v>84</v>
      </c>
      <c r="B2363" s="30"/>
      <c r="C2363" s="30"/>
      <c r="D2363" s="30"/>
      <c r="E2363" s="30"/>
      <c r="F2363" s="30"/>
      <c r="G2363" s="30"/>
      <c r="H2363" s="30"/>
      <c r="I2363" s="30"/>
      <c r="J2363" s="30"/>
      <c r="K2363" s="30"/>
      <c r="L2363" s="30"/>
      <c r="M2363" s="30"/>
      <c r="N2363" s="30" t="str" cm="1">
        <f t="array" ref="N2363">Main_Log_Status(Main_Log[[#This Row],[Carrier]],Main_Log[[#This Row],[Net Weight]])</f>
        <v/>
      </c>
      <c r="O2363" s="30"/>
      <c r="P236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63" s="30"/>
      <c r="R2363" s="30" t="str" cm="1">
        <f t="array" ref="R2363">Main_Log_Ref(Main_Log[[#This Row],[Carrier]])</f>
        <v/>
      </c>
    </row>
    <row r="2364" spans="1:18" ht="29.85" customHeight="1" x14ac:dyDescent="0.45">
      <c r="A2364" s="30">
        <v>85</v>
      </c>
      <c r="B2364" s="30"/>
      <c r="C2364" s="30"/>
      <c r="D2364" s="30"/>
      <c r="E2364" s="30"/>
      <c r="F2364" s="30"/>
      <c r="G2364" s="30"/>
      <c r="H2364" s="30"/>
      <c r="I2364" s="30"/>
      <c r="J2364" s="30"/>
      <c r="K2364" s="30"/>
      <c r="L2364" s="30"/>
      <c r="M2364" s="30"/>
      <c r="N2364" s="30" t="str" cm="1">
        <f t="array" ref="N2364">Main_Log_Status(Main_Log[[#This Row],[Carrier]],Main_Log[[#This Row],[Net Weight]])</f>
        <v/>
      </c>
      <c r="O2364" s="30"/>
      <c r="P236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64" s="30"/>
      <c r="R2364" s="30" t="str" cm="1">
        <f t="array" ref="R2364">Main_Log_Ref(Main_Log[[#This Row],[Carrier]])</f>
        <v/>
      </c>
    </row>
    <row r="2365" spans="1:18" ht="29.85" customHeight="1" x14ac:dyDescent="0.45">
      <c r="A2365" s="30">
        <v>86</v>
      </c>
      <c r="B2365" s="30"/>
      <c r="C2365" s="30"/>
      <c r="D2365" s="30"/>
      <c r="E2365" s="30"/>
      <c r="F2365" s="30"/>
      <c r="G2365" s="30"/>
      <c r="H2365" s="30"/>
      <c r="I2365" s="30"/>
      <c r="J2365" s="30"/>
      <c r="K2365" s="30"/>
      <c r="L2365" s="30"/>
      <c r="M2365" s="30"/>
      <c r="N2365" s="30" t="str" cm="1">
        <f t="array" ref="N2365">Main_Log_Status(Main_Log[[#This Row],[Carrier]],Main_Log[[#This Row],[Net Weight]])</f>
        <v/>
      </c>
      <c r="O2365" s="30"/>
      <c r="P236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65" s="30"/>
      <c r="R2365" s="30" t="str" cm="1">
        <f t="array" ref="R2365">Main_Log_Ref(Main_Log[[#This Row],[Carrier]])</f>
        <v/>
      </c>
    </row>
    <row r="2366" spans="1:18" ht="29.85" customHeight="1" x14ac:dyDescent="0.45">
      <c r="A2366" s="30">
        <v>87</v>
      </c>
      <c r="B2366" s="30"/>
      <c r="C2366" s="30"/>
      <c r="D2366" s="30"/>
      <c r="E2366" s="30"/>
      <c r="F2366" s="30"/>
      <c r="G2366" s="30"/>
      <c r="H2366" s="30"/>
      <c r="I2366" s="30"/>
      <c r="J2366" s="30"/>
      <c r="K2366" s="30"/>
      <c r="L2366" s="30"/>
      <c r="M2366" s="30"/>
      <c r="N2366" s="30" t="str" cm="1">
        <f t="array" ref="N2366">Main_Log_Status(Main_Log[[#This Row],[Carrier]],Main_Log[[#This Row],[Net Weight]])</f>
        <v/>
      </c>
      <c r="O2366" s="30"/>
      <c r="P236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66" s="30"/>
      <c r="R2366" s="30" t="str" cm="1">
        <f t="array" ref="R2366">Main_Log_Ref(Main_Log[[#This Row],[Carrier]])</f>
        <v/>
      </c>
    </row>
    <row r="2367" spans="1:18" ht="29.85" customHeight="1" x14ac:dyDescent="0.45">
      <c r="A2367" s="30">
        <v>88</v>
      </c>
      <c r="B2367" s="30"/>
      <c r="C2367" s="30"/>
      <c r="D2367" s="30"/>
      <c r="E2367" s="30"/>
      <c r="F2367" s="30"/>
      <c r="G2367" s="30"/>
      <c r="H2367" s="30"/>
      <c r="I2367" s="30"/>
      <c r="J2367" s="30"/>
      <c r="K2367" s="30"/>
      <c r="L2367" s="30"/>
      <c r="M2367" s="30"/>
      <c r="N2367" s="30" t="str" cm="1">
        <f t="array" ref="N2367">Main_Log_Status(Main_Log[[#This Row],[Carrier]],Main_Log[[#This Row],[Net Weight]])</f>
        <v/>
      </c>
      <c r="O2367" s="30"/>
      <c r="P236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67" s="30"/>
      <c r="R2367" s="30" t="str" cm="1">
        <f t="array" ref="R2367">Main_Log_Ref(Main_Log[[#This Row],[Carrier]])</f>
        <v/>
      </c>
    </row>
    <row r="2368" spans="1:18" ht="29.85" customHeight="1" x14ac:dyDescent="0.45">
      <c r="A2368" s="30">
        <v>89</v>
      </c>
      <c r="B2368" s="30"/>
      <c r="C2368" s="30"/>
      <c r="D2368" s="30"/>
      <c r="E2368" s="30"/>
      <c r="F2368" s="30"/>
      <c r="G2368" s="30"/>
      <c r="H2368" s="30"/>
      <c r="I2368" s="30"/>
      <c r="J2368" s="30"/>
      <c r="K2368" s="30"/>
      <c r="L2368" s="30"/>
      <c r="M2368" s="30"/>
      <c r="N2368" s="30" t="str" cm="1">
        <f t="array" ref="N2368">Main_Log_Status(Main_Log[[#This Row],[Carrier]],Main_Log[[#This Row],[Net Weight]])</f>
        <v/>
      </c>
      <c r="O2368" s="30"/>
      <c r="P2368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68" s="30"/>
      <c r="R2368" s="30" t="str" cm="1">
        <f t="array" ref="R2368">Main_Log_Ref(Main_Log[[#This Row],[Carrier]])</f>
        <v/>
      </c>
    </row>
    <row r="2369" spans="1:18" ht="29.85" customHeight="1" x14ac:dyDescent="0.45">
      <c r="A2369" s="30">
        <v>90</v>
      </c>
      <c r="B2369" s="30"/>
      <c r="C2369" s="30"/>
      <c r="D2369" s="30"/>
      <c r="E2369" s="30"/>
      <c r="F2369" s="30"/>
      <c r="G2369" s="30"/>
      <c r="H2369" s="30"/>
      <c r="I2369" s="30"/>
      <c r="J2369" s="30"/>
      <c r="K2369" s="30"/>
      <c r="L2369" s="30"/>
      <c r="M2369" s="30"/>
      <c r="N2369" s="30" t="str" cm="1">
        <f t="array" ref="N2369">Main_Log_Status(Main_Log[[#This Row],[Carrier]],Main_Log[[#This Row],[Net Weight]])</f>
        <v/>
      </c>
      <c r="O2369" s="30"/>
      <c r="P2369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69" s="30"/>
      <c r="R2369" s="30" t="str" cm="1">
        <f t="array" ref="R2369">Main_Log_Ref(Main_Log[[#This Row],[Carrier]])</f>
        <v/>
      </c>
    </row>
    <row r="2370" spans="1:18" ht="29.85" customHeight="1" x14ac:dyDescent="0.45">
      <c r="A2370" s="30">
        <v>91</v>
      </c>
      <c r="B2370" s="30"/>
      <c r="C2370" s="30"/>
      <c r="D2370" s="30"/>
      <c r="E2370" s="30"/>
      <c r="F2370" s="30"/>
      <c r="G2370" s="30"/>
      <c r="H2370" s="30"/>
      <c r="I2370" s="30"/>
      <c r="J2370" s="30"/>
      <c r="K2370" s="30"/>
      <c r="L2370" s="30"/>
      <c r="M2370" s="30"/>
      <c r="N2370" s="30" t="str" cm="1">
        <f t="array" ref="N2370">Main_Log_Status(Main_Log[[#This Row],[Carrier]],Main_Log[[#This Row],[Net Weight]])</f>
        <v/>
      </c>
      <c r="O2370" s="30"/>
      <c r="P2370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70" s="30"/>
      <c r="R2370" s="30" t="str" cm="1">
        <f t="array" ref="R2370">Main_Log_Ref(Main_Log[[#This Row],[Carrier]])</f>
        <v/>
      </c>
    </row>
    <row r="2371" spans="1:18" ht="29.85" customHeight="1" x14ac:dyDescent="0.45">
      <c r="A2371" s="30">
        <v>92</v>
      </c>
      <c r="B2371" s="30"/>
      <c r="C2371" s="30"/>
      <c r="D2371" s="30"/>
      <c r="E2371" s="30"/>
      <c r="F2371" s="30"/>
      <c r="G2371" s="30"/>
      <c r="H2371" s="30"/>
      <c r="I2371" s="30"/>
      <c r="J2371" s="30"/>
      <c r="K2371" s="30"/>
      <c r="L2371" s="30"/>
      <c r="M2371" s="30"/>
      <c r="N2371" s="30" t="str" cm="1">
        <f t="array" ref="N2371">Main_Log_Status(Main_Log[[#This Row],[Carrier]],Main_Log[[#This Row],[Net Weight]])</f>
        <v/>
      </c>
      <c r="O2371" s="30"/>
      <c r="P2371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71" s="30"/>
      <c r="R2371" s="30" t="str" cm="1">
        <f t="array" ref="R2371">Main_Log_Ref(Main_Log[[#This Row],[Carrier]])</f>
        <v/>
      </c>
    </row>
    <row r="2372" spans="1:18" ht="29.85" customHeight="1" x14ac:dyDescent="0.45">
      <c r="A2372" s="30">
        <v>93</v>
      </c>
      <c r="B2372" s="30"/>
      <c r="C2372" s="30"/>
      <c r="D2372" s="30"/>
      <c r="E2372" s="30"/>
      <c r="F2372" s="30"/>
      <c r="G2372" s="30"/>
      <c r="H2372" s="30"/>
      <c r="I2372" s="30"/>
      <c r="J2372" s="30"/>
      <c r="K2372" s="30"/>
      <c r="L2372" s="30"/>
      <c r="M2372" s="30"/>
      <c r="N2372" s="30" t="str" cm="1">
        <f t="array" ref="N2372">Main_Log_Status(Main_Log[[#This Row],[Carrier]],Main_Log[[#This Row],[Net Weight]])</f>
        <v/>
      </c>
      <c r="O2372" s="30"/>
      <c r="P2372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72" s="30"/>
      <c r="R2372" s="30" t="str" cm="1">
        <f t="array" ref="R2372">Main_Log_Ref(Main_Log[[#This Row],[Carrier]])</f>
        <v/>
      </c>
    </row>
    <row r="2373" spans="1:18" ht="29.85" customHeight="1" x14ac:dyDescent="0.45">
      <c r="A2373" s="30">
        <v>94</v>
      </c>
      <c r="B2373" s="30"/>
      <c r="C2373" s="30"/>
      <c r="D2373" s="30"/>
      <c r="E2373" s="30"/>
      <c r="F2373" s="30"/>
      <c r="G2373" s="30"/>
      <c r="H2373" s="30"/>
      <c r="I2373" s="30"/>
      <c r="J2373" s="30"/>
      <c r="K2373" s="30"/>
      <c r="L2373" s="30"/>
      <c r="M2373" s="30"/>
      <c r="N2373" s="30" t="str" cm="1">
        <f t="array" ref="N2373">Main_Log_Status(Main_Log[[#This Row],[Carrier]],Main_Log[[#This Row],[Net Weight]])</f>
        <v/>
      </c>
      <c r="O2373" s="30"/>
      <c r="P2373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73" s="30"/>
      <c r="R2373" s="30" t="str" cm="1">
        <f t="array" ref="R2373">Main_Log_Ref(Main_Log[[#This Row],[Carrier]])</f>
        <v/>
      </c>
    </row>
    <row r="2374" spans="1:18" ht="29.85" customHeight="1" x14ac:dyDescent="0.45">
      <c r="A2374" s="30">
        <v>95</v>
      </c>
      <c r="B2374" s="30"/>
      <c r="C2374" s="30"/>
      <c r="D2374" s="30"/>
      <c r="E2374" s="30"/>
      <c r="F2374" s="30"/>
      <c r="G2374" s="30"/>
      <c r="H2374" s="30"/>
      <c r="I2374" s="30"/>
      <c r="J2374" s="30"/>
      <c r="K2374" s="30"/>
      <c r="L2374" s="30"/>
      <c r="M2374" s="30"/>
      <c r="N2374" s="30" t="str" cm="1">
        <f t="array" ref="N2374">Main_Log_Status(Main_Log[[#This Row],[Carrier]],Main_Log[[#This Row],[Net Weight]])</f>
        <v/>
      </c>
      <c r="O2374" s="30"/>
      <c r="P2374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74" s="30"/>
      <c r="R2374" s="30" t="str" cm="1">
        <f t="array" ref="R2374">Main_Log_Ref(Main_Log[[#This Row],[Carrier]])</f>
        <v/>
      </c>
    </row>
    <row r="2375" spans="1:18" ht="29.85" customHeight="1" x14ac:dyDescent="0.45">
      <c r="A2375" s="30">
        <v>96</v>
      </c>
      <c r="B2375" s="30"/>
      <c r="C2375" s="30"/>
      <c r="D2375" s="30"/>
      <c r="E2375" s="30"/>
      <c r="F2375" s="30"/>
      <c r="G2375" s="30"/>
      <c r="H2375" s="30"/>
      <c r="I2375" s="30"/>
      <c r="J2375" s="30"/>
      <c r="K2375" s="30"/>
      <c r="L2375" s="30"/>
      <c r="M2375" s="30"/>
      <c r="N2375" s="30" t="str" cm="1">
        <f t="array" ref="N2375">Main_Log_Status(Main_Log[[#This Row],[Carrier]],Main_Log[[#This Row],[Net Weight]])</f>
        <v/>
      </c>
      <c r="O2375" s="30"/>
      <c r="P2375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75" s="30"/>
      <c r="R2375" s="30" t="str" cm="1">
        <f t="array" ref="R2375">Main_Log_Ref(Main_Log[[#This Row],[Carrier]])</f>
        <v/>
      </c>
    </row>
    <row r="2376" spans="1:18" ht="29.85" customHeight="1" x14ac:dyDescent="0.45">
      <c r="A2376" s="30">
        <v>97</v>
      </c>
      <c r="B2376" s="30"/>
      <c r="C2376" s="30"/>
      <c r="D2376" s="30"/>
      <c r="E2376" s="30"/>
      <c r="F2376" s="30"/>
      <c r="G2376" s="30"/>
      <c r="H2376" s="30"/>
      <c r="I2376" s="30"/>
      <c r="J2376" s="30"/>
      <c r="K2376" s="30"/>
      <c r="L2376" s="30"/>
      <c r="M2376" s="30"/>
      <c r="N2376" s="30" t="str" cm="1">
        <f t="array" ref="N2376">Main_Log_Status(Main_Log[[#This Row],[Carrier]],Main_Log[[#This Row],[Net Weight]])</f>
        <v/>
      </c>
      <c r="O2376" s="30"/>
      <c r="P2376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76" s="30"/>
      <c r="R2376" s="30" t="str" cm="1">
        <f t="array" ref="R2376">Main_Log_Ref(Main_Log[[#This Row],[Carrier]])</f>
        <v/>
      </c>
    </row>
    <row r="2377" spans="1:18" ht="29.85" customHeight="1" x14ac:dyDescent="0.45">
      <c r="A2377" s="30">
        <v>98</v>
      </c>
      <c r="B2377" s="30"/>
      <c r="C2377" s="30"/>
      <c r="D2377" s="30"/>
      <c r="E2377" s="30"/>
      <c r="F2377" s="30"/>
      <c r="G2377" s="30"/>
      <c r="H2377" s="30"/>
      <c r="I2377" s="30"/>
      <c r="J2377" s="30"/>
      <c r="K2377" s="30"/>
      <c r="L2377" s="30"/>
      <c r="M2377" s="30"/>
      <c r="N2377" s="30" t="str" cm="1">
        <f t="array" ref="N2377">Main_Log_Status(Main_Log[[#This Row],[Carrier]],Main_Log[[#This Row],[Net Weight]])</f>
        <v/>
      </c>
      <c r="O2377" s="30"/>
      <c r="P2377" s="30" t="str">
        <f>IF(OR(ISNUMBER(SEARCH("C",Main_Log[[#This Row],[ID]])), ISNUMBER(SEARCH("F",Main_Log[[#This Row],[ID]])), ISNUMBER(SEARCH("I",Main_Log[[#This Row],[ID]])), ISNUMBER(SEARCH("H",Main_Log[[#This Row],[ID]]))), IF(Main_Log[[#This Row],[Weight]]&gt;16000,"F",IF(Main_Log[[#This Row],[Weight]] &gt; 7000,"P","E")), "")</f>
        <v/>
      </c>
      <c r="Q2377" s="30"/>
      <c r="R2377" s="30" t="str" cm="1">
        <f t="array" ref="R2377">Main_Log_Ref(Main_Log[[#This Row],[Carrier]])</f>
        <v/>
      </c>
    </row>
    <row r="2378" spans="1:18" hidden="1" x14ac:dyDescent="0.45">
      <c r="P2378" t="str">
        <f t="shared" ref="P2378:P2441" si="0">IF(ISBLANK(O2378),IF(ISNUMBER(SEARCH("H",A2378)),IF(E2378&lt;8000,"E",IF(E2378&lt;19000,"P","F")),IF(ISNUMBER(SEARCH("I",A2378)),IF(E2378&lt;7000,"E",IF(E2378&lt;19000,"P","F")),"")),"")</f>
        <v/>
      </c>
    </row>
    <row r="2379" spans="1:18" hidden="1" x14ac:dyDescent="0.45">
      <c r="P2379" t="str">
        <f t="shared" si="0"/>
        <v/>
      </c>
    </row>
    <row r="2380" spans="1:18" hidden="1" x14ac:dyDescent="0.45">
      <c r="P2380" t="str">
        <f t="shared" si="0"/>
        <v/>
      </c>
    </row>
    <row r="2381" spans="1:18" hidden="1" x14ac:dyDescent="0.45">
      <c r="P2381" t="str">
        <f t="shared" si="0"/>
        <v/>
      </c>
    </row>
    <row r="2382" spans="1:18" hidden="1" x14ac:dyDescent="0.45">
      <c r="P2382" t="str">
        <f t="shared" si="0"/>
        <v/>
      </c>
    </row>
    <row r="2383" spans="1:18" hidden="1" x14ac:dyDescent="0.45">
      <c r="P2383" t="str">
        <f t="shared" si="0"/>
        <v/>
      </c>
    </row>
    <row r="2384" spans="1:18" hidden="1" x14ac:dyDescent="0.45">
      <c r="P2384" t="str">
        <f t="shared" si="0"/>
        <v/>
      </c>
    </row>
    <row r="2385" spans="16:16" hidden="1" x14ac:dyDescent="0.45">
      <c r="P2385" t="str">
        <f t="shared" si="0"/>
        <v/>
      </c>
    </row>
    <row r="2386" spans="16:16" hidden="1" x14ac:dyDescent="0.45">
      <c r="P2386" t="str">
        <f t="shared" si="0"/>
        <v/>
      </c>
    </row>
    <row r="2387" spans="16:16" hidden="1" x14ac:dyDescent="0.45">
      <c r="P2387" t="str">
        <f t="shared" si="0"/>
        <v/>
      </c>
    </row>
    <row r="2388" spans="16:16" hidden="1" x14ac:dyDescent="0.45">
      <c r="P2388" t="str">
        <f t="shared" si="0"/>
        <v/>
      </c>
    </row>
    <row r="2389" spans="16:16" hidden="1" x14ac:dyDescent="0.45">
      <c r="P2389" t="str">
        <f t="shared" si="0"/>
        <v/>
      </c>
    </row>
    <row r="2390" spans="16:16" hidden="1" x14ac:dyDescent="0.45">
      <c r="P2390" t="str">
        <f t="shared" si="0"/>
        <v/>
      </c>
    </row>
    <row r="2391" spans="16:16" hidden="1" x14ac:dyDescent="0.45">
      <c r="P2391" t="str">
        <f t="shared" si="0"/>
        <v/>
      </c>
    </row>
    <row r="2392" spans="16:16" hidden="1" x14ac:dyDescent="0.45">
      <c r="P2392" t="str">
        <f t="shared" si="0"/>
        <v/>
      </c>
    </row>
    <row r="2393" spans="16:16" hidden="1" x14ac:dyDescent="0.45">
      <c r="P2393" t="str">
        <f t="shared" si="0"/>
        <v/>
      </c>
    </row>
    <row r="2394" spans="16:16" hidden="1" x14ac:dyDescent="0.45">
      <c r="P2394" t="str">
        <f t="shared" si="0"/>
        <v/>
      </c>
    </row>
    <row r="2395" spans="16:16" hidden="1" x14ac:dyDescent="0.45">
      <c r="P2395" t="str">
        <f t="shared" si="0"/>
        <v/>
      </c>
    </row>
    <row r="2396" spans="16:16" hidden="1" x14ac:dyDescent="0.45">
      <c r="P2396" t="str">
        <f t="shared" si="0"/>
        <v/>
      </c>
    </row>
    <row r="2397" spans="16:16" hidden="1" x14ac:dyDescent="0.45">
      <c r="P2397" t="str">
        <f t="shared" si="0"/>
        <v/>
      </c>
    </row>
    <row r="2398" spans="16:16" hidden="1" x14ac:dyDescent="0.45">
      <c r="P2398" t="str">
        <f t="shared" si="0"/>
        <v/>
      </c>
    </row>
    <row r="2399" spans="16:16" hidden="1" x14ac:dyDescent="0.45">
      <c r="P2399" t="str">
        <f t="shared" si="0"/>
        <v/>
      </c>
    </row>
    <row r="2400" spans="16:16" hidden="1" x14ac:dyDescent="0.45">
      <c r="P2400" t="str">
        <f t="shared" si="0"/>
        <v/>
      </c>
    </row>
    <row r="2401" spans="16:16" hidden="1" x14ac:dyDescent="0.45">
      <c r="P2401" t="str">
        <f t="shared" si="0"/>
        <v/>
      </c>
    </row>
    <row r="2402" spans="16:16" hidden="1" x14ac:dyDescent="0.45">
      <c r="P2402" t="str">
        <f t="shared" si="0"/>
        <v/>
      </c>
    </row>
    <row r="2403" spans="16:16" hidden="1" x14ac:dyDescent="0.45">
      <c r="P2403" t="str">
        <f t="shared" si="0"/>
        <v/>
      </c>
    </row>
    <row r="2404" spans="16:16" hidden="1" x14ac:dyDescent="0.45">
      <c r="P2404" t="str">
        <f t="shared" si="0"/>
        <v/>
      </c>
    </row>
    <row r="2405" spans="16:16" hidden="1" x14ac:dyDescent="0.45">
      <c r="P2405" t="str">
        <f t="shared" si="0"/>
        <v/>
      </c>
    </row>
    <row r="2406" spans="16:16" hidden="1" x14ac:dyDescent="0.45">
      <c r="P2406" t="str">
        <f t="shared" si="0"/>
        <v/>
      </c>
    </row>
    <row r="2407" spans="16:16" hidden="1" x14ac:dyDescent="0.45">
      <c r="P2407" t="str">
        <f t="shared" si="0"/>
        <v/>
      </c>
    </row>
    <row r="2408" spans="16:16" hidden="1" x14ac:dyDescent="0.45">
      <c r="P2408" t="str">
        <f t="shared" si="0"/>
        <v/>
      </c>
    </row>
    <row r="2409" spans="16:16" hidden="1" x14ac:dyDescent="0.45">
      <c r="P2409" t="str">
        <f t="shared" si="0"/>
        <v/>
      </c>
    </row>
    <row r="2410" spans="16:16" hidden="1" x14ac:dyDescent="0.45">
      <c r="P2410" t="str">
        <f t="shared" si="0"/>
        <v/>
      </c>
    </row>
    <row r="2411" spans="16:16" hidden="1" x14ac:dyDescent="0.45">
      <c r="P2411" t="str">
        <f t="shared" si="0"/>
        <v/>
      </c>
    </row>
    <row r="2412" spans="16:16" hidden="1" x14ac:dyDescent="0.45">
      <c r="P2412" t="str">
        <f t="shared" si="0"/>
        <v/>
      </c>
    </row>
    <row r="2413" spans="16:16" hidden="1" x14ac:dyDescent="0.45">
      <c r="P2413" t="str">
        <f t="shared" si="0"/>
        <v/>
      </c>
    </row>
    <row r="2414" spans="16:16" hidden="1" x14ac:dyDescent="0.45">
      <c r="P2414" t="str">
        <f t="shared" si="0"/>
        <v/>
      </c>
    </row>
    <row r="2415" spans="16:16" hidden="1" x14ac:dyDescent="0.45">
      <c r="P2415" t="str">
        <f t="shared" si="0"/>
        <v/>
      </c>
    </row>
    <row r="2416" spans="16:16" hidden="1" x14ac:dyDescent="0.45">
      <c r="P2416" t="str">
        <f t="shared" si="0"/>
        <v/>
      </c>
    </row>
    <row r="2417" spans="16:16" hidden="1" x14ac:dyDescent="0.45">
      <c r="P2417" t="str">
        <f t="shared" si="0"/>
        <v/>
      </c>
    </row>
    <row r="2418" spans="16:16" hidden="1" x14ac:dyDescent="0.45">
      <c r="P2418" t="str">
        <f t="shared" si="0"/>
        <v/>
      </c>
    </row>
    <row r="2419" spans="16:16" hidden="1" x14ac:dyDescent="0.45">
      <c r="P2419" t="str">
        <f t="shared" si="0"/>
        <v/>
      </c>
    </row>
    <row r="2420" spans="16:16" hidden="1" x14ac:dyDescent="0.45">
      <c r="P2420" t="str">
        <f t="shared" si="0"/>
        <v/>
      </c>
    </row>
    <row r="2421" spans="16:16" hidden="1" x14ac:dyDescent="0.45">
      <c r="P2421" t="str">
        <f t="shared" si="0"/>
        <v/>
      </c>
    </row>
    <row r="2422" spans="16:16" hidden="1" x14ac:dyDescent="0.45">
      <c r="P2422" t="str">
        <f t="shared" si="0"/>
        <v/>
      </c>
    </row>
    <row r="2423" spans="16:16" hidden="1" x14ac:dyDescent="0.45">
      <c r="P2423" t="str">
        <f t="shared" si="0"/>
        <v/>
      </c>
    </row>
    <row r="2424" spans="16:16" hidden="1" x14ac:dyDescent="0.45">
      <c r="P2424" t="str">
        <f t="shared" si="0"/>
        <v/>
      </c>
    </row>
    <row r="2425" spans="16:16" hidden="1" x14ac:dyDescent="0.45">
      <c r="P2425" t="str">
        <f t="shared" si="0"/>
        <v/>
      </c>
    </row>
    <row r="2426" spans="16:16" hidden="1" x14ac:dyDescent="0.45">
      <c r="P2426" t="str">
        <f t="shared" si="0"/>
        <v/>
      </c>
    </row>
    <row r="2427" spans="16:16" hidden="1" x14ac:dyDescent="0.45">
      <c r="P2427" t="str">
        <f t="shared" si="0"/>
        <v/>
      </c>
    </row>
    <row r="2428" spans="16:16" hidden="1" x14ac:dyDescent="0.45">
      <c r="P2428" t="str">
        <f t="shared" si="0"/>
        <v/>
      </c>
    </row>
    <row r="2429" spans="16:16" hidden="1" x14ac:dyDescent="0.45">
      <c r="P2429" t="str">
        <f t="shared" si="0"/>
        <v/>
      </c>
    </row>
    <row r="2430" spans="16:16" hidden="1" x14ac:dyDescent="0.45">
      <c r="P2430" t="str">
        <f t="shared" si="0"/>
        <v/>
      </c>
    </row>
    <row r="2431" spans="16:16" hidden="1" x14ac:dyDescent="0.45">
      <c r="P2431" t="str">
        <f t="shared" si="0"/>
        <v/>
      </c>
    </row>
    <row r="2432" spans="16:16" hidden="1" x14ac:dyDescent="0.45">
      <c r="P2432" t="str">
        <f t="shared" si="0"/>
        <v/>
      </c>
    </row>
    <row r="2433" spans="16:16" hidden="1" x14ac:dyDescent="0.45">
      <c r="P2433" t="str">
        <f t="shared" si="0"/>
        <v/>
      </c>
    </row>
    <row r="2434" spans="16:16" hidden="1" x14ac:dyDescent="0.45">
      <c r="P2434" t="str">
        <f t="shared" si="0"/>
        <v/>
      </c>
    </row>
    <row r="2435" spans="16:16" hidden="1" x14ac:dyDescent="0.45">
      <c r="P2435" t="str">
        <f t="shared" si="0"/>
        <v/>
      </c>
    </row>
    <row r="2436" spans="16:16" hidden="1" x14ac:dyDescent="0.45">
      <c r="P2436" t="str">
        <f t="shared" si="0"/>
        <v/>
      </c>
    </row>
    <row r="2437" spans="16:16" hidden="1" x14ac:dyDescent="0.45">
      <c r="P2437" t="str">
        <f t="shared" si="0"/>
        <v/>
      </c>
    </row>
    <row r="2438" spans="16:16" hidden="1" x14ac:dyDescent="0.45">
      <c r="P2438" t="str">
        <f t="shared" si="0"/>
        <v/>
      </c>
    </row>
    <row r="2439" spans="16:16" hidden="1" x14ac:dyDescent="0.45">
      <c r="P2439" t="str">
        <f t="shared" si="0"/>
        <v/>
      </c>
    </row>
    <row r="2440" spans="16:16" hidden="1" x14ac:dyDescent="0.45">
      <c r="P2440" t="str">
        <f t="shared" si="0"/>
        <v/>
      </c>
    </row>
    <row r="2441" spans="16:16" hidden="1" x14ac:dyDescent="0.45">
      <c r="P2441" t="str">
        <f t="shared" si="0"/>
        <v/>
      </c>
    </row>
    <row r="2442" spans="16:16" hidden="1" x14ac:dyDescent="0.45">
      <c r="P2442" t="str">
        <f t="shared" ref="P2442:P2505" si="1">IF(ISBLANK(O2442),IF(ISNUMBER(SEARCH("H",A2442)),IF(E2442&lt;8000,"E",IF(E2442&lt;19000,"P","F")),IF(ISNUMBER(SEARCH("I",A2442)),IF(E2442&lt;7000,"E",IF(E2442&lt;19000,"P","F")),"")),"")</f>
        <v/>
      </c>
    </row>
    <row r="2443" spans="16:16" hidden="1" x14ac:dyDescent="0.45">
      <c r="P2443" t="str">
        <f t="shared" si="1"/>
        <v/>
      </c>
    </row>
    <row r="2444" spans="16:16" hidden="1" x14ac:dyDescent="0.45">
      <c r="P2444" t="str">
        <f t="shared" si="1"/>
        <v/>
      </c>
    </row>
    <row r="2445" spans="16:16" hidden="1" x14ac:dyDescent="0.45">
      <c r="P2445" t="str">
        <f t="shared" si="1"/>
        <v/>
      </c>
    </row>
    <row r="2446" spans="16:16" hidden="1" x14ac:dyDescent="0.45">
      <c r="P2446" t="str">
        <f t="shared" si="1"/>
        <v/>
      </c>
    </row>
    <row r="2447" spans="16:16" hidden="1" x14ac:dyDescent="0.45">
      <c r="P2447" t="str">
        <f t="shared" si="1"/>
        <v/>
      </c>
    </row>
    <row r="2448" spans="16:16" hidden="1" x14ac:dyDescent="0.45">
      <c r="P2448" t="str">
        <f t="shared" si="1"/>
        <v/>
      </c>
    </row>
    <row r="2449" spans="16:16" hidden="1" x14ac:dyDescent="0.45">
      <c r="P2449" t="str">
        <f t="shared" si="1"/>
        <v/>
      </c>
    </row>
    <row r="2450" spans="16:16" hidden="1" x14ac:dyDescent="0.45">
      <c r="P2450" t="str">
        <f t="shared" si="1"/>
        <v/>
      </c>
    </row>
    <row r="2451" spans="16:16" hidden="1" x14ac:dyDescent="0.45">
      <c r="P2451" t="str">
        <f t="shared" si="1"/>
        <v/>
      </c>
    </row>
    <row r="2452" spans="16:16" hidden="1" x14ac:dyDescent="0.45">
      <c r="P2452" t="str">
        <f t="shared" si="1"/>
        <v/>
      </c>
    </row>
    <row r="2453" spans="16:16" hidden="1" x14ac:dyDescent="0.45">
      <c r="P2453" t="str">
        <f t="shared" si="1"/>
        <v/>
      </c>
    </row>
    <row r="2454" spans="16:16" hidden="1" x14ac:dyDescent="0.45">
      <c r="P2454" t="str">
        <f t="shared" si="1"/>
        <v/>
      </c>
    </row>
    <row r="2455" spans="16:16" hidden="1" x14ac:dyDescent="0.45">
      <c r="P2455" t="str">
        <f t="shared" si="1"/>
        <v/>
      </c>
    </row>
    <row r="2456" spans="16:16" hidden="1" x14ac:dyDescent="0.45">
      <c r="P2456" t="str">
        <f t="shared" si="1"/>
        <v/>
      </c>
    </row>
    <row r="2457" spans="16:16" hidden="1" x14ac:dyDescent="0.45">
      <c r="P2457" t="str">
        <f t="shared" si="1"/>
        <v/>
      </c>
    </row>
    <row r="2458" spans="16:16" hidden="1" x14ac:dyDescent="0.45">
      <c r="P2458" t="str">
        <f t="shared" si="1"/>
        <v/>
      </c>
    </row>
    <row r="2459" spans="16:16" hidden="1" x14ac:dyDescent="0.45">
      <c r="P2459" t="str">
        <f t="shared" si="1"/>
        <v/>
      </c>
    </row>
    <row r="2460" spans="16:16" hidden="1" x14ac:dyDescent="0.45">
      <c r="P2460" t="str">
        <f t="shared" si="1"/>
        <v/>
      </c>
    </row>
    <row r="2461" spans="16:16" hidden="1" x14ac:dyDescent="0.45">
      <c r="P2461" t="str">
        <f t="shared" si="1"/>
        <v/>
      </c>
    </row>
    <row r="2462" spans="16:16" hidden="1" x14ac:dyDescent="0.45">
      <c r="P2462" t="str">
        <f t="shared" si="1"/>
        <v/>
      </c>
    </row>
    <row r="2463" spans="16:16" hidden="1" x14ac:dyDescent="0.45">
      <c r="P2463" t="str">
        <f t="shared" si="1"/>
        <v/>
      </c>
    </row>
    <row r="2464" spans="16:16" hidden="1" x14ac:dyDescent="0.45">
      <c r="P2464" t="str">
        <f t="shared" si="1"/>
        <v/>
      </c>
    </row>
    <row r="2465" spans="16:16" hidden="1" x14ac:dyDescent="0.45">
      <c r="P2465" t="str">
        <f t="shared" si="1"/>
        <v/>
      </c>
    </row>
    <row r="2466" spans="16:16" hidden="1" x14ac:dyDescent="0.45">
      <c r="P2466" t="str">
        <f t="shared" si="1"/>
        <v/>
      </c>
    </row>
    <row r="2467" spans="16:16" hidden="1" x14ac:dyDescent="0.45">
      <c r="P2467" t="str">
        <f t="shared" si="1"/>
        <v/>
      </c>
    </row>
    <row r="2468" spans="16:16" hidden="1" x14ac:dyDescent="0.45">
      <c r="P2468" t="str">
        <f t="shared" si="1"/>
        <v/>
      </c>
    </row>
    <row r="2469" spans="16:16" hidden="1" x14ac:dyDescent="0.45">
      <c r="P2469" t="str">
        <f t="shared" si="1"/>
        <v/>
      </c>
    </row>
    <row r="2470" spans="16:16" hidden="1" x14ac:dyDescent="0.45">
      <c r="P2470" t="str">
        <f t="shared" si="1"/>
        <v/>
      </c>
    </row>
    <row r="2471" spans="16:16" hidden="1" x14ac:dyDescent="0.45">
      <c r="P2471" t="str">
        <f t="shared" si="1"/>
        <v/>
      </c>
    </row>
    <row r="2472" spans="16:16" hidden="1" x14ac:dyDescent="0.45">
      <c r="P2472" t="str">
        <f t="shared" si="1"/>
        <v/>
      </c>
    </row>
    <row r="2473" spans="16:16" hidden="1" x14ac:dyDescent="0.45">
      <c r="P2473" t="str">
        <f t="shared" si="1"/>
        <v/>
      </c>
    </row>
    <row r="2474" spans="16:16" hidden="1" x14ac:dyDescent="0.45">
      <c r="P2474" t="str">
        <f t="shared" si="1"/>
        <v/>
      </c>
    </row>
    <row r="2475" spans="16:16" hidden="1" x14ac:dyDescent="0.45">
      <c r="P2475" t="str">
        <f t="shared" si="1"/>
        <v/>
      </c>
    </row>
    <row r="2476" spans="16:16" hidden="1" x14ac:dyDescent="0.45">
      <c r="P2476" t="str">
        <f t="shared" si="1"/>
        <v/>
      </c>
    </row>
    <row r="2477" spans="16:16" hidden="1" x14ac:dyDescent="0.45">
      <c r="P2477" t="str">
        <f t="shared" si="1"/>
        <v/>
      </c>
    </row>
    <row r="2478" spans="16:16" hidden="1" x14ac:dyDescent="0.45">
      <c r="P2478" t="str">
        <f t="shared" si="1"/>
        <v/>
      </c>
    </row>
    <row r="2479" spans="16:16" hidden="1" x14ac:dyDescent="0.45">
      <c r="P2479" t="str">
        <f t="shared" si="1"/>
        <v/>
      </c>
    </row>
    <row r="2480" spans="16:16" hidden="1" x14ac:dyDescent="0.45">
      <c r="P2480" t="str">
        <f t="shared" si="1"/>
        <v/>
      </c>
    </row>
    <row r="2481" spans="16:16" hidden="1" x14ac:dyDescent="0.45">
      <c r="P2481" t="str">
        <f t="shared" si="1"/>
        <v/>
      </c>
    </row>
    <row r="2482" spans="16:16" hidden="1" x14ac:dyDescent="0.45">
      <c r="P2482" t="str">
        <f t="shared" si="1"/>
        <v/>
      </c>
    </row>
    <row r="2483" spans="16:16" hidden="1" x14ac:dyDescent="0.45">
      <c r="P2483" t="str">
        <f t="shared" si="1"/>
        <v/>
      </c>
    </row>
    <row r="2484" spans="16:16" hidden="1" x14ac:dyDescent="0.45">
      <c r="P2484" t="str">
        <f t="shared" si="1"/>
        <v/>
      </c>
    </row>
    <row r="2485" spans="16:16" hidden="1" x14ac:dyDescent="0.45">
      <c r="P2485" t="str">
        <f t="shared" si="1"/>
        <v/>
      </c>
    </row>
    <row r="2486" spans="16:16" hidden="1" x14ac:dyDescent="0.45">
      <c r="P2486" t="str">
        <f t="shared" si="1"/>
        <v/>
      </c>
    </row>
    <row r="2487" spans="16:16" hidden="1" x14ac:dyDescent="0.45">
      <c r="P2487" t="str">
        <f t="shared" si="1"/>
        <v/>
      </c>
    </row>
    <row r="2488" spans="16:16" hidden="1" x14ac:dyDescent="0.45">
      <c r="P2488" t="str">
        <f t="shared" si="1"/>
        <v/>
      </c>
    </row>
    <row r="2489" spans="16:16" hidden="1" x14ac:dyDescent="0.45">
      <c r="P2489" t="str">
        <f t="shared" si="1"/>
        <v/>
      </c>
    </row>
    <row r="2490" spans="16:16" hidden="1" x14ac:dyDescent="0.45">
      <c r="P2490" t="str">
        <f t="shared" si="1"/>
        <v/>
      </c>
    </row>
    <row r="2491" spans="16:16" hidden="1" x14ac:dyDescent="0.45">
      <c r="P2491" t="str">
        <f t="shared" si="1"/>
        <v/>
      </c>
    </row>
    <row r="2492" spans="16:16" hidden="1" x14ac:dyDescent="0.45">
      <c r="P2492" t="str">
        <f t="shared" si="1"/>
        <v/>
      </c>
    </row>
    <row r="2493" spans="16:16" hidden="1" x14ac:dyDescent="0.45">
      <c r="P2493" t="str">
        <f t="shared" si="1"/>
        <v/>
      </c>
    </row>
    <row r="2494" spans="16:16" hidden="1" x14ac:dyDescent="0.45">
      <c r="P2494" t="str">
        <f t="shared" si="1"/>
        <v/>
      </c>
    </row>
    <row r="2495" spans="16:16" hidden="1" x14ac:dyDescent="0.45">
      <c r="P2495" t="str">
        <f t="shared" si="1"/>
        <v/>
      </c>
    </row>
    <row r="2496" spans="16:16" hidden="1" x14ac:dyDescent="0.45">
      <c r="P2496" t="str">
        <f t="shared" si="1"/>
        <v/>
      </c>
    </row>
    <row r="2497" spans="16:16" hidden="1" x14ac:dyDescent="0.45">
      <c r="P2497" t="str">
        <f t="shared" si="1"/>
        <v/>
      </c>
    </row>
    <row r="2498" spans="16:16" hidden="1" x14ac:dyDescent="0.45">
      <c r="P2498" t="str">
        <f t="shared" si="1"/>
        <v/>
      </c>
    </row>
    <row r="2499" spans="16:16" hidden="1" x14ac:dyDescent="0.45">
      <c r="P2499" t="str">
        <f t="shared" si="1"/>
        <v/>
      </c>
    </row>
    <row r="2500" spans="16:16" hidden="1" x14ac:dyDescent="0.45">
      <c r="P2500" t="str">
        <f t="shared" si="1"/>
        <v/>
      </c>
    </row>
    <row r="2501" spans="16:16" hidden="1" x14ac:dyDescent="0.45">
      <c r="P2501" t="str">
        <f t="shared" si="1"/>
        <v/>
      </c>
    </row>
    <row r="2502" spans="16:16" hidden="1" x14ac:dyDescent="0.45">
      <c r="P2502" t="str">
        <f t="shared" si="1"/>
        <v/>
      </c>
    </row>
    <row r="2503" spans="16:16" hidden="1" x14ac:dyDescent="0.45">
      <c r="P2503" t="str">
        <f t="shared" si="1"/>
        <v/>
      </c>
    </row>
    <row r="2504" spans="16:16" hidden="1" x14ac:dyDescent="0.45">
      <c r="P2504" t="str">
        <f t="shared" si="1"/>
        <v/>
      </c>
    </row>
    <row r="2505" spans="16:16" hidden="1" x14ac:dyDescent="0.45">
      <c r="P2505" t="str">
        <f t="shared" si="1"/>
        <v/>
      </c>
    </row>
    <row r="2506" spans="16:16" hidden="1" x14ac:dyDescent="0.45">
      <c r="P2506" t="str">
        <f t="shared" ref="P2506:P2569" si="2">IF(ISBLANK(O2506),IF(ISNUMBER(SEARCH("H",A2506)),IF(E2506&lt;8000,"E",IF(E2506&lt;19000,"P","F")),IF(ISNUMBER(SEARCH("I",A2506)),IF(E2506&lt;7000,"E",IF(E2506&lt;19000,"P","F")),"")),"")</f>
        <v/>
      </c>
    </row>
    <row r="2507" spans="16:16" hidden="1" x14ac:dyDescent="0.45">
      <c r="P2507" t="str">
        <f t="shared" si="2"/>
        <v/>
      </c>
    </row>
    <row r="2508" spans="16:16" hidden="1" x14ac:dyDescent="0.45">
      <c r="P2508" t="str">
        <f t="shared" si="2"/>
        <v/>
      </c>
    </row>
    <row r="2509" spans="16:16" hidden="1" x14ac:dyDescent="0.45">
      <c r="P2509" t="str">
        <f t="shared" si="2"/>
        <v/>
      </c>
    </row>
    <row r="2510" spans="16:16" hidden="1" x14ac:dyDescent="0.45">
      <c r="P2510" t="str">
        <f t="shared" si="2"/>
        <v/>
      </c>
    </row>
    <row r="2511" spans="16:16" hidden="1" x14ac:dyDescent="0.45">
      <c r="P2511" t="str">
        <f t="shared" si="2"/>
        <v/>
      </c>
    </row>
    <row r="2512" spans="16:16" hidden="1" x14ac:dyDescent="0.45">
      <c r="P2512" t="str">
        <f t="shared" si="2"/>
        <v/>
      </c>
    </row>
    <row r="2513" spans="16:16" hidden="1" x14ac:dyDescent="0.45">
      <c r="P2513" t="str">
        <f t="shared" si="2"/>
        <v/>
      </c>
    </row>
    <row r="2514" spans="16:16" hidden="1" x14ac:dyDescent="0.45">
      <c r="P2514" t="str">
        <f t="shared" si="2"/>
        <v/>
      </c>
    </row>
    <row r="2515" spans="16:16" hidden="1" x14ac:dyDescent="0.45">
      <c r="P2515" t="str">
        <f t="shared" si="2"/>
        <v/>
      </c>
    </row>
    <row r="2516" spans="16:16" hidden="1" x14ac:dyDescent="0.45">
      <c r="P2516" t="str">
        <f t="shared" si="2"/>
        <v/>
      </c>
    </row>
    <row r="2517" spans="16:16" hidden="1" x14ac:dyDescent="0.45">
      <c r="P2517" t="str">
        <f t="shared" si="2"/>
        <v/>
      </c>
    </row>
    <row r="2518" spans="16:16" hidden="1" x14ac:dyDescent="0.45">
      <c r="P2518" t="str">
        <f t="shared" si="2"/>
        <v/>
      </c>
    </row>
    <row r="2519" spans="16:16" hidden="1" x14ac:dyDescent="0.45">
      <c r="P2519" t="str">
        <f t="shared" si="2"/>
        <v/>
      </c>
    </row>
    <row r="2520" spans="16:16" hidden="1" x14ac:dyDescent="0.45">
      <c r="P2520" t="str">
        <f t="shared" si="2"/>
        <v/>
      </c>
    </row>
    <row r="2521" spans="16:16" hidden="1" x14ac:dyDescent="0.45">
      <c r="P2521" t="str">
        <f t="shared" si="2"/>
        <v/>
      </c>
    </row>
    <row r="2522" spans="16:16" hidden="1" x14ac:dyDescent="0.45">
      <c r="P2522" t="str">
        <f t="shared" si="2"/>
        <v/>
      </c>
    </row>
    <row r="2523" spans="16:16" hidden="1" x14ac:dyDescent="0.45">
      <c r="P2523" t="str">
        <f t="shared" si="2"/>
        <v/>
      </c>
    </row>
    <row r="2524" spans="16:16" hidden="1" x14ac:dyDescent="0.45">
      <c r="P2524" t="str">
        <f t="shared" si="2"/>
        <v/>
      </c>
    </row>
    <row r="2525" spans="16:16" hidden="1" x14ac:dyDescent="0.45">
      <c r="P2525" t="str">
        <f t="shared" si="2"/>
        <v/>
      </c>
    </row>
    <row r="2526" spans="16:16" hidden="1" x14ac:dyDescent="0.45">
      <c r="P2526" t="str">
        <f t="shared" si="2"/>
        <v/>
      </c>
    </row>
    <row r="2527" spans="16:16" hidden="1" x14ac:dyDescent="0.45">
      <c r="P2527" t="str">
        <f t="shared" si="2"/>
        <v/>
      </c>
    </row>
    <row r="2528" spans="16:16" hidden="1" x14ac:dyDescent="0.45">
      <c r="P2528" t="str">
        <f t="shared" si="2"/>
        <v/>
      </c>
    </row>
    <row r="2529" spans="16:16" hidden="1" x14ac:dyDescent="0.45">
      <c r="P2529" t="str">
        <f t="shared" si="2"/>
        <v/>
      </c>
    </row>
    <row r="2530" spans="16:16" hidden="1" x14ac:dyDescent="0.45">
      <c r="P2530" t="str">
        <f t="shared" si="2"/>
        <v/>
      </c>
    </row>
    <row r="2531" spans="16:16" hidden="1" x14ac:dyDescent="0.45">
      <c r="P2531" t="str">
        <f t="shared" si="2"/>
        <v/>
      </c>
    </row>
    <row r="2532" spans="16:16" hidden="1" x14ac:dyDescent="0.45">
      <c r="P2532" t="str">
        <f t="shared" si="2"/>
        <v/>
      </c>
    </row>
    <row r="2533" spans="16:16" hidden="1" x14ac:dyDescent="0.45">
      <c r="P2533" t="str">
        <f t="shared" si="2"/>
        <v/>
      </c>
    </row>
    <row r="2534" spans="16:16" hidden="1" x14ac:dyDescent="0.45">
      <c r="P2534" t="str">
        <f t="shared" si="2"/>
        <v/>
      </c>
    </row>
    <row r="2535" spans="16:16" hidden="1" x14ac:dyDescent="0.45">
      <c r="P2535" t="str">
        <f t="shared" si="2"/>
        <v/>
      </c>
    </row>
    <row r="2536" spans="16:16" hidden="1" x14ac:dyDescent="0.45">
      <c r="P2536" t="str">
        <f t="shared" si="2"/>
        <v/>
      </c>
    </row>
    <row r="2537" spans="16:16" hidden="1" x14ac:dyDescent="0.45">
      <c r="P2537" t="str">
        <f t="shared" si="2"/>
        <v/>
      </c>
    </row>
    <row r="2538" spans="16:16" hidden="1" x14ac:dyDescent="0.45">
      <c r="P2538" t="str">
        <f t="shared" si="2"/>
        <v/>
      </c>
    </row>
    <row r="2539" spans="16:16" hidden="1" x14ac:dyDescent="0.45">
      <c r="P2539" t="str">
        <f t="shared" si="2"/>
        <v/>
      </c>
    </row>
    <row r="2540" spans="16:16" hidden="1" x14ac:dyDescent="0.45">
      <c r="P2540" t="str">
        <f t="shared" si="2"/>
        <v/>
      </c>
    </row>
    <row r="2541" spans="16:16" hidden="1" x14ac:dyDescent="0.45">
      <c r="P2541" t="str">
        <f t="shared" si="2"/>
        <v/>
      </c>
    </row>
    <row r="2542" spans="16:16" hidden="1" x14ac:dyDescent="0.45">
      <c r="P2542" t="str">
        <f t="shared" si="2"/>
        <v/>
      </c>
    </row>
    <row r="2543" spans="16:16" hidden="1" x14ac:dyDescent="0.45">
      <c r="P2543" t="str">
        <f t="shared" si="2"/>
        <v/>
      </c>
    </row>
    <row r="2544" spans="16:16" hidden="1" x14ac:dyDescent="0.45">
      <c r="P2544" t="str">
        <f t="shared" si="2"/>
        <v/>
      </c>
    </row>
    <row r="2545" spans="16:16" hidden="1" x14ac:dyDescent="0.45">
      <c r="P2545" t="str">
        <f t="shared" si="2"/>
        <v/>
      </c>
    </row>
    <row r="2546" spans="16:16" hidden="1" x14ac:dyDescent="0.45">
      <c r="P2546" t="str">
        <f t="shared" si="2"/>
        <v/>
      </c>
    </row>
    <row r="2547" spans="16:16" hidden="1" x14ac:dyDescent="0.45">
      <c r="P2547" t="str">
        <f t="shared" si="2"/>
        <v/>
      </c>
    </row>
    <row r="2548" spans="16:16" hidden="1" x14ac:dyDescent="0.45">
      <c r="P2548" t="str">
        <f t="shared" si="2"/>
        <v/>
      </c>
    </row>
    <row r="2549" spans="16:16" hidden="1" x14ac:dyDescent="0.45">
      <c r="P2549" t="str">
        <f t="shared" si="2"/>
        <v/>
      </c>
    </row>
    <row r="2550" spans="16:16" hidden="1" x14ac:dyDescent="0.45">
      <c r="P2550" t="str">
        <f t="shared" si="2"/>
        <v/>
      </c>
    </row>
    <row r="2551" spans="16:16" hidden="1" x14ac:dyDescent="0.45">
      <c r="P2551" t="str">
        <f t="shared" si="2"/>
        <v/>
      </c>
    </row>
    <row r="2552" spans="16:16" hidden="1" x14ac:dyDescent="0.45">
      <c r="P2552" t="str">
        <f t="shared" si="2"/>
        <v/>
      </c>
    </row>
    <row r="2553" spans="16:16" hidden="1" x14ac:dyDescent="0.45">
      <c r="P2553" t="str">
        <f t="shared" si="2"/>
        <v/>
      </c>
    </row>
    <row r="2554" spans="16:16" hidden="1" x14ac:dyDescent="0.45">
      <c r="P2554" t="str">
        <f t="shared" si="2"/>
        <v/>
      </c>
    </row>
    <row r="2555" spans="16:16" hidden="1" x14ac:dyDescent="0.45">
      <c r="P2555" t="str">
        <f t="shared" si="2"/>
        <v/>
      </c>
    </row>
    <row r="2556" spans="16:16" hidden="1" x14ac:dyDescent="0.45">
      <c r="P2556" t="str">
        <f t="shared" si="2"/>
        <v/>
      </c>
    </row>
    <row r="2557" spans="16:16" hidden="1" x14ac:dyDescent="0.45">
      <c r="P2557" t="str">
        <f t="shared" si="2"/>
        <v/>
      </c>
    </row>
    <row r="2558" spans="16:16" hidden="1" x14ac:dyDescent="0.45">
      <c r="P2558" t="str">
        <f t="shared" si="2"/>
        <v/>
      </c>
    </row>
    <row r="2559" spans="16:16" hidden="1" x14ac:dyDescent="0.45">
      <c r="P2559" t="str">
        <f t="shared" si="2"/>
        <v/>
      </c>
    </row>
    <row r="2560" spans="16:16" hidden="1" x14ac:dyDescent="0.45">
      <c r="P2560" t="str">
        <f t="shared" si="2"/>
        <v/>
      </c>
    </row>
    <row r="2561" spans="16:16" hidden="1" x14ac:dyDescent="0.45">
      <c r="P2561" t="str">
        <f t="shared" si="2"/>
        <v/>
      </c>
    </row>
    <row r="2562" spans="16:16" hidden="1" x14ac:dyDescent="0.45">
      <c r="P2562" t="str">
        <f t="shared" si="2"/>
        <v/>
      </c>
    </row>
    <row r="2563" spans="16:16" hidden="1" x14ac:dyDescent="0.45">
      <c r="P2563" t="str">
        <f t="shared" si="2"/>
        <v/>
      </c>
    </row>
    <row r="2564" spans="16:16" hidden="1" x14ac:dyDescent="0.45">
      <c r="P2564" t="str">
        <f t="shared" si="2"/>
        <v/>
      </c>
    </row>
    <row r="2565" spans="16:16" hidden="1" x14ac:dyDescent="0.45">
      <c r="P2565" t="str">
        <f t="shared" si="2"/>
        <v/>
      </c>
    </row>
    <row r="2566" spans="16:16" hidden="1" x14ac:dyDescent="0.45">
      <c r="P2566" t="str">
        <f t="shared" si="2"/>
        <v/>
      </c>
    </row>
    <row r="2567" spans="16:16" hidden="1" x14ac:dyDescent="0.45">
      <c r="P2567" t="str">
        <f t="shared" si="2"/>
        <v/>
      </c>
    </row>
    <row r="2568" spans="16:16" hidden="1" x14ac:dyDescent="0.45">
      <c r="P2568" t="str">
        <f t="shared" si="2"/>
        <v/>
      </c>
    </row>
    <row r="2569" spans="16:16" hidden="1" x14ac:dyDescent="0.45">
      <c r="P2569" t="str">
        <f t="shared" si="2"/>
        <v/>
      </c>
    </row>
    <row r="2570" spans="16:16" hidden="1" x14ac:dyDescent="0.45">
      <c r="P2570" t="str">
        <f t="shared" ref="P2570:P2633" si="3">IF(ISBLANK(O2570),IF(ISNUMBER(SEARCH("H",A2570)),IF(E2570&lt;8000,"E",IF(E2570&lt;19000,"P","F")),IF(ISNUMBER(SEARCH("I",A2570)),IF(E2570&lt;7000,"E",IF(E2570&lt;19000,"P","F")),"")),"")</f>
        <v/>
      </c>
    </row>
    <row r="2571" spans="16:16" hidden="1" x14ac:dyDescent="0.45">
      <c r="P2571" t="str">
        <f t="shared" si="3"/>
        <v/>
      </c>
    </row>
    <row r="2572" spans="16:16" hidden="1" x14ac:dyDescent="0.45">
      <c r="P2572" t="str">
        <f t="shared" si="3"/>
        <v/>
      </c>
    </row>
    <row r="2573" spans="16:16" hidden="1" x14ac:dyDescent="0.45">
      <c r="P2573" t="str">
        <f t="shared" si="3"/>
        <v/>
      </c>
    </row>
    <row r="2574" spans="16:16" hidden="1" x14ac:dyDescent="0.45">
      <c r="P2574" t="str">
        <f t="shared" si="3"/>
        <v/>
      </c>
    </row>
    <row r="2575" spans="16:16" hidden="1" x14ac:dyDescent="0.45">
      <c r="P2575" t="str">
        <f t="shared" si="3"/>
        <v/>
      </c>
    </row>
    <row r="2576" spans="16:16" hidden="1" x14ac:dyDescent="0.45">
      <c r="P2576" t="str">
        <f t="shared" si="3"/>
        <v/>
      </c>
    </row>
    <row r="2577" spans="16:16" hidden="1" x14ac:dyDescent="0.45">
      <c r="P2577" t="str">
        <f t="shared" si="3"/>
        <v/>
      </c>
    </row>
    <row r="2578" spans="16:16" hidden="1" x14ac:dyDescent="0.45">
      <c r="P2578" t="str">
        <f t="shared" si="3"/>
        <v/>
      </c>
    </row>
    <row r="2579" spans="16:16" hidden="1" x14ac:dyDescent="0.45">
      <c r="P2579" t="str">
        <f t="shared" si="3"/>
        <v/>
      </c>
    </row>
    <row r="2580" spans="16:16" hidden="1" x14ac:dyDescent="0.45">
      <c r="P2580" t="str">
        <f t="shared" si="3"/>
        <v/>
      </c>
    </row>
    <row r="2581" spans="16:16" hidden="1" x14ac:dyDescent="0.45">
      <c r="P2581" t="str">
        <f t="shared" si="3"/>
        <v/>
      </c>
    </row>
    <row r="2582" spans="16:16" hidden="1" x14ac:dyDescent="0.45">
      <c r="P2582" t="str">
        <f t="shared" si="3"/>
        <v/>
      </c>
    </row>
    <row r="2583" spans="16:16" hidden="1" x14ac:dyDescent="0.45">
      <c r="P2583" t="str">
        <f t="shared" si="3"/>
        <v/>
      </c>
    </row>
    <row r="2584" spans="16:16" hidden="1" x14ac:dyDescent="0.45">
      <c r="P2584" t="str">
        <f t="shared" si="3"/>
        <v/>
      </c>
    </row>
    <row r="2585" spans="16:16" hidden="1" x14ac:dyDescent="0.45">
      <c r="P2585" t="str">
        <f t="shared" si="3"/>
        <v/>
      </c>
    </row>
    <row r="2586" spans="16:16" hidden="1" x14ac:dyDescent="0.45">
      <c r="P2586" t="str">
        <f t="shared" si="3"/>
        <v/>
      </c>
    </row>
    <row r="2587" spans="16:16" hidden="1" x14ac:dyDescent="0.45">
      <c r="P2587" t="str">
        <f t="shared" si="3"/>
        <v/>
      </c>
    </row>
    <row r="2588" spans="16:16" hidden="1" x14ac:dyDescent="0.45">
      <c r="P2588" t="str">
        <f t="shared" si="3"/>
        <v/>
      </c>
    </row>
    <row r="2589" spans="16:16" hidden="1" x14ac:dyDescent="0.45">
      <c r="P2589" t="str">
        <f t="shared" si="3"/>
        <v/>
      </c>
    </row>
    <row r="2590" spans="16:16" hidden="1" x14ac:dyDescent="0.45">
      <c r="P2590" t="str">
        <f t="shared" si="3"/>
        <v/>
      </c>
    </row>
    <row r="2591" spans="16:16" hidden="1" x14ac:dyDescent="0.45">
      <c r="P2591" t="str">
        <f t="shared" si="3"/>
        <v/>
      </c>
    </row>
    <row r="2592" spans="16:16" hidden="1" x14ac:dyDescent="0.45">
      <c r="P2592" t="str">
        <f t="shared" si="3"/>
        <v/>
      </c>
    </row>
    <row r="2593" spans="16:16" hidden="1" x14ac:dyDescent="0.45">
      <c r="P2593" t="str">
        <f t="shared" si="3"/>
        <v/>
      </c>
    </row>
    <row r="2594" spans="16:16" hidden="1" x14ac:dyDescent="0.45">
      <c r="P2594" t="str">
        <f t="shared" si="3"/>
        <v/>
      </c>
    </row>
    <row r="2595" spans="16:16" hidden="1" x14ac:dyDescent="0.45">
      <c r="P2595" t="str">
        <f t="shared" si="3"/>
        <v/>
      </c>
    </row>
    <row r="2596" spans="16:16" hidden="1" x14ac:dyDescent="0.45">
      <c r="P2596" t="str">
        <f t="shared" si="3"/>
        <v/>
      </c>
    </row>
    <row r="2597" spans="16:16" hidden="1" x14ac:dyDescent="0.45">
      <c r="P2597" t="str">
        <f t="shared" si="3"/>
        <v/>
      </c>
    </row>
    <row r="2598" spans="16:16" hidden="1" x14ac:dyDescent="0.45">
      <c r="P2598" t="str">
        <f t="shared" si="3"/>
        <v/>
      </c>
    </row>
    <row r="2599" spans="16:16" hidden="1" x14ac:dyDescent="0.45">
      <c r="P2599" t="str">
        <f t="shared" si="3"/>
        <v/>
      </c>
    </row>
    <row r="2600" spans="16:16" hidden="1" x14ac:dyDescent="0.45">
      <c r="P2600" t="str">
        <f t="shared" si="3"/>
        <v/>
      </c>
    </row>
    <row r="2601" spans="16:16" hidden="1" x14ac:dyDescent="0.45">
      <c r="P2601" t="str">
        <f t="shared" si="3"/>
        <v/>
      </c>
    </row>
    <row r="2602" spans="16:16" hidden="1" x14ac:dyDescent="0.45">
      <c r="P2602" t="str">
        <f t="shared" si="3"/>
        <v/>
      </c>
    </row>
    <row r="2603" spans="16:16" hidden="1" x14ac:dyDescent="0.45">
      <c r="P2603" t="str">
        <f t="shared" si="3"/>
        <v/>
      </c>
    </row>
    <row r="2604" spans="16:16" hidden="1" x14ac:dyDescent="0.45">
      <c r="P2604" t="str">
        <f t="shared" si="3"/>
        <v/>
      </c>
    </row>
    <row r="2605" spans="16:16" hidden="1" x14ac:dyDescent="0.45">
      <c r="P2605" t="str">
        <f t="shared" si="3"/>
        <v/>
      </c>
    </row>
    <row r="2606" spans="16:16" hidden="1" x14ac:dyDescent="0.45">
      <c r="P2606" t="str">
        <f t="shared" si="3"/>
        <v/>
      </c>
    </row>
    <row r="2607" spans="16:16" hidden="1" x14ac:dyDescent="0.45">
      <c r="P2607" t="str">
        <f t="shared" si="3"/>
        <v/>
      </c>
    </row>
    <row r="2608" spans="16:16" hidden="1" x14ac:dyDescent="0.45">
      <c r="P2608" t="str">
        <f t="shared" si="3"/>
        <v/>
      </c>
    </row>
    <row r="2609" spans="16:16" hidden="1" x14ac:dyDescent="0.45">
      <c r="P2609" t="str">
        <f t="shared" si="3"/>
        <v/>
      </c>
    </row>
    <row r="2610" spans="16:16" hidden="1" x14ac:dyDescent="0.45">
      <c r="P2610" t="str">
        <f t="shared" si="3"/>
        <v/>
      </c>
    </row>
    <row r="2611" spans="16:16" hidden="1" x14ac:dyDescent="0.45">
      <c r="P2611" t="str">
        <f t="shared" si="3"/>
        <v/>
      </c>
    </row>
    <row r="2612" spans="16:16" hidden="1" x14ac:dyDescent="0.45">
      <c r="P2612" t="str">
        <f t="shared" si="3"/>
        <v/>
      </c>
    </row>
    <row r="2613" spans="16:16" hidden="1" x14ac:dyDescent="0.45">
      <c r="P2613" t="str">
        <f t="shared" si="3"/>
        <v/>
      </c>
    </row>
    <row r="2614" spans="16:16" hidden="1" x14ac:dyDescent="0.45">
      <c r="P2614" t="str">
        <f t="shared" si="3"/>
        <v/>
      </c>
    </row>
    <row r="2615" spans="16:16" hidden="1" x14ac:dyDescent="0.45">
      <c r="P2615" t="str">
        <f t="shared" si="3"/>
        <v/>
      </c>
    </row>
    <row r="2616" spans="16:16" hidden="1" x14ac:dyDescent="0.45">
      <c r="P2616" t="str">
        <f t="shared" si="3"/>
        <v/>
      </c>
    </row>
    <row r="2617" spans="16:16" hidden="1" x14ac:dyDescent="0.45">
      <c r="P2617" t="str">
        <f t="shared" si="3"/>
        <v/>
      </c>
    </row>
    <row r="2618" spans="16:16" hidden="1" x14ac:dyDescent="0.45">
      <c r="P2618" t="str">
        <f t="shared" si="3"/>
        <v/>
      </c>
    </row>
    <row r="2619" spans="16:16" hidden="1" x14ac:dyDescent="0.45">
      <c r="P2619" t="str">
        <f t="shared" si="3"/>
        <v/>
      </c>
    </row>
    <row r="2620" spans="16:16" hidden="1" x14ac:dyDescent="0.45">
      <c r="P2620" t="str">
        <f t="shared" si="3"/>
        <v/>
      </c>
    </row>
    <row r="2621" spans="16:16" hidden="1" x14ac:dyDescent="0.45">
      <c r="P2621" t="str">
        <f t="shared" si="3"/>
        <v/>
      </c>
    </row>
    <row r="2622" spans="16:16" hidden="1" x14ac:dyDescent="0.45">
      <c r="P2622" t="str">
        <f t="shared" si="3"/>
        <v/>
      </c>
    </row>
    <row r="2623" spans="16:16" hidden="1" x14ac:dyDescent="0.45">
      <c r="P2623" t="str">
        <f t="shared" si="3"/>
        <v/>
      </c>
    </row>
    <row r="2624" spans="16:16" hidden="1" x14ac:dyDescent="0.45">
      <c r="P2624" t="str">
        <f t="shared" si="3"/>
        <v/>
      </c>
    </row>
    <row r="2625" spans="16:16" hidden="1" x14ac:dyDescent="0.45">
      <c r="P2625" t="str">
        <f t="shared" si="3"/>
        <v/>
      </c>
    </row>
    <row r="2626" spans="16:16" hidden="1" x14ac:dyDescent="0.45">
      <c r="P2626" t="str">
        <f t="shared" si="3"/>
        <v/>
      </c>
    </row>
    <row r="2627" spans="16:16" hidden="1" x14ac:dyDescent="0.45">
      <c r="P2627" t="str">
        <f t="shared" si="3"/>
        <v/>
      </c>
    </row>
    <row r="2628" spans="16:16" hidden="1" x14ac:dyDescent="0.45">
      <c r="P2628" t="str">
        <f t="shared" si="3"/>
        <v/>
      </c>
    </row>
    <row r="2629" spans="16:16" hidden="1" x14ac:dyDescent="0.45">
      <c r="P2629" t="str">
        <f t="shared" si="3"/>
        <v/>
      </c>
    </row>
    <row r="2630" spans="16:16" hidden="1" x14ac:dyDescent="0.45">
      <c r="P2630" t="str">
        <f t="shared" si="3"/>
        <v/>
      </c>
    </row>
    <row r="2631" spans="16:16" hidden="1" x14ac:dyDescent="0.45">
      <c r="P2631" t="str">
        <f t="shared" si="3"/>
        <v/>
      </c>
    </row>
    <row r="2632" spans="16:16" hidden="1" x14ac:dyDescent="0.45">
      <c r="P2632" t="str">
        <f t="shared" si="3"/>
        <v/>
      </c>
    </row>
    <row r="2633" spans="16:16" hidden="1" x14ac:dyDescent="0.45">
      <c r="P2633" t="str">
        <f t="shared" si="3"/>
        <v/>
      </c>
    </row>
    <row r="2634" spans="16:16" hidden="1" x14ac:dyDescent="0.45">
      <c r="P2634" t="str">
        <f t="shared" ref="P2634:P2697" si="4">IF(ISBLANK(O2634),IF(ISNUMBER(SEARCH("H",A2634)),IF(E2634&lt;8000,"E",IF(E2634&lt;19000,"P","F")),IF(ISNUMBER(SEARCH("I",A2634)),IF(E2634&lt;7000,"E",IF(E2634&lt;19000,"P","F")),"")),"")</f>
        <v/>
      </c>
    </row>
    <row r="2635" spans="16:16" hidden="1" x14ac:dyDescent="0.45">
      <c r="P2635" t="str">
        <f t="shared" si="4"/>
        <v/>
      </c>
    </row>
    <row r="2636" spans="16:16" hidden="1" x14ac:dyDescent="0.45">
      <c r="P2636" t="str">
        <f t="shared" si="4"/>
        <v/>
      </c>
    </row>
    <row r="2637" spans="16:16" hidden="1" x14ac:dyDescent="0.45">
      <c r="P2637" t="str">
        <f t="shared" si="4"/>
        <v/>
      </c>
    </row>
    <row r="2638" spans="16:16" hidden="1" x14ac:dyDescent="0.45">
      <c r="P2638" t="str">
        <f t="shared" si="4"/>
        <v/>
      </c>
    </row>
    <row r="2639" spans="16:16" hidden="1" x14ac:dyDescent="0.45">
      <c r="P2639" t="str">
        <f t="shared" si="4"/>
        <v/>
      </c>
    </row>
    <row r="2640" spans="16:16" hidden="1" x14ac:dyDescent="0.45">
      <c r="P2640" t="str">
        <f t="shared" si="4"/>
        <v/>
      </c>
    </row>
    <row r="2641" spans="16:16" hidden="1" x14ac:dyDescent="0.45">
      <c r="P2641" t="str">
        <f t="shared" si="4"/>
        <v/>
      </c>
    </row>
    <row r="2642" spans="16:16" hidden="1" x14ac:dyDescent="0.45">
      <c r="P2642" t="str">
        <f t="shared" si="4"/>
        <v/>
      </c>
    </row>
    <row r="2643" spans="16:16" hidden="1" x14ac:dyDescent="0.45">
      <c r="P2643" t="str">
        <f t="shared" si="4"/>
        <v/>
      </c>
    </row>
    <row r="2644" spans="16:16" hidden="1" x14ac:dyDescent="0.45">
      <c r="P2644" t="str">
        <f t="shared" si="4"/>
        <v/>
      </c>
    </row>
    <row r="2645" spans="16:16" hidden="1" x14ac:dyDescent="0.45">
      <c r="P2645" t="str">
        <f t="shared" si="4"/>
        <v/>
      </c>
    </row>
    <row r="2646" spans="16:16" hidden="1" x14ac:dyDescent="0.45">
      <c r="P2646" t="str">
        <f t="shared" si="4"/>
        <v/>
      </c>
    </row>
    <row r="2647" spans="16:16" hidden="1" x14ac:dyDescent="0.45">
      <c r="P2647" t="str">
        <f t="shared" si="4"/>
        <v/>
      </c>
    </row>
    <row r="2648" spans="16:16" hidden="1" x14ac:dyDescent="0.45">
      <c r="P2648" t="str">
        <f t="shared" si="4"/>
        <v/>
      </c>
    </row>
    <row r="2649" spans="16:16" hidden="1" x14ac:dyDescent="0.45">
      <c r="P2649" t="str">
        <f t="shared" si="4"/>
        <v/>
      </c>
    </row>
    <row r="2650" spans="16:16" hidden="1" x14ac:dyDescent="0.45">
      <c r="P2650" t="str">
        <f t="shared" si="4"/>
        <v/>
      </c>
    </row>
    <row r="2651" spans="16:16" hidden="1" x14ac:dyDescent="0.45">
      <c r="P2651" t="str">
        <f t="shared" si="4"/>
        <v/>
      </c>
    </row>
    <row r="2652" spans="16:16" hidden="1" x14ac:dyDescent="0.45">
      <c r="P2652" t="str">
        <f t="shared" si="4"/>
        <v/>
      </c>
    </row>
    <row r="2653" spans="16:16" hidden="1" x14ac:dyDescent="0.45">
      <c r="P2653" t="str">
        <f t="shared" si="4"/>
        <v/>
      </c>
    </row>
    <row r="2654" spans="16:16" hidden="1" x14ac:dyDescent="0.45">
      <c r="P2654" t="str">
        <f t="shared" si="4"/>
        <v/>
      </c>
    </row>
    <row r="2655" spans="16:16" hidden="1" x14ac:dyDescent="0.45">
      <c r="P2655" t="str">
        <f t="shared" si="4"/>
        <v/>
      </c>
    </row>
    <row r="2656" spans="16:16" hidden="1" x14ac:dyDescent="0.45">
      <c r="P2656" t="str">
        <f t="shared" si="4"/>
        <v/>
      </c>
    </row>
    <row r="2657" spans="16:16" hidden="1" x14ac:dyDescent="0.45">
      <c r="P2657" t="str">
        <f t="shared" si="4"/>
        <v/>
      </c>
    </row>
    <row r="2658" spans="16:16" hidden="1" x14ac:dyDescent="0.45">
      <c r="P2658" t="str">
        <f t="shared" si="4"/>
        <v/>
      </c>
    </row>
    <row r="2659" spans="16:16" hidden="1" x14ac:dyDescent="0.45">
      <c r="P2659" t="str">
        <f t="shared" si="4"/>
        <v/>
      </c>
    </row>
    <row r="2660" spans="16:16" hidden="1" x14ac:dyDescent="0.45">
      <c r="P2660" t="str">
        <f t="shared" si="4"/>
        <v/>
      </c>
    </row>
    <row r="2661" spans="16:16" hidden="1" x14ac:dyDescent="0.45">
      <c r="P2661" t="str">
        <f t="shared" si="4"/>
        <v/>
      </c>
    </row>
    <row r="2662" spans="16:16" hidden="1" x14ac:dyDescent="0.45">
      <c r="P2662" t="str">
        <f t="shared" si="4"/>
        <v/>
      </c>
    </row>
    <row r="2663" spans="16:16" hidden="1" x14ac:dyDescent="0.45">
      <c r="P2663" t="str">
        <f t="shared" si="4"/>
        <v/>
      </c>
    </row>
    <row r="2664" spans="16:16" hidden="1" x14ac:dyDescent="0.45">
      <c r="P2664" t="str">
        <f t="shared" si="4"/>
        <v/>
      </c>
    </row>
    <row r="2665" spans="16:16" hidden="1" x14ac:dyDescent="0.45">
      <c r="P2665" t="str">
        <f t="shared" si="4"/>
        <v/>
      </c>
    </row>
    <row r="2666" spans="16:16" hidden="1" x14ac:dyDescent="0.45">
      <c r="P2666" t="str">
        <f t="shared" si="4"/>
        <v/>
      </c>
    </row>
    <row r="2667" spans="16:16" hidden="1" x14ac:dyDescent="0.45">
      <c r="P2667" t="str">
        <f t="shared" si="4"/>
        <v/>
      </c>
    </row>
    <row r="2668" spans="16:16" hidden="1" x14ac:dyDescent="0.45">
      <c r="P2668" t="str">
        <f t="shared" si="4"/>
        <v/>
      </c>
    </row>
    <row r="2669" spans="16:16" hidden="1" x14ac:dyDescent="0.45">
      <c r="P2669" t="str">
        <f t="shared" si="4"/>
        <v/>
      </c>
    </row>
    <row r="2670" spans="16:16" hidden="1" x14ac:dyDescent="0.45">
      <c r="P2670" t="str">
        <f t="shared" si="4"/>
        <v/>
      </c>
    </row>
    <row r="2671" spans="16:16" hidden="1" x14ac:dyDescent="0.45">
      <c r="P2671" t="str">
        <f t="shared" si="4"/>
        <v/>
      </c>
    </row>
    <row r="2672" spans="16:16" hidden="1" x14ac:dyDescent="0.45">
      <c r="P2672" t="str">
        <f t="shared" si="4"/>
        <v/>
      </c>
    </row>
    <row r="2673" spans="16:16" hidden="1" x14ac:dyDescent="0.45">
      <c r="P2673" t="str">
        <f t="shared" si="4"/>
        <v/>
      </c>
    </row>
    <row r="2674" spans="16:16" hidden="1" x14ac:dyDescent="0.45">
      <c r="P2674" t="str">
        <f t="shared" si="4"/>
        <v/>
      </c>
    </row>
    <row r="2675" spans="16:16" hidden="1" x14ac:dyDescent="0.45">
      <c r="P2675" t="str">
        <f t="shared" si="4"/>
        <v/>
      </c>
    </row>
    <row r="2676" spans="16:16" hidden="1" x14ac:dyDescent="0.45">
      <c r="P2676" t="str">
        <f t="shared" si="4"/>
        <v/>
      </c>
    </row>
    <row r="2677" spans="16:16" hidden="1" x14ac:dyDescent="0.45">
      <c r="P2677" t="str">
        <f t="shared" si="4"/>
        <v/>
      </c>
    </row>
    <row r="2678" spans="16:16" hidden="1" x14ac:dyDescent="0.45">
      <c r="P2678" t="str">
        <f t="shared" si="4"/>
        <v/>
      </c>
    </row>
    <row r="2679" spans="16:16" hidden="1" x14ac:dyDescent="0.45">
      <c r="P2679" t="str">
        <f t="shared" si="4"/>
        <v/>
      </c>
    </row>
    <row r="2680" spans="16:16" hidden="1" x14ac:dyDescent="0.45">
      <c r="P2680" t="str">
        <f t="shared" si="4"/>
        <v/>
      </c>
    </row>
    <row r="2681" spans="16:16" hidden="1" x14ac:dyDescent="0.45">
      <c r="P2681" t="str">
        <f t="shared" si="4"/>
        <v/>
      </c>
    </row>
    <row r="2682" spans="16:16" hidden="1" x14ac:dyDescent="0.45">
      <c r="P2682" t="str">
        <f t="shared" si="4"/>
        <v/>
      </c>
    </row>
    <row r="2683" spans="16:16" hidden="1" x14ac:dyDescent="0.45">
      <c r="P2683" t="str">
        <f t="shared" si="4"/>
        <v/>
      </c>
    </row>
    <row r="2684" spans="16:16" hidden="1" x14ac:dyDescent="0.45">
      <c r="P2684" t="str">
        <f t="shared" si="4"/>
        <v/>
      </c>
    </row>
    <row r="2685" spans="16:16" hidden="1" x14ac:dyDescent="0.45">
      <c r="P2685" t="str">
        <f t="shared" si="4"/>
        <v/>
      </c>
    </row>
    <row r="2686" spans="16:16" hidden="1" x14ac:dyDescent="0.45">
      <c r="P2686" t="str">
        <f t="shared" si="4"/>
        <v/>
      </c>
    </row>
    <row r="2687" spans="16:16" hidden="1" x14ac:dyDescent="0.45">
      <c r="P2687" t="str">
        <f t="shared" si="4"/>
        <v/>
      </c>
    </row>
    <row r="2688" spans="16:16" hidden="1" x14ac:dyDescent="0.45">
      <c r="P2688" t="str">
        <f t="shared" si="4"/>
        <v/>
      </c>
    </row>
    <row r="2689" spans="16:16" hidden="1" x14ac:dyDescent="0.45">
      <c r="P2689" t="str">
        <f t="shared" si="4"/>
        <v/>
      </c>
    </row>
    <row r="2690" spans="16:16" hidden="1" x14ac:dyDescent="0.45">
      <c r="P2690" t="str">
        <f t="shared" si="4"/>
        <v/>
      </c>
    </row>
    <row r="2691" spans="16:16" hidden="1" x14ac:dyDescent="0.45">
      <c r="P2691" t="str">
        <f t="shared" si="4"/>
        <v/>
      </c>
    </row>
    <row r="2692" spans="16:16" hidden="1" x14ac:dyDescent="0.45">
      <c r="P2692" t="str">
        <f t="shared" si="4"/>
        <v/>
      </c>
    </row>
    <row r="2693" spans="16:16" hidden="1" x14ac:dyDescent="0.45">
      <c r="P2693" t="str">
        <f t="shared" si="4"/>
        <v/>
      </c>
    </row>
    <row r="2694" spans="16:16" hidden="1" x14ac:dyDescent="0.45">
      <c r="P2694" t="str">
        <f t="shared" si="4"/>
        <v/>
      </c>
    </row>
    <row r="2695" spans="16:16" hidden="1" x14ac:dyDescent="0.45">
      <c r="P2695" t="str">
        <f t="shared" si="4"/>
        <v/>
      </c>
    </row>
    <row r="2696" spans="16:16" hidden="1" x14ac:dyDescent="0.45">
      <c r="P2696" t="str">
        <f t="shared" si="4"/>
        <v/>
      </c>
    </row>
    <row r="2697" spans="16:16" hidden="1" x14ac:dyDescent="0.45">
      <c r="P2697" t="str">
        <f t="shared" si="4"/>
        <v/>
      </c>
    </row>
    <row r="2698" spans="16:16" hidden="1" x14ac:dyDescent="0.45">
      <c r="P2698" t="str">
        <f t="shared" ref="P2698:P2761" si="5">IF(ISBLANK(O2698),IF(ISNUMBER(SEARCH("H",A2698)),IF(E2698&lt;8000,"E",IF(E2698&lt;19000,"P","F")),IF(ISNUMBER(SEARCH("I",A2698)),IF(E2698&lt;7000,"E",IF(E2698&lt;19000,"P","F")),"")),"")</f>
        <v/>
      </c>
    </row>
    <row r="2699" spans="16:16" hidden="1" x14ac:dyDescent="0.45">
      <c r="P2699" t="str">
        <f t="shared" si="5"/>
        <v/>
      </c>
    </row>
    <row r="2700" spans="16:16" hidden="1" x14ac:dyDescent="0.45">
      <c r="P2700" t="str">
        <f t="shared" si="5"/>
        <v/>
      </c>
    </row>
    <row r="2701" spans="16:16" hidden="1" x14ac:dyDescent="0.45">
      <c r="P2701" t="str">
        <f t="shared" si="5"/>
        <v/>
      </c>
    </row>
    <row r="2702" spans="16:16" hidden="1" x14ac:dyDescent="0.45">
      <c r="P2702" t="str">
        <f t="shared" si="5"/>
        <v/>
      </c>
    </row>
    <row r="2703" spans="16:16" hidden="1" x14ac:dyDescent="0.45">
      <c r="P2703" t="str">
        <f t="shared" si="5"/>
        <v/>
      </c>
    </row>
    <row r="2704" spans="16:16" hidden="1" x14ac:dyDescent="0.45">
      <c r="P2704" t="str">
        <f t="shared" si="5"/>
        <v/>
      </c>
    </row>
    <row r="2705" spans="16:16" hidden="1" x14ac:dyDescent="0.45">
      <c r="P2705" t="str">
        <f t="shared" si="5"/>
        <v/>
      </c>
    </row>
    <row r="2706" spans="16:16" hidden="1" x14ac:dyDescent="0.45">
      <c r="P2706" t="str">
        <f t="shared" si="5"/>
        <v/>
      </c>
    </row>
    <row r="2707" spans="16:16" hidden="1" x14ac:dyDescent="0.45">
      <c r="P2707" t="str">
        <f t="shared" si="5"/>
        <v/>
      </c>
    </row>
    <row r="2708" spans="16:16" hidden="1" x14ac:dyDescent="0.45">
      <c r="P2708" t="str">
        <f t="shared" si="5"/>
        <v/>
      </c>
    </row>
    <row r="2709" spans="16:16" hidden="1" x14ac:dyDescent="0.45">
      <c r="P2709" t="str">
        <f t="shared" si="5"/>
        <v/>
      </c>
    </row>
    <row r="2710" spans="16:16" hidden="1" x14ac:dyDescent="0.45">
      <c r="P2710" t="str">
        <f t="shared" si="5"/>
        <v/>
      </c>
    </row>
    <row r="2711" spans="16:16" hidden="1" x14ac:dyDescent="0.45">
      <c r="P2711" t="str">
        <f t="shared" si="5"/>
        <v/>
      </c>
    </row>
    <row r="2712" spans="16:16" hidden="1" x14ac:dyDescent="0.45">
      <c r="P2712" t="str">
        <f t="shared" si="5"/>
        <v/>
      </c>
    </row>
    <row r="2713" spans="16:16" hidden="1" x14ac:dyDescent="0.45">
      <c r="P2713" t="str">
        <f t="shared" si="5"/>
        <v/>
      </c>
    </row>
    <row r="2714" spans="16:16" hidden="1" x14ac:dyDescent="0.45">
      <c r="P2714" t="str">
        <f t="shared" si="5"/>
        <v/>
      </c>
    </row>
    <row r="2715" spans="16:16" hidden="1" x14ac:dyDescent="0.45">
      <c r="P2715" t="str">
        <f t="shared" si="5"/>
        <v/>
      </c>
    </row>
    <row r="2716" spans="16:16" hidden="1" x14ac:dyDescent="0.45">
      <c r="P2716" t="str">
        <f t="shared" si="5"/>
        <v/>
      </c>
    </row>
    <row r="2717" spans="16:16" hidden="1" x14ac:dyDescent="0.45">
      <c r="P2717" t="str">
        <f t="shared" si="5"/>
        <v/>
      </c>
    </row>
    <row r="2718" spans="16:16" hidden="1" x14ac:dyDescent="0.45">
      <c r="P2718" t="str">
        <f t="shared" si="5"/>
        <v/>
      </c>
    </row>
    <row r="2719" spans="16:16" hidden="1" x14ac:dyDescent="0.45">
      <c r="P2719" t="str">
        <f t="shared" si="5"/>
        <v/>
      </c>
    </row>
    <row r="2720" spans="16:16" hidden="1" x14ac:dyDescent="0.45">
      <c r="P2720" t="str">
        <f t="shared" si="5"/>
        <v/>
      </c>
    </row>
    <row r="2721" spans="16:16" hidden="1" x14ac:dyDescent="0.45">
      <c r="P2721" t="str">
        <f t="shared" si="5"/>
        <v/>
      </c>
    </row>
    <row r="2722" spans="16:16" hidden="1" x14ac:dyDescent="0.45">
      <c r="P2722" t="str">
        <f t="shared" si="5"/>
        <v/>
      </c>
    </row>
    <row r="2723" spans="16:16" hidden="1" x14ac:dyDescent="0.45">
      <c r="P2723" t="str">
        <f t="shared" si="5"/>
        <v/>
      </c>
    </row>
    <row r="2724" spans="16:16" hidden="1" x14ac:dyDescent="0.45">
      <c r="P2724" t="str">
        <f t="shared" si="5"/>
        <v/>
      </c>
    </row>
    <row r="2725" spans="16:16" hidden="1" x14ac:dyDescent="0.45">
      <c r="P2725" t="str">
        <f t="shared" si="5"/>
        <v/>
      </c>
    </row>
    <row r="2726" spans="16:16" hidden="1" x14ac:dyDescent="0.45">
      <c r="P2726" t="str">
        <f t="shared" si="5"/>
        <v/>
      </c>
    </row>
    <row r="2727" spans="16:16" hidden="1" x14ac:dyDescent="0.45">
      <c r="P2727" t="str">
        <f t="shared" si="5"/>
        <v/>
      </c>
    </row>
    <row r="2728" spans="16:16" hidden="1" x14ac:dyDescent="0.45">
      <c r="P2728" t="str">
        <f t="shared" si="5"/>
        <v/>
      </c>
    </row>
    <row r="2729" spans="16:16" hidden="1" x14ac:dyDescent="0.45">
      <c r="P2729" t="str">
        <f t="shared" si="5"/>
        <v/>
      </c>
    </row>
    <row r="2730" spans="16:16" hidden="1" x14ac:dyDescent="0.45">
      <c r="P2730" t="str">
        <f t="shared" si="5"/>
        <v/>
      </c>
    </row>
    <row r="2731" spans="16:16" hidden="1" x14ac:dyDescent="0.45">
      <c r="P2731" t="str">
        <f t="shared" si="5"/>
        <v/>
      </c>
    </row>
    <row r="2732" spans="16:16" hidden="1" x14ac:dyDescent="0.45">
      <c r="P2732" t="str">
        <f t="shared" si="5"/>
        <v/>
      </c>
    </row>
    <row r="2733" spans="16:16" hidden="1" x14ac:dyDescent="0.45">
      <c r="P2733" t="str">
        <f t="shared" si="5"/>
        <v/>
      </c>
    </row>
    <row r="2734" spans="16:16" hidden="1" x14ac:dyDescent="0.45">
      <c r="P2734" t="str">
        <f t="shared" si="5"/>
        <v/>
      </c>
    </row>
    <row r="2735" spans="16:16" hidden="1" x14ac:dyDescent="0.45">
      <c r="P2735" t="str">
        <f t="shared" si="5"/>
        <v/>
      </c>
    </row>
    <row r="2736" spans="16:16" hidden="1" x14ac:dyDescent="0.45">
      <c r="P2736" t="str">
        <f t="shared" si="5"/>
        <v/>
      </c>
    </row>
    <row r="2737" spans="16:16" hidden="1" x14ac:dyDescent="0.45">
      <c r="P2737" t="str">
        <f t="shared" si="5"/>
        <v/>
      </c>
    </row>
    <row r="2738" spans="16:16" hidden="1" x14ac:dyDescent="0.45">
      <c r="P2738" t="str">
        <f t="shared" si="5"/>
        <v/>
      </c>
    </row>
    <row r="2739" spans="16:16" hidden="1" x14ac:dyDescent="0.45">
      <c r="P2739" t="str">
        <f t="shared" si="5"/>
        <v/>
      </c>
    </row>
    <row r="2740" spans="16:16" hidden="1" x14ac:dyDescent="0.45">
      <c r="P2740" t="str">
        <f t="shared" si="5"/>
        <v/>
      </c>
    </row>
    <row r="2741" spans="16:16" hidden="1" x14ac:dyDescent="0.45">
      <c r="P2741" t="str">
        <f t="shared" si="5"/>
        <v/>
      </c>
    </row>
    <row r="2742" spans="16:16" hidden="1" x14ac:dyDescent="0.45">
      <c r="P2742" t="str">
        <f t="shared" si="5"/>
        <v/>
      </c>
    </row>
    <row r="2743" spans="16:16" hidden="1" x14ac:dyDescent="0.45">
      <c r="P2743" t="str">
        <f t="shared" si="5"/>
        <v/>
      </c>
    </row>
    <row r="2744" spans="16:16" hidden="1" x14ac:dyDescent="0.45">
      <c r="P2744" t="str">
        <f t="shared" si="5"/>
        <v/>
      </c>
    </row>
    <row r="2745" spans="16:16" hidden="1" x14ac:dyDescent="0.45">
      <c r="P2745" t="str">
        <f t="shared" si="5"/>
        <v/>
      </c>
    </row>
    <row r="2746" spans="16:16" hidden="1" x14ac:dyDescent="0.45">
      <c r="P2746" t="str">
        <f t="shared" si="5"/>
        <v/>
      </c>
    </row>
    <row r="2747" spans="16:16" hidden="1" x14ac:dyDescent="0.45">
      <c r="P2747" t="str">
        <f t="shared" si="5"/>
        <v/>
      </c>
    </row>
    <row r="2748" spans="16:16" hidden="1" x14ac:dyDescent="0.45">
      <c r="P2748" t="str">
        <f t="shared" si="5"/>
        <v/>
      </c>
    </row>
    <row r="2749" spans="16:16" hidden="1" x14ac:dyDescent="0.45">
      <c r="P2749" t="str">
        <f t="shared" si="5"/>
        <v/>
      </c>
    </row>
    <row r="2750" spans="16:16" hidden="1" x14ac:dyDescent="0.45">
      <c r="P2750" t="str">
        <f t="shared" si="5"/>
        <v/>
      </c>
    </row>
    <row r="2751" spans="16:16" hidden="1" x14ac:dyDescent="0.45">
      <c r="P2751" t="str">
        <f t="shared" si="5"/>
        <v/>
      </c>
    </row>
    <row r="2752" spans="16:16" hidden="1" x14ac:dyDescent="0.45">
      <c r="P2752" t="str">
        <f t="shared" si="5"/>
        <v/>
      </c>
    </row>
    <row r="2753" spans="16:16" hidden="1" x14ac:dyDescent="0.45">
      <c r="P2753" t="str">
        <f t="shared" si="5"/>
        <v/>
      </c>
    </row>
    <row r="2754" spans="16:16" hidden="1" x14ac:dyDescent="0.45">
      <c r="P2754" t="str">
        <f t="shared" si="5"/>
        <v/>
      </c>
    </row>
    <row r="2755" spans="16:16" hidden="1" x14ac:dyDescent="0.45">
      <c r="P2755" t="str">
        <f t="shared" si="5"/>
        <v/>
      </c>
    </row>
    <row r="2756" spans="16:16" hidden="1" x14ac:dyDescent="0.45">
      <c r="P2756" t="str">
        <f t="shared" si="5"/>
        <v/>
      </c>
    </row>
    <row r="2757" spans="16:16" hidden="1" x14ac:dyDescent="0.45">
      <c r="P2757" t="str">
        <f t="shared" si="5"/>
        <v/>
      </c>
    </row>
    <row r="2758" spans="16:16" hidden="1" x14ac:dyDescent="0.45">
      <c r="P2758" t="str">
        <f t="shared" si="5"/>
        <v/>
      </c>
    </row>
    <row r="2759" spans="16:16" hidden="1" x14ac:dyDescent="0.45">
      <c r="P2759" t="str">
        <f t="shared" si="5"/>
        <v/>
      </c>
    </row>
    <row r="2760" spans="16:16" hidden="1" x14ac:dyDescent="0.45">
      <c r="P2760" t="str">
        <f t="shared" si="5"/>
        <v/>
      </c>
    </row>
    <row r="2761" spans="16:16" hidden="1" x14ac:dyDescent="0.45">
      <c r="P2761" t="str">
        <f t="shared" si="5"/>
        <v/>
      </c>
    </row>
    <row r="2762" spans="16:16" hidden="1" x14ac:dyDescent="0.45">
      <c r="P2762" t="str">
        <f t="shared" ref="P2762:P2825" si="6">IF(ISBLANK(O2762),IF(ISNUMBER(SEARCH("H",A2762)),IF(E2762&lt;8000,"E",IF(E2762&lt;19000,"P","F")),IF(ISNUMBER(SEARCH("I",A2762)),IF(E2762&lt;7000,"E",IF(E2762&lt;19000,"P","F")),"")),"")</f>
        <v/>
      </c>
    </row>
    <row r="2763" spans="16:16" hidden="1" x14ac:dyDescent="0.45">
      <c r="P2763" t="str">
        <f t="shared" si="6"/>
        <v/>
      </c>
    </row>
    <row r="2764" spans="16:16" hidden="1" x14ac:dyDescent="0.45">
      <c r="P2764" t="str">
        <f t="shared" si="6"/>
        <v/>
      </c>
    </row>
    <row r="2765" spans="16:16" hidden="1" x14ac:dyDescent="0.45">
      <c r="P2765" t="str">
        <f t="shared" si="6"/>
        <v/>
      </c>
    </row>
    <row r="2766" spans="16:16" hidden="1" x14ac:dyDescent="0.45">
      <c r="P2766" t="str">
        <f t="shared" si="6"/>
        <v/>
      </c>
    </row>
    <row r="2767" spans="16:16" hidden="1" x14ac:dyDescent="0.45">
      <c r="P2767" t="str">
        <f t="shared" si="6"/>
        <v/>
      </c>
    </row>
    <row r="2768" spans="16:16" hidden="1" x14ac:dyDescent="0.45">
      <c r="P2768" t="str">
        <f t="shared" si="6"/>
        <v/>
      </c>
    </row>
    <row r="2769" spans="16:16" hidden="1" x14ac:dyDescent="0.45">
      <c r="P2769" t="str">
        <f t="shared" si="6"/>
        <v/>
      </c>
    </row>
    <row r="2770" spans="16:16" hidden="1" x14ac:dyDescent="0.45">
      <c r="P2770" t="str">
        <f t="shared" si="6"/>
        <v/>
      </c>
    </row>
    <row r="2771" spans="16:16" hidden="1" x14ac:dyDescent="0.45">
      <c r="P2771" t="str">
        <f t="shared" si="6"/>
        <v/>
      </c>
    </row>
    <row r="2772" spans="16:16" hidden="1" x14ac:dyDescent="0.45">
      <c r="P2772" t="str">
        <f t="shared" si="6"/>
        <v/>
      </c>
    </row>
    <row r="2773" spans="16:16" hidden="1" x14ac:dyDescent="0.45">
      <c r="P2773" t="str">
        <f t="shared" si="6"/>
        <v/>
      </c>
    </row>
    <row r="2774" spans="16:16" hidden="1" x14ac:dyDescent="0.45">
      <c r="P2774" t="str">
        <f t="shared" si="6"/>
        <v/>
      </c>
    </row>
    <row r="2775" spans="16:16" hidden="1" x14ac:dyDescent="0.45">
      <c r="P2775" t="str">
        <f t="shared" si="6"/>
        <v/>
      </c>
    </row>
    <row r="2776" spans="16:16" hidden="1" x14ac:dyDescent="0.45">
      <c r="P2776" t="str">
        <f t="shared" si="6"/>
        <v/>
      </c>
    </row>
    <row r="2777" spans="16:16" hidden="1" x14ac:dyDescent="0.45">
      <c r="P2777" t="str">
        <f t="shared" si="6"/>
        <v/>
      </c>
    </row>
    <row r="2778" spans="16:16" hidden="1" x14ac:dyDescent="0.45">
      <c r="P2778" t="str">
        <f t="shared" si="6"/>
        <v/>
      </c>
    </row>
    <row r="2779" spans="16:16" hidden="1" x14ac:dyDescent="0.45">
      <c r="P2779" t="str">
        <f t="shared" si="6"/>
        <v/>
      </c>
    </row>
    <row r="2780" spans="16:16" hidden="1" x14ac:dyDescent="0.45">
      <c r="P2780" t="str">
        <f t="shared" si="6"/>
        <v/>
      </c>
    </row>
    <row r="2781" spans="16:16" hidden="1" x14ac:dyDescent="0.45">
      <c r="P2781" t="str">
        <f t="shared" si="6"/>
        <v/>
      </c>
    </row>
    <row r="2782" spans="16:16" hidden="1" x14ac:dyDescent="0.45">
      <c r="P2782" t="str">
        <f t="shared" si="6"/>
        <v/>
      </c>
    </row>
    <row r="2783" spans="16:16" hidden="1" x14ac:dyDescent="0.45">
      <c r="P2783" t="str">
        <f t="shared" si="6"/>
        <v/>
      </c>
    </row>
    <row r="2784" spans="16:16" hidden="1" x14ac:dyDescent="0.45">
      <c r="P2784" t="str">
        <f t="shared" si="6"/>
        <v/>
      </c>
    </row>
    <row r="2785" spans="16:16" hidden="1" x14ac:dyDescent="0.45">
      <c r="P2785" t="str">
        <f t="shared" si="6"/>
        <v/>
      </c>
    </row>
    <row r="2786" spans="16:16" hidden="1" x14ac:dyDescent="0.45">
      <c r="P2786" t="str">
        <f t="shared" si="6"/>
        <v/>
      </c>
    </row>
    <row r="2787" spans="16:16" hidden="1" x14ac:dyDescent="0.45">
      <c r="P2787" t="str">
        <f t="shared" si="6"/>
        <v/>
      </c>
    </row>
    <row r="2788" spans="16:16" hidden="1" x14ac:dyDescent="0.45">
      <c r="P2788" t="str">
        <f t="shared" si="6"/>
        <v/>
      </c>
    </row>
    <row r="2789" spans="16:16" hidden="1" x14ac:dyDescent="0.45">
      <c r="P2789" t="str">
        <f t="shared" si="6"/>
        <v/>
      </c>
    </row>
    <row r="2790" spans="16:16" hidden="1" x14ac:dyDescent="0.45">
      <c r="P2790" t="str">
        <f t="shared" si="6"/>
        <v/>
      </c>
    </row>
    <row r="2791" spans="16:16" hidden="1" x14ac:dyDescent="0.45">
      <c r="P2791" t="str">
        <f t="shared" si="6"/>
        <v/>
      </c>
    </row>
    <row r="2792" spans="16:16" hidden="1" x14ac:dyDescent="0.45">
      <c r="P2792" t="str">
        <f t="shared" si="6"/>
        <v/>
      </c>
    </row>
    <row r="2793" spans="16:16" hidden="1" x14ac:dyDescent="0.45">
      <c r="P2793" t="str">
        <f t="shared" si="6"/>
        <v/>
      </c>
    </row>
    <row r="2794" spans="16:16" hidden="1" x14ac:dyDescent="0.45">
      <c r="P2794" t="str">
        <f t="shared" si="6"/>
        <v/>
      </c>
    </row>
    <row r="2795" spans="16:16" hidden="1" x14ac:dyDescent="0.45">
      <c r="P2795" t="str">
        <f t="shared" si="6"/>
        <v/>
      </c>
    </row>
    <row r="2796" spans="16:16" hidden="1" x14ac:dyDescent="0.45">
      <c r="P2796" t="str">
        <f t="shared" si="6"/>
        <v/>
      </c>
    </row>
    <row r="2797" spans="16:16" hidden="1" x14ac:dyDescent="0.45">
      <c r="P2797" t="str">
        <f t="shared" si="6"/>
        <v/>
      </c>
    </row>
    <row r="2798" spans="16:16" hidden="1" x14ac:dyDescent="0.45">
      <c r="P2798" t="str">
        <f t="shared" si="6"/>
        <v/>
      </c>
    </row>
    <row r="2799" spans="16:16" hidden="1" x14ac:dyDescent="0.45">
      <c r="P2799" t="str">
        <f t="shared" si="6"/>
        <v/>
      </c>
    </row>
    <row r="2800" spans="16:16" hidden="1" x14ac:dyDescent="0.45">
      <c r="P2800" t="str">
        <f t="shared" si="6"/>
        <v/>
      </c>
    </row>
    <row r="2801" spans="16:16" hidden="1" x14ac:dyDescent="0.45">
      <c r="P2801" t="str">
        <f t="shared" si="6"/>
        <v/>
      </c>
    </row>
    <row r="2802" spans="16:16" hidden="1" x14ac:dyDescent="0.45">
      <c r="P2802" t="str">
        <f t="shared" si="6"/>
        <v/>
      </c>
    </row>
    <row r="2803" spans="16:16" hidden="1" x14ac:dyDescent="0.45">
      <c r="P2803" t="str">
        <f t="shared" si="6"/>
        <v/>
      </c>
    </row>
    <row r="2804" spans="16:16" hidden="1" x14ac:dyDescent="0.45">
      <c r="P2804" t="str">
        <f t="shared" si="6"/>
        <v/>
      </c>
    </row>
    <row r="2805" spans="16:16" hidden="1" x14ac:dyDescent="0.45">
      <c r="P2805" t="str">
        <f t="shared" si="6"/>
        <v/>
      </c>
    </row>
    <row r="2806" spans="16:16" hidden="1" x14ac:dyDescent="0.45">
      <c r="P2806" t="str">
        <f t="shared" si="6"/>
        <v/>
      </c>
    </row>
    <row r="2807" spans="16:16" hidden="1" x14ac:dyDescent="0.45">
      <c r="P2807" t="str">
        <f t="shared" si="6"/>
        <v/>
      </c>
    </row>
    <row r="2808" spans="16:16" hidden="1" x14ac:dyDescent="0.45">
      <c r="P2808" t="str">
        <f t="shared" si="6"/>
        <v/>
      </c>
    </row>
    <row r="2809" spans="16:16" hidden="1" x14ac:dyDescent="0.45">
      <c r="P2809" t="str">
        <f t="shared" si="6"/>
        <v/>
      </c>
    </row>
    <row r="2810" spans="16:16" hidden="1" x14ac:dyDescent="0.45">
      <c r="P2810" t="str">
        <f t="shared" si="6"/>
        <v/>
      </c>
    </row>
    <row r="2811" spans="16:16" hidden="1" x14ac:dyDescent="0.45">
      <c r="P2811" t="str">
        <f t="shared" si="6"/>
        <v/>
      </c>
    </row>
    <row r="2812" spans="16:16" hidden="1" x14ac:dyDescent="0.45">
      <c r="P2812" t="str">
        <f t="shared" si="6"/>
        <v/>
      </c>
    </row>
    <row r="2813" spans="16:16" hidden="1" x14ac:dyDescent="0.45">
      <c r="P2813" t="str">
        <f t="shared" si="6"/>
        <v/>
      </c>
    </row>
    <row r="2814" spans="16:16" hidden="1" x14ac:dyDescent="0.45">
      <c r="P2814" t="str">
        <f t="shared" si="6"/>
        <v/>
      </c>
    </row>
    <row r="2815" spans="16:16" hidden="1" x14ac:dyDescent="0.45">
      <c r="P2815" t="str">
        <f t="shared" si="6"/>
        <v/>
      </c>
    </row>
    <row r="2816" spans="16:16" hidden="1" x14ac:dyDescent="0.45">
      <c r="P2816" t="str">
        <f t="shared" si="6"/>
        <v/>
      </c>
    </row>
    <row r="2817" spans="16:16" hidden="1" x14ac:dyDescent="0.45">
      <c r="P2817" t="str">
        <f t="shared" si="6"/>
        <v/>
      </c>
    </row>
    <row r="2818" spans="16:16" hidden="1" x14ac:dyDescent="0.45">
      <c r="P2818" t="str">
        <f t="shared" si="6"/>
        <v/>
      </c>
    </row>
    <row r="2819" spans="16:16" hidden="1" x14ac:dyDescent="0.45">
      <c r="P2819" t="str">
        <f t="shared" si="6"/>
        <v/>
      </c>
    </row>
    <row r="2820" spans="16:16" hidden="1" x14ac:dyDescent="0.45">
      <c r="P2820" t="str">
        <f t="shared" si="6"/>
        <v/>
      </c>
    </row>
    <row r="2821" spans="16:16" hidden="1" x14ac:dyDescent="0.45">
      <c r="P2821" t="str">
        <f t="shared" si="6"/>
        <v/>
      </c>
    </row>
    <row r="2822" spans="16:16" hidden="1" x14ac:dyDescent="0.45">
      <c r="P2822" t="str">
        <f t="shared" si="6"/>
        <v/>
      </c>
    </row>
    <row r="2823" spans="16:16" hidden="1" x14ac:dyDescent="0.45">
      <c r="P2823" t="str">
        <f t="shared" si="6"/>
        <v/>
      </c>
    </row>
    <row r="2824" spans="16:16" hidden="1" x14ac:dyDescent="0.45">
      <c r="P2824" t="str">
        <f t="shared" si="6"/>
        <v/>
      </c>
    </row>
    <row r="2825" spans="16:16" hidden="1" x14ac:dyDescent="0.45">
      <c r="P2825" t="str">
        <f t="shared" si="6"/>
        <v/>
      </c>
    </row>
    <row r="2826" spans="16:16" hidden="1" x14ac:dyDescent="0.45">
      <c r="P2826" t="str">
        <f t="shared" ref="P2826:P2889" si="7">IF(ISBLANK(O2826),IF(ISNUMBER(SEARCH("H",A2826)),IF(E2826&lt;8000,"E",IF(E2826&lt;19000,"P","F")),IF(ISNUMBER(SEARCH("I",A2826)),IF(E2826&lt;7000,"E",IF(E2826&lt;19000,"P","F")),"")),"")</f>
        <v/>
      </c>
    </row>
    <row r="2827" spans="16:16" hidden="1" x14ac:dyDescent="0.45">
      <c r="P2827" t="str">
        <f t="shared" si="7"/>
        <v/>
      </c>
    </row>
    <row r="2828" spans="16:16" hidden="1" x14ac:dyDescent="0.45">
      <c r="P2828" t="str">
        <f t="shared" si="7"/>
        <v/>
      </c>
    </row>
    <row r="2829" spans="16:16" hidden="1" x14ac:dyDescent="0.45">
      <c r="P2829" t="str">
        <f t="shared" si="7"/>
        <v/>
      </c>
    </row>
    <row r="2830" spans="16:16" hidden="1" x14ac:dyDescent="0.45">
      <c r="P2830" t="str">
        <f t="shared" si="7"/>
        <v/>
      </c>
    </row>
    <row r="2831" spans="16:16" hidden="1" x14ac:dyDescent="0.45">
      <c r="P2831" t="str">
        <f t="shared" si="7"/>
        <v/>
      </c>
    </row>
    <row r="2832" spans="16:16" hidden="1" x14ac:dyDescent="0.45">
      <c r="P2832" t="str">
        <f t="shared" si="7"/>
        <v/>
      </c>
    </row>
    <row r="2833" spans="16:16" hidden="1" x14ac:dyDescent="0.45">
      <c r="P2833" t="str">
        <f t="shared" si="7"/>
        <v/>
      </c>
    </row>
    <row r="2834" spans="16:16" hidden="1" x14ac:dyDescent="0.45">
      <c r="P2834" t="str">
        <f t="shared" si="7"/>
        <v/>
      </c>
    </row>
    <row r="2835" spans="16:16" hidden="1" x14ac:dyDescent="0.45">
      <c r="P2835" t="str">
        <f t="shared" si="7"/>
        <v/>
      </c>
    </row>
    <row r="2836" spans="16:16" hidden="1" x14ac:dyDescent="0.45">
      <c r="P2836" t="str">
        <f t="shared" si="7"/>
        <v/>
      </c>
    </row>
    <row r="2837" spans="16:16" hidden="1" x14ac:dyDescent="0.45">
      <c r="P2837" t="str">
        <f t="shared" si="7"/>
        <v/>
      </c>
    </row>
    <row r="2838" spans="16:16" hidden="1" x14ac:dyDescent="0.45">
      <c r="P2838" t="str">
        <f t="shared" si="7"/>
        <v/>
      </c>
    </row>
    <row r="2839" spans="16:16" hidden="1" x14ac:dyDescent="0.45">
      <c r="P2839" t="str">
        <f t="shared" si="7"/>
        <v/>
      </c>
    </row>
    <row r="2840" spans="16:16" hidden="1" x14ac:dyDescent="0.45">
      <c r="P2840" t="str">
        <f t="shared" si="7"/>
        <v/>
      </c>
    </row>
    <row r="2841" spans="16:16" hidden="1" x14ac:dyDescent="0.45">
      <c r="P2841" t="str">
        <f t="shared" si="7"/>
        <v/>
      </c>
    </row>
    <row r="2842" spans="16:16" hidden="1" x14ac:dyDescent="0.45">
      <c r="P2842" t="str">
        <f t="shared" si="7"/>
        <v/>
      </c>
    </row>
    <row r="2843" spans="16:16" hidden="1" x14ac:dyDescent="0.45">
      <c r="P2843" t="str">
        <f t="shared" si="7"/>
        <v/>
      </c>
    </row>
    <row r="2844" spans="16:16" hidden="1" x14ac:dyDescent="0.45">
      <c r="P2844" t="str">
        <f t="shared" si="7"/>
        <v/>
      </c>
    </row>
    <row r="2845" spans="16:16" hidden="1" x14ac:dyDescent="0.45">
      <c r="P2845" t="str">
        <f t="shared" si="7"/>
        <v/>
      </c>
    </row>
    <row r="2846" spans="16:16" hidden="1" x14ac:dyDescent="0.45">
      <c r="P2846" t="str">
        <f t="shared" si="7"/>
        <v/>
      </c>
    </row>
    <row r="2847" spans="16:16" hidden="1" x14ac:dyDescent="0.45">
      <c r="P2847" t="str">
        <f t="shared" si="7"/>
        <v/>
      </c>
    </row>
    <row r="2848" spans="16:16" hidden="1" x14ac:dyDescent="0.45">
      <c r="P2848" t="str">
        <f t="shared" si="7"/>
        <v/>
      </c>
    </row>
    <row r="2849" spans="16:16" hidden="1" x14ac:dyDescent="0.45">
      <c r="P2849" t="str">
        <f t="shared" si="7"/>
        <v/>
      </c>
    </row>
    <row r="2850" spans="16:16" hidden="1" x14ac:dyDescent="0.45">
      <c r="P2850" t="str">
        <f t="shared" si="7"/>
        <v/>
      </c>
    </row>
    <row r="2851" spans="16:16" hidden="1" x14ac:dyDescent="0.45">
      <c r="P2851" t="str">
        <f t="shared" si="7"/>
        <v/>
      </c>
    </row>
    <row r="2852" spans="16:16" hidden="1" x14ac:dyDescent="0.45">
      <c r="P2852" t="str">
        <f t="shared" si="7"/>
        <v/>
      </c>
    </row>
    <row r="2853" spans="16:16" hidden="1" x14ac:dyDescent="0.45">
      <c r="P2853" t="str">
        <f t="shared" si="7"/>
        <v/>
      </c>
    </row>
    <row r="2854" spans="16:16" hidden="1" x14ac:dyDescent="0.45">
      <c r="P2854" t="str">
        <f t="shared" si="7"/>
        <v/>
      </c>
    </row>
    <row r="2855" spans="16:16" hidden="1" x14ac:dyDescent="0.45">
      <c r="P2855" t="str">
        <f t="shared" si="7"/>
        <v/>
      </c>
    </row>
    <row r="2856" spans="16:16" hidden="1" x14ac:dyDescent="0.45">
      <c r="P2856" t="str">
        <f t="shared" si="7"/>
        <v/>
      </c>
    </row>
    <row r="2857" spans="16:16" hidden="1" x14ac:dyDescent="0.45">
      <c r="P2857" t="str">
        <f t="shared" si="7"/>
        <v/>
      </c>
    </row>
    <row r="2858" spans="16:16" hidden="1" x14ac:dyDescent="0.45">
      <c r="P2858" t="str">
        <f t="shared" si="7"/>
        <v/>
      </c>
    </row>
    <row r="2859" spans="16:16" hidden="1" x14ac:dyDescent="0.45">
      <c r="P2859" t="str">
        <f t="shared" si="7"/>
        <v/>
      </c>
    </row>
    <row r="2860" spans="16:16" hidden="1" x14ac:dyDescent="0.45">
      <c r="P2860" t="str">
        <f t="shared" si="7"/>
        <v/>
      </c>
    </row>
    <row r="2861" spans="16:16" hidden="1" x14ac:dyDescent="0.45">
      <c r="P2861" t="str">
        <f t="shared" si="7"/>
        <v/>
      </c>
    </row>
    <row r="2862" spans="16:16" hidden="1" x14ac:dyDescent="0.45">
      <c r="P2862" t="str">
        <f t="shared" si="7"/>
        <v/>
      </c>
    </row>
    <row r="2863" spans="16:16" hidden="1" x14ac:dyDescent="0.45">
      <c r="P2863" t="str">
        <f t="shared" si="7"/>
        <v/>
      </c>
    </row>
    <row r="2864" spans="16:16" hidden="1" x14ac:dyDescent="0.45">
      <c r="P2864" t="str">
        <f t="shared" si="7"/>
        <v/>
      </c>
    </row>
    <row r="2865" spans="16:16" hidden="1" x14ac:dyDescent="0.45">
      <c r="P2865" t="str">
        <f t="shared" si="7"/>
        <v/>
      </c>
    </row>
    <row r="2866" spans="16:16" hidden="1" x14ac:dyDescent="0.45">
      <c r="P2866" t="str">
        <f t="shared" si="7"/>
        <v/>
      </c>
    </row>
    <row r="2867" spans="16:16" hidden="1" x14ac:dyDescent="0.45">
      <c r="P2867" t="str">
        <f t="shared" si="7"/>
        <v/>
      </c>
    </row>
    <row r="2868" spans="16:16" hidden="1" x14ac:dyDescent="0.45">
      <c r="P2868" t="str">
        <f t="shared" si="7"/>
        <v/>
      </c>
    </row>
    <row r="2869" spans="16:16" hidden="1" x14ac:dyDescent="0.45">
      <c r="P2869" t="str">
        <f t="shared" si="7"/>
        <v/>
      </c>
    </row>
    <row r="2870" spans="16:16" hidden="1" x14ac:dyDescent="0.45">
      <c r="P2870" t="str">
        <f t="shared" si="7"/>
        <v/>
      </c>
    </row>
    <row r="2871" spans="16:16" hidden="1" x14ac:dyDescent="0.45">
      <c r="P2871" t="str">
        <f t="shared" si="7"/>
        <v/>
      </c>
    </row>
    <row r="2872" spans="16:16" hidden="1" x14ac:dyDescent="0.45">
      <c r="P2872" t="str">
        <f t="shared" si="7"/>
        <v/>
      </c>
    </row>
    <row r="2873" spans="16:16" hidden="1" x14ac:dyDescent="0.45">
      <c r="P2873" t="str">
        <f t="shared" si="7"/>
        <v/>
      </c>
    </row>
    <row r="2874" spans="16:16" hidden="1" x14ac:dyDescent="0.45">
      <c r="P2874" t="str">
        <f t="shared" si="7"/>
        <v/>
      </c>
    </row>
    <row r="2875" spans="16:16" hidden="1" x14ac:dyDescent="0.45">
      <c r="P2875" t="str">
        <f t="shared" si="7"/>
        <v/>
      </c>
    </row>
    <row r="2876" spans="16:16" hidden="1" x14ac:dyDescent="0.45">
      <c r="P2876" t="str">
        <f t="shared" si="7"/>
        <v/>
      </c>
    </row>
    <row r="2877" spans="16:16" hidden="1" x14ac:dyDescent="0.45">
      <c r="P2877" t="str">
        <f t="shared" si="7"/>
        <v/>
      </c>
    </row>
    <row r="2878" spans="16:16" hidden="1" x14ac:dyDescent="0.45">
      <c r="P2878" t="str">
        <f t="shared" si="7"/>
        <v/>
      </c>
    </row>
    <row r="2879" spans="16:16" hidden="1" x14ac:dyDescent="0.45">
      <c r="P2879" t="str">
        <f t="shared" si="7"/>
        <v/>
      </c>
    </row>
    <row r="2880" spans="16:16" hidden="1" x14ac:dyDescent="0.45">
      <c r="P2880" t="str">
        <f t="shared" si="7"/>
        <v/>
      </c>
    </row>
    <row r="2881" spans="16:16" hidden="1" x14ac:dyDescent="0.45">
      <c r="P2881" t="str">
        <f t="shared" si="7"/>
        <v/>
      </c>
    </row>
    <row r="2882" spans="16:16" hidden="1" x14ac:dyDescent="0.45">
      <c r="P2882" t="str">
        <f t="shared" si="7"/>
        <v/>
      </c>
    </row>
    <row r="2883" spans="16:16" hidden="1" x14ac:dyDescent="0.45">
      <c r="P2883" t="str">
        <f t="shared" si="7"/>
        <v/>
      </c>
    </row>
    <row r="2884" spans="16:16" hidden="1" x14ac:dyDescent="0.45">
      <c r="P2884" t="str">
        <f t="shared" si="7"/>
        <v/>
      </c>
    </row>
    <row r="2885" spans="16:16" hidden="1" x14ac:dyDescent="0.45">
      <c r="P2885" t="str">
        <f t="shared" si="7"/>
        <v/>
      </c>
    </row>
    <row r="2886" spans="16:16" hidden="1" x14ac:dyDescent="0.45">
      <c r="P2886" t="str">
        <f t="shared" si="7"/>
        <v/>
      </c>
    </row>
    <row r="2887" spans="16:16" hidden="1" x14ac:dyDescent="0.45">
      <c r="P2887" t="str">
        <f t="shared" si="7"/>
        <v/>
      </c>
    </row>
    <row r="2888" spans="16:16" hidden="1" x14ac:dyDescent="0.45">
      <c r="P2888" t="str">
        <f t="shared" si="7"/>
        <v/>
      </c>
    </row>
    <row r="2889" spans="16:16" hidden="1" x14ac:dyDescent="0.45">
      <c r="P2889" t="str">
        <f t="shared" si="7"/>
        <v/>
      </c>
    </row>
    <row r="2890" spans="16:16" hidden="1" x14ac:dyDescent="0.45">
      <c r="P2890" t="str">
        <f t="shared" ref="P2890:P2953" si="8">IF(ISBLANK(O2890),IF(ISNUMBER(SEARCH("H",A2890)),IF(E2890&lt;8000,"E",IF(E2890&lt;19000,"P","F")),IF(ISNUMBER(SEARCH("I",A2890)),IF(E2890&lt;7000,"E",IF(E2890&lt;19000,"P","F")),"")),"")</f>
        <v/>
      </c>
    </row>
    <row r="2891" spans="16:16" hidden="1" x14ac:dyDescent="0.45">
      <c r="P2891" t="str">
        <f t="shared" si="8"/>
        <v/>
      </c>
    </row>
    <row r="2892" spans="16:16" hidden="1" x14ac:dyDescent="0.45">
      <c r="P2892" t="str">
        <f t="shared" si="8"/>
        <v/>
      </c>
    </row>
    <row r="2893" spans="16:16" hidden="1" x14ac:dyDescent="0.45">
      <c r="P2893" t="str">
        <f t="shared" si="8"/>
        <v/>
      </c>
    </row>
    <row r="2894" spans="16:16" hidden="1" x14ac:dyDescent="0.45">
      <c r="P2894" t="str">
        <f t="shared" si="8"/>
        <v/>
      </c>
    </row>
    <row r="2895" spans="16:16" hidden="1" x14ac:dyDescent="0.45">
      <c r="P2895" t="str">
        <f t="shared" si="8"/>
        <v/>
      </c>
    </row>
    <row r="2896" spans="16:16" hidden="1" x14ac:dyDescent="0.45">
      <c r="P2896" t="str">
        <f t="shared" si="8"/>
        <v/>
      </c>
    </row>
    <row r="2897" spans="16:16" hidden="1" x14ac:dyDescent="0.45">
      <c r="P2897" t="str">
        <f t="shared" si="8"/>
        <v/>
      </c>
    </row>
    <row r="2898" spans="16:16" hidden="1" x14ac:dyDescent="0.45">
      <c r="P2898" t="str">
        <f t="shared" si="8"/>
        <v/>
      </c>
    </row>
    <row r="2899" spans="16:16" hidden="1" x14ac:dyDescent="0.45">
      <c r="P2899" t="str">
        <f t="shared" si="8"/>
        <v/>
      </c>
    </row>
    <row r="2900" spans="16:16" hidden="1" x14ac:dyDescent="0.45">
      <c r="P2900" t="str">
        <f t="shared" si="8"/>
        <v/>
      </c>
    </row>
    <row r="2901" spans="16:16" hidden="1" x14ac:dyDescent="0.45">
      <c r="P2901" t="str">
        <f t="shared" si="8"/>
        <v/>
      </c>
    </row>
    <row r="2902" spans="16:16" hidden="1" x14ac:dyDescent="0.45">
      <c r="P2902" t="str">
        <f t="shared" si="8"/>
        <v/>
      </c>
    </row>
    <row r="2903" spans="16:16" hidden="1" x14ac:dyDescent="0.45">
      <c r="P2903" t="str">
        <f t="shared" si="8"/>
        <v/>
      </c>
    </row>
    <row r="2904" spans="16:16" hidden="1" x14ac:dyDescent="0.45">
      <c r="P2904" t="str">
        <f t="shared" si="8"/>
        <v/>
      </c>
    </row>
    <row r="2905" spans="16:16" hidden="1" x14ac:dyDescent="0.45">
      <c r="P2905" t="str">
        <f t="shared" si="8"/>
        <v/>
      </c>
    </row>
    <row r="2906" spans="16:16" hidden="1" x14ac:dyDescent="0.45">
      <c r="P2906" t="str">
        <f t="shared" si="8"/>
        <v/>
      </c>
    </row>
    <row r="2907" spans="16:16" hidden="1" x14ac:dyDescent="0.45">
      <c r="P2907" t="str">
        <f t="shared" si="8"/>
        <v/>
      </c>
    </row>
    <row r="2908" spans="16:16" hidden="1" x14ac:dyDescent="0.45">
      <c r="P2908" t="str">
        <f t="shared" si="8"/>
        <v/>
      </c>
    </row>
    <row r="2909" spans="16:16" hidden="1" x14ac:dyDescent="0.45">
      <c r="P2909" t="str">
        <f t="shared" si="8"/>
        <v/>
      </c>
    </row>
    <row r="2910" spans="16:16" hidden="1" x14ac:dyDescent="0.45">
      <c r="P2910" t="str">
        <f t="shared" si="8"/>
        <v/>
      </c>
    </row>
    <row r="2911" spans="16:16" hidden="1" x14ac:dyDescent="0.45">
      <c r="P2911" t="str">
        <f t="shared" si="8"/>
        <v/>
      </c>
    </row>
    <row r="2912" spans="16:16" hidden="1" x14ac:dyDescent="0.45">
      <c r="P2912" t="str">
        <f t="shared" si="8"/>
        <v/>
      </c>
    </row>
    <row r="2913" spans="16:16" hidden="1" x14ac:dyDescent="0.45">
      <c r="P2913" t="str">
        <f t="shared" si="8"/>
        <v/>
      </c>
    </row>
    <row r="2914" spans="16:16" hidden="1" x14ac:dyDescent="0.45">
      <c r="P2914" t="str">
        <f t="shared" si="8"/>
        <v/>
      </c>
    </row>
    <row r="2915" spans="16:16" hidden="1" x14ac:dyDescent="0.45">
      <c r="P2915" t="str">
        <f t="shared" si="8"/>
        <v/>
      </c>
    </row>
    <row r="2916" spans="16:16" hidden="1" x14ac:dyDescent="0.45">
      <c r="P2916" t="str">
        <f t="shared" si="8"/>
        <v/>
      </c>
    </row>
    <row r="2917" spans="16:16" hidden="1" x14ac:dyDescent="0.45">
      <c r="P2917" t="str">
        <f t="shared" si="8"/>
        <v/>
      </c>
    </row>
    <row r="2918" spans="16:16" hidden="1" x14ac:dyDescent="0.45">
      <c r="P2918" t="str">
        <f t="shared" si="8"/>
        <v/>
      </c>
    </row>
    <row r="2919" spans="16:16" hidden="1" x14ac:dyDescent="0.45">
      <c r="P2919" t="str">
        <f t="shared" si="8"/>
        <v/>
      </c>
    </row>
    <row r="2920" spans="16:16" hidden="1" x14ac:dyDescent="0.45">
      <c r="P2920" t="str">
        <f t="shared" si="8"/>
        <v/>
      </c>
    </row>
    <row r="2921" spans="16:16" hidden="1" x14ac:dyDescent="0.45">
      <c r="P2921" t="str">
        <f t="shared" si="8"/>
        <v/>
      </c>
    </row>
    <row r="2922" spans="16:16" hidden="1" x14ac:dyDescent="0.45">
      <c r="P2922" t="str">
        <f t="shared" si="8"/>
        <v/>
      </c>
    </row>
    <row r="2923" spans="16:16" hidden="1" x14ac:dyDescent="0.45">
      <c r="P2923" t="str">
        <f t="shared" si="8"/>
        <v/>
      </c>
    </row>
    <row r="2924" spans="16:16" hidden="1" x14ac:dyDescent="0.45">
      <c r="P2924" t="str">
        <f t="shared" si="8"/>
        <v/>
      </c>
    </row>
    <row r="2925" spans="16:16" hidden="1" x14ac:dyDescent="0.45">
      <c r="P2925" t="str">
        <f t="shared" si="8"/>
        <v/>
      </c>
    </row>
    <row r="2926" spans="16:16" hidden="1" x14ac:dyDescent="0.45">
      <c r="P2926" t="str">
        <f t="shared" si="8"/>
        <v/>
      </c>
    </row>
    <row r="2927" spans="16:16" hidden="1" x14ac:dyDescent="0.45">
      <c r="P2927" t="str">
        <f t="shared" si="8"/>
        <v/>
      </c>
    </row>
    <row r="2928" spans="16:16" hidden="1" x14ac:dyDescent="0.45">
      <c r="P2928" t="str">
        <f t="shared" si="8"/>
        <v/>
      </c>
    </row>
    <row r="2929" spans="16:16" hidden="1" x14ac:dyDescent="0.45">
      <c r="P2929" t="str">
        <f t="shared" si="8"/>
        <v/>
      </c>
    </row>
    <row r="2930" spans="16:16" hidden="1" x14ac:dyDescent="0.45">
      <c r="P2930" t="str">
        <f t="shared" si="8"/>
        <v/>
      </c>
    </row>
    <row r="2931" spans="16:16" hidden="1" x14ac:dyDescent="0.45">
      <c r="P2931" t="str">
        <f t="shared" si="8"/>
        <v/>
      </c>
    </row>
    <row r="2932" spans="16:16" hidden="1" x14ac:dyDescent="0.45">
      <c r="P2932" t="str">
        <f t="shared" si="8"/>
        <v/>
      </c>
    </row>
    <row r="2933" spans="16:16" hidden="1" x14ac:dyDescent="0.45">
      <c r="P2933" t="str">
        <f t="shared" si="8"/>
        <v/>
      </c>
    </row>
    <row r="2934" spans="16:16" hidden="1" x14ac:dyDescent="0.45">
      <c r="P2934" t="str">
        <f t="shared" si="8"/>
        <v/>
      </c>
    </row>
    <row r="2935" spans="16:16" hidden="1" x14ac:dyDescent="0.45">
      <c r="P2935" t="str">
        <f t="shared" si="8"/>
        <v/>
      </c>
    </row>
    <row r="2936" spans="16:16" hidden="1" x14ac:dyDescent="0.45">
      <c r="P2936" t="str">
        <f t="shared" si="8"/>
        <v/>
      </c>
    </row>
    <row r="2937" spans="16:16" hidden="1" x14ac:dyDescent="0.45">
      <c r="P2937" t="str">
        <f t="shared" si="8"/>
        <v/>
      </c>
    </row>
    <row r="2938" spans="16:16" hidden="1" x14ac:dyDescent="0.45">
      <c r="P2938" t="str">
        <f t="shared" si="8"/>
        <v/>
      </c>
    </row>
    <row r="2939" spans="16:16" hidden="1" x14ac:dyDescent="0.45">
      <c r="P2939" t="str">
        <f t="shared" si="8"/>
        <v/>
      </c>
    </row>
    <row r="2940" spans="16:16" hidden="1" x14ac:dyDescent="0.45">
      <c r="P2940" t="str">
        <f t="shared" si="8"/>
        <v/>
      </c>
    </row>
    <row r="2941" spans="16:16" hidden="1" x14ac:dyDescent="0.45">
      <c r="P2941" t="str">
        <f t="shared" si="8"/>
        <v/>
      </c>
    </row>
    <row r="2942" spans="16:16" hidden="1" x14ac:dyDescent="0.45">
      <c r="P2942" t="str">
        <f t="shared" si="8"/>
        <v/>
      </c>
    </row>
    <row r="2943" spans="16:16" hidden="1" x14ac:dyDescent="0.45">
      <c r="P2943" t="str">
        <f t="shared" si="8"/>
        <v/>
      </c>
    </row>
    <row r="2944" spans="16:16" hidden="1" x14ac:dyDescent="0.45">
      <c r="P2944" t="str">
        <f t="shared" si="8"/>
        <v/>
      </c>
    </row>
    <row r="2945" spans="16:16" hidden="1" x14ac:dyDescent="0.45">
      <c r="P2945" t="str">
        <f t="shared" si="8"/>
        <v/>
      </c>
    </row>
    <row r="2946" spans="16:16" hidden="1" x14ac:dyDescent="0.45">
      <c r="P2946" t="str">
        <f t="shared" si="8"/>
        <v/>
      </c>
    </row>
    <row r="2947" spans="16:16" hidden="1" x14ac:dyDescent="0.45">
      <c r="P2947" t="str">
        <f t="shared" si="8"/>
        <v/>
      </c>
    </row>
    <row r="2948" spans="16:16" hidden="1" x14ac:dyDescent="0.45">
      <c r="P2948" t="str">
        <f t="shared" si="8"/>
        <v/>
      </c>
    </row>
    <row r="2949" spans="16:16" hidden="1" x14ac:dyDescent="0.45">
      <c r="P2949" t="str">
        <f t="shared" si="8"/>
        <v/>
      </c>
    </row>
    <row r="2950" spans="16:16" hidden="1" x14ac:dyDescent="0.45">
      <c r="P2950" t="str">
        <f t="shared" si="8"/>
        <v/>
      </c>
    </row>
    <row r="2951" spans="16:16" hidden="1" x14ac:dyDescent="0.45">
      <c r="P2951" t="str">
        <f t="shared" si="8"/>
        <v/>
      </c>
    </row>
    <row r="2952" spans="16:16" hidden="1" x14ac:dyDescent="0.45">
      <c r="P2952" t="str">
        <f t="shared" si="8"/>
        <v/>
      </c>
    </row>
    <row r="2953" spans="16:16" hidden="1" x14ac:dyDescent="0.45">
      <c r="P2953" t="str">
        <f t="shared" si="8"/>
        <v/>
      </c>
    </row>
    <row r="2954" spans="16:16" hidden="1" x14ac:dyDescent="0.45">
      <c r="P2954" t="str">
        <f t="shared" ref="P2954:P3017" si="9">IF(ISBLANK(O2954),IF(ISNUMBER(SEARCH("H",A2954)),IF(E2954&lt;8000,"E",IF(E2954&lt;19000,"P","F")),IF(ISNUMBER(SEARCH("I",A2954)),IF(E2954&lt;7000,"E",IF(E2954&lt;19000,"P","F")),"")),"")</f>
        <v/>
      </c>
    </row>
    <row r="2955" spans="16:16" hidden="1" x14ac:dyDescent="0.45">
      <c r="P2955" t="str">
        <f t="shared" si="9"/>
        <v/>
      </c>
    </row>
    <row r="2956" spans="16:16" hidden="1" x14ac:dyDescent="0.45">
      <c r="P2956" t="str">
        <f t="shared" si="9"/>
        <v/>
      </c>
    </row>
    <row r="2957" spans="16:16" hidden="1" x14ac:dyDescent="0.45">
      <c r="P2957" t="str">
        <f t="shared" si="9"/>
        <v/>
      </c>
    </row>
    <row r="2958" spans="16:16" hidden="1" x14ac:dyDescent="0.45">
      <c r="P2958" t="str">
        <f t="shared" si="9"/>
        <v/>
      </c>
    </row>
    <row r="2959" spans="16:16" hidden="1" x14ac:dyDescent="0.45">
      <c r="P2959" t="str">
        <f t="shared" si="9"/>
        <v/>
      </c>
    </row>
    <row r="2960" spans="16:16" hidden="1" x14ac:dyDescent="0.45">
      <c r="P2960" t="str">
        <f t="shared" si="9"/>
        <v/>
      </c>
    </row>
    <row r="2961" spans="16:16" hidden="1" x14ac:dyDescent="0.45">
      <c r="P2961" t="str">
        <f t="shared" si="9"/>
        <v/>
      </c>
    </row>
    <row r="2962" spans="16:16" hidden="1" x14ac:dyDescent="0.45">
      <c r="P2962" t="str">
        <f t="shared" si="9"/>
        <v/>
      </c>
    </row>
    <row r="2963" spans="16:16" hidden="1" x14ac:dyDescent="0.45">
      <c r="P2963" t="str">
        <f t="shared" si="9"/>
        <v/>
      </c>
    </row>
    <row r="2964" spans="16:16" hidden="1" x14ac:dyDescent="0.45">
      <c r="P2964" t="str">
        <f t="shared" si="9"/>
        <v/>
      </c>
    </row>
    <row r="2965" spans="16:16" hidden="1" x14ac:dyDescent="0.45">
      <c r="P2965" t="str">
        <f t="shared" si="9"/>
        <v/>
      </c>
    </row>
    <row r="2966" spans="16:16" hidden="1" x14ac:dyDescent="0.45">
      <c r="P2966" t="str">
        <f t="shared" si="9"/>
        <v/>
      </c>
    </row>
    <row r="2967" spans="16:16" hidden="1" x14ac:dyDescent="0.45">
      <c r="P2967" t="str">
        <f t="shared" si="9"/>
        <v/>
      </c>
    </row>
    <row r="2968" spans="16:16" hidden="1" x14ac:dyDescent="0.45">
      <c r="P2968" t="str">
        <f t="shared" si="9"/>
        <v/>
      </c>
    </row>
    <row r="2969" spans="16:16" hidden="1" x14ac:dyDescent="0.45">
      <c r="P2969" t="str">
        <f t="shared" si="9"/>
        <v/>
      </c>
    </row>
    <row r="2970" spans="16:16" hidden="1" x14ac:dyDescent="0.45">
      <c r="P2970" t="str">
        <f t="shared" si="9"/>
        <v/>
      </c>
    </row>
    <row r="2971" spans="16:16" hidden="1" x14ac:dyDescent="0.45">
      <c r="P2971" t="str">
        <f t="shared" si="9"/>
        <v/>
      </c>
    </row>
    <row r="2972" spans="16:16" hidden="1" x14ac:dyDescent="0.45">
      <c r="P2972" t="str">
        <f t="shared" si="9"/>
        <v/>
      </c>
    </row>
    <row r="2973" spans="16:16" hidden="1" x14ac:dyDescent="0.45">
      <c r="P2973" t="str">
        <f t="shared" si="9"/>
        <v/>
      </c>
    </row>
    <row r="2974" spans="16:16" hidden="1" x14ac:dyDescent="0.45">
      <c r="P2974" t="str">
        <f t="shared" si="9"/>
        <v/>
      </c>
    </row>
    <row r="2975" spans="16:16" hidden="1" x14ac:dyDescent="0.45">
      <c r="P2975" t="str">
        <f t="shared" si="9"/>
        <v/>
      </c>
    </row>
    <row r="2976" spans="16:16" hidden="1" x14ac:dyDescent="0.45">
      <c r="P2976" t="str">
        <f t="shared" si="9"/>
        <v/>
      </c>
    </row>
    <row r="2977" spans="16:16" hidden="1" x14ac:dyDescent="0.45">
      <c r="P2977" t="str">
        <f t="shared" si="9"/>
        <v/>
      </c>
    </row>
    <row r="2978" spans="16:16" hidden="1" x14ac:dyDescent="0.45">
      <c r="P2978" t="str">
        <f t="shared" si="9"/>
        <v/>
      </c>
    </row>
    <row r="2979" spans="16:16" hidden="1" x14ac:dyDescent="0.45">
      <c r="P2979" t="str">
        <f t="shared" si="9"/>
        <v/>
      </c>
    </row>
    <row r="2980" spans="16:16" hidden="1" x14ac:dyDescent="0.45">
      <c r="P2980" t="str">
        <f t="shared" si="9"/>
        <v/>
      </c>
    </row>
    <row r="2981" spans="16:16" hidden="1" x14ac:dyDescent="0.45">
      <c r="P2981" t="str">
        <f t="shared" si="9"/>
        <v/>
      </c>
    </row>
    <row r="2982" spans="16:16" hidden="1" x14ac:dyDescent="0.45">
      <c r="P2982" t="str">
        <f t="shared" si="9"/>
        <v/>
      </c>
    </row>
    <row r="2983" spans="16:16" hidden="1" x14ac:dyDescent="0.45">
      <c r="P2983" t="str">
        <f t="shared" si="9"/>
        <v/>
      </c>
    </row>
    <row r="2984" spans="16:16" hidden="1" x14ac:dyDescent="0.45">
      <c r="P2984" t="str">
        <f t="shared" si="9"/>
        <v/>
      </c>
    </row>
    <row r="2985" spans="16:16" hidden="1" x14ac:dyDescent="0.45">
      <c r="P2985" t="str">
        <f t="shared" si="9"/>
        <v/>
      </c>
    </row>
    <row r="2986" spans="16:16" hidden="1" x14ac:dyDescent="0.45">
      <c r="P2986" t="str">
        <f t="shared" si="9"/>
        <v/>
      </c>
    </row>
    <row r="2987" spans="16:16" hidden="1" x14ac:dyDescent="0.45">
      <c r="P2987" t="str">
        <f t="shared" si="9"/>
        <v/>
      </c>
    </row>
    <row r="2988" spans="16:16" hidden="1" x14ac:dyDescent="0.45">
      <c r="P2988" t="str">
        <f t="shared" si="9"/>
        <v/>
      </c>
    </row>
    <row r="2989" spans="16:16" hidden="1" x14ac:dyDescent="0.45">
      <c r="P2989" t="str">
        <f t="shared" si="9"/>
        <v/>
      </c>
    </row>
    <row r="2990" spans="16:16" hidden="1" x14ac:dyDescent="0.45">
      <c r="P2990" t="str">
        <f t="shared" si="9"/>
        <v/>
      </c>
    </row>
    <row r="2991" spans="16:16" hidden="1" x14ac:dyDescent="0.45">
      <c r="P2991" t="str">
        <f t="shared" si="9"/>
        <v/>
      </c>
    </row>
    <row r="2992" spans="16:16" hidden="1" x14ac:dyDescent="0.45">
      <c r="P2992" t="str">
        <f t="shared" si="9"/>
        <v/>
      </c>
    </row>
    <row r="2993" spans="16:16" hidden="1" x14ac:dyDescent="0.45">
      <c r="P2993" t="str">
        <f t="shared" si="9"/>
        <v/>
      </c>
    </row>
    <row r="2994" spans="16:16" hidden="1" x14ac:dyDescent="0.45">
      <c r="P2994" t="str">
        <f t="shared" si="9"/>
        <v/>
      </c>
    </row>
    <row r="2995" spans="16:16" hidden="1" x14ac:dyDescent="0.45">
      <c r="P2995" t="str">
        <f t="shared" si="9"/>
        <v/>
      </c>
    </row>
    <row r="2996" spans="16:16" hidden="1" x14ac:dyDescent="0.45">
      <c r="P2996" t="str">
        <f t="shared" si="9"/>
        <v/>
      </c>
    </row>
    <row r="2997" spans="16:16" hidden="1" x14ac:dyDescent="0.45">
      <c r="P2997" t="str">
        <f t="shared" si="9"/>
        <v/>
      </c>
    </row>
    <row r="2998" spans="16:16" hidden="1" x14ac:dyDescent="0.45">
      <c r="P2998" t="str">
        <f t="shared" si="9"/>
        <v/>
      </c>
    </row>
    <row r="2999" spans="16:16" hidden="1" x14ac:dyDescent="0.45">
      <c r="P2999" t="str">
        <f t="shared" si="9"/>
        <v/>
      </c>
    </row>
    <row r="3000" spans="16:16" hidden="1" x14ac:dyDescent="0.45">
      <c r="P3000" t="str">
        <f t="shared" si="9"/>
        <v/>
      </c>
    </row>
    <row r="3001" spans="16:16" hidden="1" x14ac:dyDescent="0.45">
      <c r="P3001" t="str">
        <f t="shared" si="9"/>
        <v/>
      </c>
    </row>
    <row r="3002" spans="16:16" hidden="1" x14ac:dyDescent="0.45">
      <c r="P3002" t="str">
        <f t="shared" si="9"/>
        <v/>
      </c>
    </row>
    <row r="3003" spans="16:16" hidden="1" x14ac:dyDescent="0.45">
      <c r="P3003" t="str">
        <f t="shared" si="9"/>
        <v/>
      </c>
    </row>
    <row r="3004" spans="16:16" hidden="1" x14ac:dyDescent="0.45">
      <c r="P3004" t="str">
        <f t="shared" si="9"/>
        <v/>
      </c>
    </row>
    <row r="3005" spans="16:16" hidden="1" x14ac:dyDescent="0.45">
      <c r="P3005" t="str">
        <f t="shared" si="9"/>
        <v/>
      </c>
    </row>
    <row r="3006" spans="16:16" hidden="1" x14ac:dyDescent="0.45">
      <c r="P3006" t="str">
        <f t="shared" si="9"/>
        <v/>
      </c>
    </row>
    <row r="3007" spans="16:16" hidden="1" x14ac:dyDescent="0.45">
      <c r="P3007" t="str">
        <f t="shared" si="9"/>
        <v/>
      </c>
    </row>
    <row r="3008" spans="16:16" hidden="1" x14ac:dyDescent="0.45">
      <c r="P3008" t="str">
        <f t="shared" si="9"/>
        <v/>
      </c>
    </row>
    <row r="3009" spans="16:16" hidden="1" x14ac:dyDescent="0.45">
      <c r="P3009" t="str">
        <f t="shared" si="9"/>
        <v/>
      </c>
    </row>
    <row r="3010" spans="16:16" hidden="1" x14ac:dyDescent="0.45">
      <c r="P3010" t="str">
        <f t="shared" si="9"/>
        <v/>
      </c>
    </row>
    <row r="3011" spans="16:16" hidden="1" x14ac:dyDescent="0.45">
      <c r="P3011" t="str">
        <f t="shared" si="9"/>
        <v/>
      </c>
    </row>
    <row r="3012" spans="16:16" hidden="1" x14ac:dyDescent="0.45">
      <c r="P3012" t="str">
        <f t="shared" si="9"/>
        <v/>
      </c>
    </row>
    <row r="3013" spans="16:16" hidden="1" x14ac:dyDescent="0.45">
      <c r="P3013" t="str">
        <f t="shared" si="9"/>
        <v/>
      </c>
    </row>
    <row r="3014" spans="16:16" hidden="1" x14ac:dyDescent="0.45">
      <c r="P3014" t="str">
        <f t="shared" si="9"/>
        <v/>
      </c>
    </row>
    <row r="3015" spans="16:16" hidden="1" x14ac:dyDescent="0.45">
      <c r="P3015" t="str">
        <f t="shared" si="9"/>
        <v/>
      </c>
    </row>
    <row r="3016" spans="16:16" hidden="1" x14ac:dyDescent="0.45">
      <c r="P3016" t="str">
        <f t="shared" si="9"/>
        <v/>
      </c>
    </row>
    <row r="3017" spans="16:16" hidden="1" x14ac:dyDescent="0.45">
      <c r="P3017" t="str">
        <f t="shared" si="9"/>
        <v/>
      </c>
    </row>
    <row r="3018" spans="16:16" hidden="1" x14ac:dyDescent="0.45">
      <c r="P3018" t="str">
        <f t="shared" ref="P3018:P3081" si="10">IF(ISBLANK(O3018),IF(ISNUMBER(SEARCH("H",A3018)),IF(E3018&lt;8000,"E",IF(E3018&lt;19000,"P","F")),IF(ISNUMBER(SEARCH("I",A3018)),IF(E3018&lt;7000,"E",IF(E3018&lt;19000,"P","F")),"")),"")</f>
        <v/>
      </c>
    </row>
    <row r="3019" spans="16:16" hidden="1" x14ac:dyDescent="0.45">
      <c r="P3019" t="str">
        <f t="shared" si="10"/>
        <v/>
      </c>
    </row>
    <row r="3020" spans="16:16" hidden="1" x14ac:dyDescent="0.45">
      <c r="P3020" t="str">
        <f t="shared" si="10"/>
        <v/>
      </c>
    </row>
    <row r="3021" spans="16:16" hidden="1" x14ac:dyDescent="0.45">
      <c r="P3021" t="str">
        <f t="shared" si="10"/>
        <v/>
      </c>
    </row>
    <row r="3022" spans="16:16" hidden="1" x14ac:dyDescent="0.45">
      <c r="P3022" t="str">
        <f t="shared" si="10"/>
        <v/>
      </c>
    </row>
    <row r="3023" spans="16:16" hidden="1" x14ac:dyDescent="0.45">
      <c r="P3023" t="str">
        <f t="shared" si="10"/>
        <v/>
      </c>
    </row>
    <row r="3024" spans="16:16" hidden="1" x14ac:dyDescent="0.45">
      <c r="P3024" t="str">
        <f t="shared" si="10"/>
        <v/>
      </c>
    </row>
    <row r="3025" spans="16:16" hidden="1" x14ac:dyDescent="0.45">
      <c r="P3025" t="str">
        <f t="shared" si="10"/>
        <v/>
      </c>
    </row>
    <row r="3026" spans="16:16" hidden="1" x14ac:dyDescent="0.45">
      <c r="P3026" t="str">
        <f t="shared" si="10"/>
        <v/>
      </c>
    </row>
    <row r="3027" spans="16:16" hidden="1" x14ac:dyDescent="0.45">
      <c r="P3027" t="str">
        <f t="shared" si="10"/>
        <v/>
      </c>
    </row>
    <row r="3028" spans="16:16" hidden="1" x14ac:dyDescent="0.45">
      <c r="P3028" t="str">
        <f t="shared" si="10"/>
        <v/>
      </c>
    </row>
    <row r="3029" spans="16:16" hidden="1" x14ac:dyDescent="0.45">
      <c r="P3029" t="str">
        <f t="shared" si="10"/>
        <v/>
      </c>
    </row>
    <row r="3030" spans="16:16" hidden="1" x14ac:dyDescent="0.45">
      <c r="P3030" t="str">
        <f t="shared" si="10"/>
        <v/>
      </c>
    </row>
    <row r="3031" spans="16:16" hidden="1" x14ac:dyDescent="0.45">
      <c r="P3031" t="str">
        <f t="shared" si="10"/>
        <v/>
      </c>
    </row>
    <row r="3032" spans="16:16" hidden="1" x14ac:dyDescent="0.45">
      <c r="P3032" t="str">
        <f t="shared" si="10"/>
        <v/>
      </c>
    </row>
    <row r="3033" spans="16:16" hidden="1" x14ac:dyDescent="0.45">
      <c r="P3033" t="str">
        <f t="shared" si="10"/>
        <v/>
      </c>
    </row>
    <row r="3034" spans="16:16" hidden="1" x14ac:dyDescent="0.45">
      <c r="P3034" t="str">
        <f t="shared" si="10"/>
        <v/>
      </c>
    </row>
    <row r="3035" spans="16:16" hidden="1" x14ac:dyDescent="0.45">
      <c r="P3035" t="str">
        <f t="shared" si="10"/>
        <v/>
      </c>
    </row>
    <row r="3036" spans="16:16" hidden="1" x14ac:dyDescent="0.45">
      <c r="P3036" t="str">
        <f t="shared" si="10"/>
        <v/>
      </c>
    </row>
    <row r="3037" spans="16:16" hidden="1" x14ac:dyDescent="0.45">
      <c r="P3037" t="str">
        <f t="shared" si="10"/>
        <v/>
      </c>
    </row>
    <row r="3038" spans="16:16" hidden="1" x14ac:dyDescent="0.45">
      <c r="P3038" t="str">
        <f t="shared" si="10"/>
        <v/>
      </c>
    </row>
    <row r="3039" spans="16:16" hidden="1" x14ac:dyDescent="0.45">
      <c r="P3039" t="str">
        <f t="shared" si="10"/>
        <v/>
      </c>
    </row>
    <row r="3040" spans="16:16" hidden="1" x14ac:dyDescent="0.45">
      <c r="P3040" t="str">
        <f t="shared" si="10"/>
        <v/>
      </c>
    </row>
    <row r="3041" spans="16:16" hidden="1" x14ac:dyDescent="0.45">
      <c r="P3041" t="str">
        <f t="shared" si="10"/>
        <v/>
      </c>
    </row>
    <row r="3042" spans="16:16" hidden="1" x14ac:dyDescent="0.45">
      <c r="P3042" t="str">
        <f t="shared" si="10"/>
        <v/>
      </c>
    </row>
    <row r="3043" spans="16:16" hidden="1" x14ac:dyDescent="0.45">
      <c r="P3043" t="str">
        <f t="shared" si="10"/>
        <v/>
      </c>
    </row>
    <row r="3044" spans="16:16" hidden="1" x14ac:dyDescent="0.45">
      <c r="P3044" t="str">
        <f t="shared" si="10"/>
        <v/>
      </c>
    </row>
    <row r="3045" spans="16:16" hidden="1" x14ac:dyDescent="0.45">
      <c r="P3045" t="str">
        <f t="shared" si="10"/>
        <v/>
      </c>
    </row>
    <row r="3046" spans="16:16" hidden="1" x14ac:dyDescent="0.45">
      <c r="P3046" t="str">
        <f t="shared" si="10"/>
        <v/>
      </c>
    </row>
    <row r="3047" spans="16:16" hidden="1" x14ac:dyDescent="0.45">
      <c r="P3047" t="str">
        <f t="shared" si="10"/>
        <v/>
      </c>
    </row>
    <row r="3048" spans="16:16" hidden="1" x14ac:dyDescent="0.45">
      <c r="P3048" t="str">
        <f t="shared" si="10"/>
        <v/>
      </c>
    </row>
    <row r="3049" spans="16:16" hidden="1" x14ac:dyDescent="0.45">
      <c r="P3049" t="str">
        <f t="shared" si="10"/>
        <v/>
      </c>
    </row>
    <row r="3050" spans="16:16" hidden="1" x14ac:dyDescent="0.45">
      <c r="P3050" t="str">
        <f t="shared" si="10"/>
        <v/>
      </c>
    </row>
    <row r="3051" spans="16:16" hidden="1" x14ac:dyDescent="0.45">
      <c r="P3051" t="str">
        <f t="shared" si="10"/>
        <v/>
      </c>
    </row>
    <row r="3052" spans="16:16" hidden="1" x14ac:dyDescent="0.45">
      <c r="P3052" t="str">
        <f t="shared" si="10"/>
        <v/>
      </c>
    </row>
    <row r="3053" spans="16:16" hidden="1" x14ac:dyDescent="0.45">
      <c r="P3053" t="str">
        <f t="shared" si="10"/>
        <v/>
      </c>
    </row>
    <row r="3054" spans="16:16" hidden="1" x14ac:dyDescent="0.45">
      <c r="P3054" t="str">
        <f t="shared" si="10"/>
        <v/>
      </c>
    </row>
    <row r="3055" spans="16:16" hidden="1" x14ac:dyDescent="0.45">
      <c r="P3055" t="str">
        <f t="shared" si="10"/>
        <v/>
      </c>
    </row>
    <row r="3056" spans="16:16" hidden="1" x14ac:dyDescent="0.45">
      <c r="P3056" t="str">
        <f t="shared" si="10"/>
        <v/>
      </c>
    </row>
    <row r="3057" spans="16:16" hidden="1" x14ac:dyDescent="0.45">
      <c r="P3057" t="str">
        <f t="shared" si="10"/>
        <v/>
      </c>
    </row>
    <row r="3058" spans="16:16" hidden="1" x14ac:dyDescent="0.45">
      <c r="P3058" t="str">
        <f t="shared" si="10"/>
        <v/>
      </c>
    </row>
    <row r="3059" spans="16:16" hidden="1" x14ac:dyDescent="0.45">
      <c r="P3059" t="str">
        <f t="shared" si="10"/>
        <v/>
      </c>
    </row>
    <row r="3060" spans="16:16" hidden="1" x14ac:dyDescent="0.45">
      <c r="P3060" t="str">
        <f t="shared" si="10"/>
        <v/>
      </c>
    </row>
    <row r="3061" spans="16:16" hidden="1" x14ac:dyDescent="0.45">
      <c r="P3061" t="str">
        <f t="shared" si="10"/>
        <v/>
      </c>
    </row>
    <row r="3062" spans="16:16" hidden="1" x14ac:dyDescent="0.45">
      <c r="P3062" t="str">
        <f t="shared" si="10"/>
        <v/>
      </c>
    </row>
    <row r="3063" spans="16:16" hidden="1" x14ac:dyDescent="0.45">
      <c r="P3063" t="str">
        <f t="shared" si="10"/>
        <v/>
      </c>
    </row>
    <row r="3064" spans="16:16" hidden="1" x14ac:dyDescent="0.45">
      <c r="P3064" t="str">
        <f t="shared" si="10"/>
        <v/>
      </c>
    </row>
    <row r="3065" spans="16:16" hidden="1" x14ac:dyDescent="0.45">
      <c r="P3065" t="str">
        <f t="shared" si="10"/>
        <v/>
      </c>
    </row>
    <row r="3066" spans="16:16" hidden="1" x14ac:dyDescent="0.45">
      <c r="P3066" t="str">
        <f t="shared" si="10"/>
        <v/>
      </c>
    </row>
    <row r="3067" spans="16:16" hidden="1" x14ac:dyDescent="0.45">
      <c r="P3067" t="str">
        <f t="shared" si="10"/>
        <v/>
      </c>
    </row>
    <row r="3068" spans="16:16" hidden="1" x14ac:dyDescent="0.45">
      <c r="P3068" t="str">
        <f t="shared" si="10"/>
        <v/>
      </c>
    </row>
    <row r="3069" spans="16:16" hidden="1" x14ac:dyDescent="0.45">
      <c r="P3069" t="str">
        <f t="shared" si="10"/>
        <v/>
      </c>
    </row>
    <row r="3070" spans="16:16" hidden="1" x14ac:dyDescent="0.45">
      <c r="P3070" t="str">
        <f t="shared" si="10"/>
        <v/>
      </c>
    </row>
    <row r="3071" spans="16:16" hidden="1" x14ac:dyDescent="0.45">
      <c r="P3071" t="str">
        <f t="shared" si="10"/>
        <v/>
      </c>
    </row>
    <row r="3072" spans="16:16" hidden="1" x14ac:dyDescent="0.45">
      <c r="P3072" t="str">
        <f t="shared" si="10"/>
        <v/>
      </c>
    </row>
    <row r="3073" spans="16:16" hidden="1" x14ac:dyDescent="0.45">
      <c r="P3073" t="str">
        <f t="shared" si="10"/>
        <v/>
      </c>
    </row>
    <row r="3074" spans="16:16" hidden="1" x14ac:dyDescent="0.45">
      <c r="P3074" t="str">
        <f t="shared" si="10"/>
        <v/>
      </c>
    </row>
    <row r="3075" spans="16:16" hidden="1" x14ac:dyDescent="0.45">
      <c r="P3075" t="str">
        <f t="shared" si="10"/>
        <v/>
      </c>
    </row>
    <row r="3076" spans="16:16" hidden="1" x14ac:dyDescent="0.45">
      <c r="P3076" t="str">
        <f t="shared" si="10"/>
        <v/>
      </c>
    </row>
    <row r="3077" spans="16:16" hidden="1" x14ac:dyDescent="0.45">
      <c r="P3077" t="str">
        <f t="shared" si="10"/>
        <v/>
      </c>
    </row>
    <row r="3078" spans="16:16" hidden="1" x14ac:dyDescent="0.45">
      <c r="P3078" t="str">
        <f t="shared" si="10"/>
        <v/>
      </c>
    </row>
    <row r="3079" spans="16:16" hidden="1" x14ac:dyDescent="0.45">
      <c r="P3079" t="str">
        <f t="shared" si="10"/>
        <v/>
      </c>
    </row>
    <row r="3080" spans="16:16" hidden="1" x14ac:dyDescent="0.45">
      <c r="P3080" t="str">
        <f t="shared" si="10"/>
        <v/>
      </c>
    </row>
    <row r="3081" spans="16:16" hidden="1" x14ac:dyDescent="0.45">
      <c r="P3081" t="str">
        <f t="shared" si="10"/>
        <v/>
      </c>
    </row>
    <row r="3082" spans="16:16" hidden="1" x14ac:dyDescent="0.45">
      <c r="P3082" t="str">
        <f t="shared" ref="P3082:P3145" si="11">IF(ISBLANK(O3082),IF(ISNUMBER(SEARCH("H",A3082)),IF(E3082&lt;8000,"E",IF(E3082&lt;19000,"P","F")),IF(ISNUMBER(SEARCH("I",A3082)),IF(E3082&lt;7000,"E",IF(E3082&lt;19000,"P","F")),"")),"")</f>
        <v/>
      </c>
    </row>
    <row r="3083" spans="16:16" hidden="1" x14ac:dyDescent="0.45">
      <c r="P3083" t="str">
        <f t="shared" si="11"/>
        <v/>
      </c>
    </row>
    <row r="3084" spans="16:16" hidden="1" x14ac:dyDescent="0.45">
      <c r="P3084" t="str">
        <f t="shared" si="11"/>
        <v/>
      </c>
    </row>
    <row r="3085" spans="16:16" hidden="1" x14ac:dyDescent="0.45">
      <c r="P3085" t="str">
        <f t="shared" si="11"/>
        <v/>
      </c>
    </row>
    <row r="3086" spans="16:16" hidden="1" x14ac:dyDescent="0.45">
      <c r="P3086" t="str">
        <f t="shared" si="11"/>
        <v/>
      </c>
    </row>
    <row r="3087" spans="16:16" hidden="1" x14ac:dyDescent="0.45">
      <c r="P3087" t="str">
        <f t="shared" si="11"/>
        <v/>
      </c>
    </row>
    <row r="3088" spans="16:16" hidden="1" x14ac:dyDescent="0.45">
      <c r="P3088" t="str">
        <f t="shared" si="11"/>
        <v/>
      </c>
    </row>
    <row r="3089" spans="16:16" hidden="1" x14ac:dyDescent="0.45">
      <c r="P3089" t="str">
        <f t="shared" si="11"/>
        <v/>
      </c>
    </row>
    <row r="3090" spans="16:16" hidden="1" x14ac:dyDescent="0.45">
      <c r="P3090" t="str">
        <f t="shared" si="11"/>
        <v/>
      </c>
    </row>
    <row r="3091" spans="16:16" hidden="1" x14ac:dyDescent="0.45">
      <c r="P3091" t="str">
        <f t="shared" si="11"/>
        <v/>
      </c>
    </row>
    <row r="3092" spans="16:16" hidden="1" x14ac:dyDescent="0.45">
      <c r="P3092" t="str">
        <f t="shared" si="11"/>
        <v/>
      </c>
    </row>
    <row r="3093" spans="16:16" hidden="1" x14ac:dyDescent="0.45">
      <c r="P3093" t="str">
        <f t="shared" si="11"/>
        <v/>
      </c>
    </row>
    <row r="3094" spans="16:16" hidden="1" x14ac:dyDescent="0.45">
      <c r="P3094" t="str">
        <f t="shared" si="11"/>
        <v/>
      </c>
    </row>
    <row r="3095" spans="16:16" hidden="1" x14ac:dyDescent="0.45">
      <c r="P3095" t="str">
        <f t="shared" si="11"/>
        <v/>
      </c>
    </row>
    <row r="3096" spans="16:16" hidden="1" x14ac:dyDescent="0.45">
      <c r="P3096" t="str">
        <f t="shared" si="11"/>
        <v/>
      </c>
    </row>
    <row r="3097" spans="16:16" hidden="1" x14ac:dyDescent="0.45">
      <c r="P3097" t="str">
        <f t="shared" si="11"/>
        <v/>
      </c>
    </row>
    <row r="3098" spans="16:16" hidden="1" x14ac:dyDescent="0.45">
      <c r="P3098" t="str">
        <f t="shared" si="11"/>
        <v/>
      </c>
    </row>
    <row r="3099" spans="16:16" hidden="1" x14ac:dyDescent="0.45">
      <c r="P3099" t="str">
        <f t="shared" si="11"/>
        <v/>
      </c>
    </row>
    <row r="3100" spans="16:16" hidden="1" x14ac:dyDescent="0.45">
      <c r="P3100" t="str">
        <f t="shared" si="11"/>
        <v/>
      </c>
    </row>
    <row r="3101" spans="16:16" hidden="1" x14ac:dyDescent="0.45">
      <c r="P3101" t="str">
        <f t="shared" si="11"/>
        <v/>
      </c>
    </row>
    <row r="3102" spans="16:16" hidden="1" x14ac:dyDescent="0.45">
      <c r="P3102" t="str">
        <f t="shared" si="11"/>
        <v/>
      </c>
    </row>
    <row r="3103" spans="16:16" hidden="1" x14ac:dyDescent="0.45">
      <c r="P3103" t="str">
        <f t="shared" si="11"/>
        <v/>
      </c>
    </row>
    <row r="3104" spans="16:16" hidden="1" x14ac:dyDescent="0.45">
      <c r="P3104" t="str">
        <f t="shared" si="11"/>
        <v/>
      </c>
    </row>
    <row r="3105" spans="16:16" hidden="1" x14ac:dyDescent="0.45">
      <c r="P3105" t="str">
        <f t="shared" si="11"/>
        <v/>
      </c>
    </row>
    <row r="3106" spans="16:16" hidden="1" x14ac:dyDescent="0.45">
      <c r="P3106" t="str">
        <f t="shared" si="11"/>
        <v/>
      </c>
    </row>
    <row r="3107" spans="16:16" hidden="1" x14ac:dyDescent="0.45">
      <c r="P3107" t="str">
        <f t="shared" si="11"/>
        <v/>
      </c>
    </row>
    <row r="3108" spans="16:16" hidden="1" x14ac:dyDescent="0.45">
      <c r="P3108" t="str">
        <f t="shared" si="11"/>
        <v/>
      </c>
    </row>
    <row r="3109" spans="16:16" hidden="1" x14ac:dyDescent="0.45">
      <c r="P3109" t="str">
        <f t="shared" si="11"/>
        <v/>
      </c>
    </row>
    <row r="3110" spans="16:16" hidden="1" x14ac:dyDescent="0.45">
      <c r="P3110" t="str">
        <f t="shared" si="11"/>
        <v/>
      </c>
    </row>
    <row r="3111" spans="16:16" hidden="1" x14ac:dyDescent="0.45">
      <c r="P3111" t="str">
        <f t="shared" si="11"/>
        <v/>
      </c>
    </row>
    <row r="3112" spans="16:16" hidden="1" x14ac:dyDescent="0.45">
      <c r="P3112" t="str">
        <f t="shared" si="11"/>
        <v/>
      </c>
    </row>
    <row r="3113" spans="16:16" hidden="1" x14ac:dyDescent="0.45">
      <c r="P3113" t="str">
        <f t="shared" si="11"/>
        <v/>
      </c>
    </row>
    <row r="3114" spans="16:16" hidden="1" x14ac:dyDescent="0.45">
      <c r="P3114" t="str">
        <f t="shared" si="11"/>
        <v/>
      </c>
    </row>
    <row r="3115" spans="16:16" hidden="1" x14ac:dyDescent="0.45">
      <c r="P3115" t="str">
        <f t="shared" si="11"/>
        <v/>
      </c>
    </row>
    <row r="3116" spans="16:16" hidden="1" x14ac:dyDescent="0.45">
      <c r="P3116" t="str">
        <f t="shared" si="11"/>
        <v/>
      </c>
    </row>
    <row r="3117" spans="16:16" hidden="1" x14ac:dyDescent="0.45">
      <c r="P3117" t="str">
        <f t="shared" si="11"/>
        <v/>
      </c>
    </row>
    <row r="3118" spans="16:16" hidden="1" x14ac:dyDescent="0.45">
      <c r="P3118" t="str">
        <f t="shared" si="11"/>
        <v/>
      </c>
    </row>
    <row r="3119" spans="16:16" hidden="1" x14ac:dyDescent="0.45">
      <c r="P3119" t="str">
        <f t="shared" si="11"/>
        <v/>
      </c>
    </row>
    <row r="3120" spans="16:16" hidden="1" x14ac:dyDescent="0.45">
      <c r="P3120" t="str">
        <f t="shared" si="11"/>
        <v/>
      </c>
    </row>
    <row r="3121" spans="16:16" hidden="1" x14ac:dyDescent="0.45">
      <c r="P3121" t="str">
        <f t="shared" si="11"/>
        <v/>
      </c>
    </row>
    <row r="3122" spans="16:16" hidden="1" x14ac:dyDescent="0.45">
      <c r="P3122" t="str">
        <f t="shared" si="11"/>
        <v/>
      </c>
    </row>
    <row r="3123" spans="16:16" hidden="1" x14ac:dyDescent="0.45">
      <c r="P3123" t="str">
        <f t="shared" si="11"/>
        <v/>
      </c>
    </row>
    <row r="3124" spans="16:16" hidden="1" x14ac:dyDescent="0.45">
      <c r="P3124" t="str">
        <f t="shared" si="11"/>
        <v/>
      </c>
    </row>
    <row r="3125" spans="16:16" hidden="1" x14ac:dyDescent="0.45">
      <c r="P3125" t="str">
        <f t="shared" si="11"/>
        <v/>
      </c>
    </row>
    <row r="3126" spans="16:16" hidden="1" x14ac:dyDescent="0.45">
      <c r="P3126" t="str">
        <f t="shared" si="11"/>
        <v/>
      </c>
    </row>
    <row r="3127" spans="16:16" hidden="1" x14ac:dyDescent="0.45">
      <c r="P3127" t="str">
        <f t="shared" si="11"/>
        <v/>
      </c>
    </row>
    <row r="3128" spans="16:16" hidden="1" x14ac:dyDescent="0.45">
      <c r="P3128" t="str">
        <f t="shared" si="11"/>
        <v/>
      </c>
    </row>
    <row r="3129" spans="16:16" hidden="1" x14ac:dyDescent="0.45">
      <c r="P3129" t="str">
        <f t="shared" si="11"/>
        <v/>
      </c>
    </row>
    <row r="3130" spans="16:16" hidden="1" x14ac:dyDescent="0.45">
      <c r="P3130" t="str">
        <f t="shared" si="11"/>
        <v/>
      </c>
    </row>
    <row r="3131" spans="16:16" hidden="1" x14ac:dyDescent="0.45">
      <c r="P3131" t="str">
        <f t="shared" si="11"/>
        <v/>
      </c>
    </row>
    <row r="3132" spans="16:16" hidden="1" x14ac:dyDescent="0.45">
      <c r="P3132" t="str">
        <f t="shared" si="11"/>
        <v/>
      </c>
    </row>
    <row r="3133" spans="16:16" hidden="1" x14ac:dyDescent="0.45">
      <c r="P3133" t="str">
        <f t="shared" si="11"/>
        <v/>
      </c>
    </row>
    <row r="3134" spans="16:16" hidden="1" x14ac:dyDescent="0.45">
      <c r="P3134" t="str">
        <f t="shared" si="11"/>
        <v/>
      </c>
    </row>
    <row r="3135" spans="16:16" hidden="1" x14ac:dyDescent="0.45">
      <c r="P3135" t="str">
        <f t="shared" si="11"/>
        <v/>
      </c>
    </row>
    <row r="3136" spans="16:16" hidden="1" x14ac:dyDescent="0.45">
      <c r="P3136" t="str">
        <f t="shared" si="11"/>
        <v/>
      </c>
    </row>
    <row r="3137" spans="16:16" hidden="1" x14ac:dyDescent="0.45">
      <c r="P3137" t="str">
        <f t="shared" si="11"/>
        <v/>
      </c>
    </row>
    <row r="3138" spans="16:16" hidden="1" x14ac:dyDescent="0.45">
      <c r="P3138" t="str">
        <f t="shared" si="11"/>
        <v/>
      </c>
    </row>
    <row r="3139" spans="16:16" hidden="1" x14ac:dyDescent="0.45">
      <c r="P3139" t="str">
        <f t="shared" si="11"/>
        <v/>
      </c>
    </row>
    <row r="3140" spans="16:16" hidden="1" x14ac:dyDescent="0.45">
      <c r="P3140" t="str">
        <f t="shared" si="11"/>
        <v/>
      </c>
    </row>
    <row r="3141" spans="16:16" hidden="1" x14ac:dyDescent="0.45">
      <c r="P3141" t="str">
        <f t="shared" si="11"/>
        <v/>
      </c>
    </row>
    <row r="3142" spans="16:16" hidden="1" x14ac:dyDescent="0.45">
      <c r="P3142" t="str">
        <f t="shared" si="11"/>
        <v/>
      </c>
    </row>
    <row r="3143" spans="16:16" hidden="1" x14ac:dyDescent="0.45">
      <c r="P3143" t="str">
        <f t="shared" si="11"/>
        <v/>
      </c>
    </row>
    <row r="3144" spans="16:16" hidden="1" x14ac:dyDescent="0.45">
      <c r="P3144" t="str">
        <f t="shared" si="11"/>
        <v/>
      </c>
    </row>
    <row r="3145" spans="16:16" hidden="1" x14ac:dyDescent="0.45">
      <c r="P3145" t="str">
        <f t="shared" si="11"/>
        <v/>
      </c>
    </row>
    <row r="3146" spans="16:16" hidden="1" x14ac:dyDescent="0.45">
      <c r="P3146" t="str">
        <f t="shared" ref="P3146:P3209" si="12">IF(ISBLANK(O3146),IF(ISNUMBER(SEARCH("H",A3146)),IF(E3146&lt;8000,"E",IF(E3146&lt;19000,"P","F")),IF(ISNUMBER(SEARCH("I",A3146)),IF(E3146&lt;7000,"E",IF(E3146&lt;19000,"P","F")),"")),"")</f>
        <v/>
      </c>
    </row>
    <row r="3147" spans="16:16" hidden="1" x14ac:dyDescent="0.45">
      <c r="P3147" t="str">
        <f t="shared" si="12"/>
        <v/>
      </c>
    </row>
    <row r="3148" spans="16:16" hidden="1" x14ac:dyDescent="0.45">
      <c r="P3148" t="str">
        <f t="shared" si="12"/>
        <v/>
      </c>
    </row>
    <row r="3149" spans="16:16" hidden="1" x14ac:dyDescent="0.45">
      <c r="P3149" t="str">
        <f t="shared" si="12"/>
        <v/>
      </c>
    </row>
    <row r="3150" spans="16:16" hidden="1" x14ac:dyDescent="0.45">
      <c r="P3150" t="str">
        <f t="shared" si="12"/>
        <v/>
      </c>
    </row>
    <row r="3151" spans="16:16" hidden="1" x14ac:dyDescent="0.45">
      <c r="P3151" t="str">
        <f t="shared" si="12"/>
        <v/>
      </c>
    </row>
    <row r="3152" spans="16:16" hidden="1" x14ac:dyDescent="0.45">
      <c r="P3152" t="str">
        <f t="shared" si="12"/>
        <v/>
      </c>
    </row>
    <row r="3153" spans="16:16" hidden="1" x14ac:dyDescent="0.45">
      <c r="P3153" t="str">
        <f t="shared" si="12"/>
        <v/>
      </c>
    </row>
    <row r="3154" spans="16:16" hidden="1" x14ac:dyDescent="0.45">
      <c r="P3154" t="str">
        <f t="shared" si="12"/>
        <v/>
      </c>
    </row>
    <row r="3155" spans="16:16" hidden="1" x14ac:dyDescent="0.45">
      <c r="P3155" t="str">
        <f t="shared" si="12"/>
        <v/>
      </c>
    </row>
    <row r="3156" spans="16:16" hidden="1" x14ac:dyDescent="0.45">
      <c r="P3156" t="str">
        <f t="shared" si="12"/>
        <v/>
      </c>
    </row>
    <row r="3157" spans="16:16" hidden="1" x14ac:dyDescent="0.45">
      <c r="P3157" t="str">
        <f t="shared" si="12"/>
        <v/>
      </c>
    </row>
    <row r="3158" spans="16:16" hidden="1" x14ac:dyDescent="0.45">
      <c r="P3158" t="str">
        <f t="shared" si="12"/>
        <v/>
      </c>
    </row>
    <row r="3159" spans="16:16" hidden="1" x14ac:dyDescent="0.45">
      <c r="P3159" t="str">
        <f t="shared" si="12"/>
        <v/>
      </c>
    </row>
    <row r="3160" spans="16:16" hidden="1" x14ac:dyDescent="0.45">
      <c r="P3160" t="str">
        <f t="shared" si="12"/>
        <v/>
      </c>
    </row>
    <row r="3161" spans="16:16" hidden="1" x14ac:dyDescent="0.45">
      <c r="P3161" t="str">
        <f t="shared" si="12"/>
        <v/>
      </c>
    </row>
    <row r="3162" spans="16:16" hidden="1" x14ac:dyDescent="0.45">
      <c r="P3162" t="str">
        <f t="shared" si="12"/>
        <v/>
      </c>
    </row>
    <row r="3163" spans="16:16" hidden="1" x14ac:dyDescent="0.45">
      <c r="P3163" t="str">
        <f t="shared" si="12"/>
        <v/>
      </c>
    </row>
    <row r="3164" spans="16:16" hidden="1" x14ac:dyDescent="0.45">
      <c r="P3164" t="str">
        <f t="shared" si="12"/>
        <v/>
      </c>
    </row>
    <row r="3165" spans="16:16" hidden="1" x14ac:dyDescent="0.45">
      <c r="P3165" t="str">
        <f t="shared" si="12"/>
        <v/>
      </c>
    </row>
    <row r="3166" spans="16:16" hidden="1" x14ac:dyDescent="0.45">
      <c r="P3166" t="str">
        <f t="shared" si="12"/>
        <v/>
      </c>
    </row>
    <row r="3167" spans="16:16" hidden="1" x14ac:dyDescent="0.45">
      <c r="P3167" t="str">
        <f t="shared" si="12"/>
        <v/>
      </c>
    </row>
    <row r="3168" spans="16:16" hidden="1" x14ac:dyDescent="0.45">
      <c r="P3168" t="str">
        <f t="shared" si="12"/>
        <v/>
      </c>
    </row>
    <row r="3169" spans="16:16" hidden="1" x14ac:dyDescent="0.45">
      <c r="P3169" t="str">
        <f t="shared" si="12"/>
        <v/>
      </c>
    </row>
    <row r="3170" spans="16:16" hidden="1" x14ac:dyDescent="0.45">
      <c r="P3170" t="str">
        <f t="shared" si="12"/>
        <v/>
      </c>
    </row>
    <row r="3171" spans="16:16" hidden="1" x14ac:dyDescent="0.45">
      <c r="P3171" t="str">
        <f t="shared" si="12"/>
        <v/>
      </c>
    </row>
    <row r="3172" spans="16:16" hidden="1" x14ac:dyDescent="0.45">
      <c r="P3172" t="str">
        <f t="shared" si="12"/>
        <v/>
      </c>
    </row>
    <row r="3173" spans="16:16" hidden="1" x14ac:dyDescent="0.45">
      <c r="P3173" t="str">
        <f t="shared" si="12"/>
        <v/>
      </c>
    </row>
    <row r="3174" spans="16:16" hidden="1" x14ac:dyDescent="0.45">
      <c r="P3174" t="str">
        <f t="shared" si="12"/>
        <v/>
      </c>
    </row>
    <row r="3175" spans="16:16" hidden="1" x14ac:dyDescent="0.45">
      <c r="P3175" t="str">
        <f t="shared" si="12"/>
        <v/>
      </c>
    </row>
    <row r="3176" spans="16:16" hidden="1" x14ac:dyDescent="0.45">
      <c r="P3176" t="str">
        <f t="shared" si="12"/>
        <v/>
      </c>
    </row>
    <row r="3177" spans="16:16" hidden="1" x14ac:dyDescent="0.45">
      <c r="P3177" t="str">
        <f t="shared" si="12"/>
        <v/>
      </c>
    </row>
    <row r="3178" spans="16:16" hidden="1" x14ac:dyDescent="0.45">
      <c r="P3178" t="str">
        <f t="shared" si="12"/>
        <v/>
      </c>
    </row>
    <row r="3179" spans="16:16" hidden="1" x14ac:dyDescent="0.45">
      <c r="P3179" t="str">
        <f t="shared" si="12"/>
        <v/>
      </c>
    </row>
    <row r="3180" spans="16:16" hidden="1" x14ac:dyDescent="0.45">
      <c r="P3180" t="str">
        <f t="shared" si="12"/>
        <v/>
      </c>
    </row>
    <row r="3181" spans="16:16" hidden="1" x14ac:dyDescent="0.45">
      <c r="P3181" t="str">
        <f t="shared" si="12"/>
        <v/>
      </c>
    </row>
    <row r="3182" spans="16:16" hidden="1" x14ac:dyDescent="0.45">
      <c r="P3182" t="str">
        <f t="shared" si="12"/>
        <v/>
      </c>
    </row>
    <row r="3183" spans="16:16" hidden="1" x14ac:dyDescent="0.45">
      <c r="P3183" t="str">
        <f t="shared" si="12"/>
        <v/>
      </c>
    </row>
    <row r="3184" spans="16:16" hidden="1" x14ac:dyDescent="0.45">
      <c r="P3184" t="str">
        <f t="shared" si="12"/>
        <v/>
      </c>
    </row>
    <row r="3185" spans="16:16" hidden="1" x14ac:dyDescent="0.45">
      <c r="P3185" t="str">
        <f t="shared" si="12"/>
        <v/>
      </c>
    </row>
    <row r="3186" spans="16:16" hidden="1" x14ac:dyDescent="0.45">
      <c r="P3186" t="str">
        <f t="shared" si="12"/>
        <v/>
      </c>
    </row>
    <row r="3187" spans="16:16" hidden="1" x14ac:dyDescent="0.45">
      <c r="P3187" t="str">
        <f t="shared" si="12"/>
        <v/>
      </c>
    </row>
    <row r="3188" spans="16:16" hidden="1" x14ac:dyDescent="0.45">
      <c r="P3188" t="str">
        <f t="shared" si="12"/>
        <v/>
      </c>
    </row>
    <row r="3189" spans="16:16" hidden="1" x14ac:dyDescent="0.45">
      <c r="P3189" t="str">
        <f t="shared" si="12"/>
        <v/>
      </c>
    </row>
    <row r="3190" spans="16:16" hidden="1" x14ac:dyDescent="0.45">
      <c r="P3190" t="str">
        <f t="shared" si="12"/>
        <v/>
      </c>
    </row>
    <row r="3191" spans="16:16" hidden="1" x14ac:dyDescent="0.45">
      <c r="P3191" t="str">
        <f t="shared" si="12"/>
        <v/>
      </c>
    </row>
    <row r="3192" spans="16:16" hidden="1" x14ac:dyDescent="0.45">
      <c r="P3192" t="str">
        <f t="shared" si="12"/>
        <v/>
      </c>
    </row>
    <row r="3193" spans="16:16" hidden="1" x14ac:dyDescent="0.45">
      <c r="P3193" t="str">
        <f t="shared" si="12"/>
        <v/>
      </c>
    </row>
    <row r="3194" spans="16:16" hidden="1" x14ac:dyDescent="0.45">
      <c r="P3194" t="str">
        <f t="shared" si="12"/>
        <v/>
      </c>
    </row>
    <row r="3195" spans="16:16" hidden="1" x14ac:dyDescent="0.45">
      <c r="P3195" t="str">
        <f t="shared" si="12"/>
        <v/>
      </c>
    </row>
    <row r="3196" spans="16:16" hidden="1" x14ac:dyDescent="0.45">
      <c r="P3196" t="str">
        <f t="shared" si="12"/>
        <v/>
      </c>
    </row>
    <row r="3197" spans="16:16" hidden="1" x14ac:dyDescent="0.45">
      <c r="P3197" t="str">
        <f t="shared" si="12"/>
        <v/>
      </c>
    </row>
    <row r="3198" spans="16:16" hidden="1" x14ac:dyDescent="0.45">
      <c r="P3198" t="str">
        <f t="shared" si="12"/>
        <v/>
      </c>
    </row>
    <row r="3199" spans="16:16" hidden="1" x14ac:dyDescent="0.45">
      <c r="P3199" t="str">
        <f t="shared" si="12"/>
        <v/>
      </c>
    </row>
    <row r="3200" spans="16:16" hidden="1" x14ac:dyDescent="0.45">
      <c r="P3200" t="str">
        <f t="shared" si="12"/>
        <v/>
      </c>
    </row>
    <row r="3201" spans="16:16" hidden="1" x14ac:dyDescent="0.45">
      <c r="P3201" t="str">
        <f t="shared" si="12"/>
        <v/>
      </c>
    </row>
    <row r="3202" spans="16:16" hidden="1" x14ac:dyDescent="0.45">
      <c r="P3202" t="str">
        <f t="shared" si="12"/>
        <v/>
      </c>
    </row>
    <row r="3203" spans="16:16" hidden="1" x14ac:dyDescent="0.45">
      <c r="P3203" t="str">
        <f t="shared" si="12"/>
        <v/>
      </c>
    </row>
    <row r="3204" spans="16:16" hidden="1" x14ac:dyDescent="0.45">
      <c r="P3204" t="str">
        <f t="shared" si="12"/>
        <v/>
      </c>
    </row>
    <row r="3205" spans="16:16" hidden="1" x14ac:dyDescent="0.45">
      <c r="P3205" t="str">
        <f t="shared" si="12"/>
        <v/>
      </c>
    </row>
    <row r="3206" spans="16:16" hidden="1" x14ac:dyDescent="0.45">
      <c r="P3206" t="str">
        <f t="shared" si="12"/>
        <v/>
      </c>
    </row>
    <row r="3207" spans="16:16" hidden="1" x14ac:dyDescent="0.45">
      <c r="P3207" t="str">
        <f t="shared" si="12"/>
        <v/>
      </c>
    </row>
    <row r="3208" spans="16:16" hidden="1" x14ac:dyDescent="0.45">
      <c r="P3208" t="str">
        <f t="shared" si="12"/>
        <v/>
      </c>
    </row>
    <row r="3209" spans="16:16" hidden="1" x14ac:dyDescent="0.45">
      <c r="P3209" t="str">
        <f t="shared" si="12"/>
        <v/>
      </c>
    </row>
    <row r="3210" spans="16:16" hidden="1" x14ac:dyDescent="0.45">
      <c r="P3210" t="str">
        <f t="shared" ref="P3210:P3273" si="13">IF(ISBLANK(O3210),IF(ISNUMBER(SEARCH("H",A3210)),IF(E3210&lt;8000,"E",IF(E3210&lt;19000,"P","F")),IF(ISNUMBER(SEARCH("I",A3210)),IF(E3210&lt;7000,"E",IF(E3210&lt;19000,"P","F")),"")),"")</f>
        <v/>
      </c>
    </row>
    <row r="3211" spans="16:16" hidden="1" x14ac:dyDescent="0.45">
      <c r="P3211" t="str">
        <f t="shared" si="13"/>
        <v/>
      </c>
    </row>
    <row r="3212" spans="16:16" hidden="1" x14ac:dyDescent="0.45">
      <c r="P3212" t="str">
        <f t="shared" si="13"/>
        <v/>
      </c>
    </row>
    <row r="3213" spans="16:16" hidden="1" x14ac:dyDescent="0.45">
      <c r="P3213" t="str">
        <f t="shared" si="13"/>
        <v/>
      </c>
    </row>
    <row r="3214" spans="16:16" hidden="1" x14ac:dyDescent="0.45">
      <c r="P3214" t="str">
        <f t="shared" si="13"/>
        <v/>
      </c>
    </row>
    <row r="3215" spans="16:16" hidden="1" x14ac:dyDescent="0.45">
      <c r="P3215" t="str">
        <f t="shared" si="13"/>
        <v/>
      </c>
    </row>
    <row r="3216" spans="16:16" hidden="1" x14ac:dyDescent="0.45">
      <c r="P3216" t="str">
        <f t="shared" si="13"/>
        <v/>
      </c>
    </row>
    <row r="3217" spans="16:16" hidden="1" x14ac:dyDescent="0.45">
      <c r="P3217" t="str">
        <f t="shared" si="13"/>
        <v/>
      </c>
    </row>
    <row r="3218" spans="16:16" hidden="1" x14ac:dyDescent="0.45">
      <c r="P3218" t="str">
        <f t="shared" si="13"/>
        <v/>
      </c>
    </row>
    <row r="3219" spans="16:16" hidden="1" x14ac:dyDescent="0.45">
      <c r="P3219" t="str">
        <f t="shared" si="13"/>
        <v/>
      </c>
    </row>
    <row r="3220" spans="16:16" hidden="1" x14ac:dyDescent="0.45">
      <c r="P3220" t="str">
        <f t="shared" si="13"/>
        <v/>
      </c>
    </row>
    <row r="3221" spans="16:16" hidden="1" x14ac:dyDescent="0.45">
      <c r="P3221" t="str">
        <f t="shared" si="13"/>
        <v/>
      </c>
    </row>
    <row r="3222" spans="16:16" hidden="1" x14ac:dyDescent="0.45">
      <c r="P3222" t="str">
        <f t="shared" si="13"/>
        <v/>
      </c>
    </row>
    <row r="3223" spans="16:16" hidden="1" x14ac:dyDescent="0.45">
      <c r="P3223" t="str">
        <f t="shared" si="13"/>
        <v/>
      </c>
    </row>
    <row r="3224" spans="16:16" hidden="1" x14ac:dyDescent="0.45">
      <c r="P3224" t="str">
        <f t="shared" si="13"/>
        <v/>
      </c>
    </row>
    <row r="3225" spans="16:16" hidden="1" x14ac:dyDescent="0.45">
      <c r="P3225" t="str">
        <f t="shared" si="13"/>
        <v/>
      </c>
    </row>
    <row r="3226" spans="16:16" hidden="1" x14ac:dyDescent="0.45">
      <c r="P3226" t="str">
        <f t="shared" si="13"/>
        <v/>
      </c>
    </row>
    <row r="3227" spans="16:16" hidden="1" x14ac:dyDescent="0.45">
      <c r="P3227" t="str">
        <f t="shared" si="13"/>
        <v/>
      </c>
    </row>
    <row r="3228" spans="16:16" hidden="1" x14ac:dyDescent="0.45">
      <c r="P3228" t="str">
        <f t="shared" si="13"/>
        <v/>
      </c>
    </row>
    <row r="3229" spans="16:16" hidden="1" x14ac:dyDescent="0.45">
      <c r="P3229" t="str">
        <f t="shared" si="13"/>
        <v/>
      </c>
    </row>
    <row r="3230" spans="16:16" hidden="1" x14ac:dyDescent="0.45">
      <c r="P3230" t="str">
        <f t="shared" si="13"/>
        <v/>
      </c>
    </row>
    <row r="3231" spans="16:16" hidden="1" x14ac:dyDescent="0.45">
      <c r="P3231" t="str">
        <f t="shared" si="13"/>
        <v/>
      </c>
    </row>
    <row r="3232" spans="16:16" hidden="1" x14ac:dyDescent="0.45">
      <c r="P3232" t="str">
        <f t="shared" si="13"/>
        <v/>
      </c>
    </row>
    <row r="3233" spans="16:16" hidden="1" x14ac:dyDescent="0.45">
      <c r="P3233" t="str">
        <f t="shared" si="13"/>
        <v/>
      </c>
    </row>
    <row r="3234" spans="16:16" hidden="1" x14ac:dyDescent="0.45">
      <c r="P3234" t="str">
        <f t="shared" si="13"/>
        <v/>
      </c>
    </row>
    <row r="3235" spans="16:16" hidden="1" x14ac:dyDescent="0.45">
      <c r="P3235" t="str">
        <f t="shared" si="13"/>
        <v/>
      </c>
    </row>
    <row r="3236" spans="16:16" hidden="1" x14ac:dyDescent="0.45">
      <c r="P3236" t="str">
        <f t="shared" si="13"/>
        <v/>
      </c>
    </row>
    <row r="3237" spans="16:16" hidden="1" x14ac:dyDescent="0.45">
      <c r="P3237" t="str">
        <f t="shared" si="13"/>
        <v/>
      </c>
    </row>
    <row r="3238" spans="16:16" hidden="1" x14ac:dyDescent="0.45">
      <c r="P3238" t="str">
        <f t="shared" si="13"/>
        <v/>
      </c>
    </row>
    <row r="3239" spans="16:16" hidden="1" x14ac:dyDescent="0.45">
      <c r="P3239" t="str">
        <f t="shared" si="13"/>
        <v/>
      </c>
    </row>
    <row r="3240" spans="16:16" hidden="1" x14ac:dyDescent="0.45">
      <c r="P3240" t="str">
        <f t="shared" si="13"/>
        <v/>
      </c>
    </row>
    <row r="3241" spans="16:16" hidden="1" x14ac:dyDescent="0.45">
      <c r="P3241" t="str">
        <f t="shared" si="13"/>
        <v/>
      </c>
    </row>
    <row r="3242" spans="16:16" hidden="1" x14ac:dyDescent="0.45">
      <c r="P3242" t="str">
        <f t="shared" si="13"/>
        <v/>
      </c>
    </row>
    <row r="3243" spans="16:16" hidden="1" x14ac:dyDescent="0.45">
      <c r="P3243" t="str">
        <f t="shared" si="13"/>
        <v/>
      </c>
    </row>
    <row r="3244" spans="16:16" hidden="1" x14ac:dyDescent="0.45">
      <c r="P3244" t="str">
        <f t="shared" si="13"/>
        <v/>
      </c>
    </row>
    <row r="3245" spans="16:16" hidden="1" x14ac:dyDescent="0.45">
      <c r="P3245" t="str">
        <f t="shared" si="13"/>
        <v/>
      </c>
    </row>
    <row r="3246" spans="16:16" hidden="1" x14ac:dyDescent="0.45">
      <c r="P3246" t="str">
        <f t="shared" si="13"/>
        <v/>
      </c>
    </row>
    <row r="3247" spans="16:16" hidden="1" x14ac:dyDescent="0.45">
      <c r="P3247" t="str">
        <f t="shared" si="13"/>
        <v/>
      </c>
    </row>
    <row r="3248" spans="16:16" hidden="1" x14ac:dyDescent="0.45">
      <c r="P3248" t="str">
        <f t="shared" si="13"/>
        <v/>
      </c>
    </row>
    <row r="3249" spans="16:16" hidden="1" x14ac:dyDescent="0.45">
      <c r="P3249" t="str">
        <f t="shared" si="13"/>
        <v/>
      </c>
    </row>
    <row r="3250" spans="16:16" hidden="1" x14ac:dyDescent="0.45">
      <c r="P3250" t="str">
        <f t="shared" si="13"/>
        <v/>
      </c>
    </row>
    <row r="3251" spans="16:16" hidden="1" x14ac:dyDescent="0.45">
      <c r="P3251" t="str">
        <f t="shared" si="13"/>
        <v/>
      </c>
    </row>
    <row r="3252" spans="16:16" hidden="1" x14ac:dyDescent="0.45">
      <c r="P3252" t="str">
        <f t="shared" si="13"/>
        <v/>
      </c>
    </row>
    <row r="3253" spans="16:16" hidden="1" x14ac:dyDescent="0.45">
      <c r="P3253" t="str">
        <f t="shared" si="13"/>
        <v/>
      </c>
    </row>
    <row r="3254" spans="16:16" hidden="1" x14ac:dyDescent="0.45">
      <c r="P3254" t="str">
        <f t="shared" si="13"/>
        <v/>
      </c>
    </row>
    <row r="3255" spans="16:16" hidden="1" x14ac:dyDescent="0.45">
      <c r="P3255" t="str">
        <f t="shared" si="13"/>
        <v/>
      </c>
    </row>
    <row r="3256" spans="16:16" hidden="1" x14ac:dyDescent="0.45">
      <c r="P3256" t="str">
        <f t="shared" si="13"/>
        <v/>
      </c>
    </row>
    <row r="3257" spans="16:16" hidden="1" x14ac:dyDescent="0.45">
      <c r="P3257" t="str">
        <f t="shared" si="13"/>
        <v/>
      </c>
    </row>
    <row r="3258" spans="16:16" hidden="1" x14ac:dyDescent="0.45">
      <c r="P3258" t="str">
        <f t="shared" si="13"/>
        <v/>
      </c>
    </row>
    <row r="3259" spans="16:16" hidden="1" x14ac:dyDescent="0.45">
      <c r="P3259" t="str">
        <f t="shared" si="13"/>
        <v/>
      </c>
    </row>
    <row r="3260" spans="16:16" hidden="1" x14ac:dyDescent="0.45">
      <c r="P3260" t="str">
        <f t="shared" si="13"/>
        <v/>
      </c>
    </row>
    <row r="3261" spans="16:16" hidden="1" x14ac:dyDescent="0.45">
      <c r="P3261" t="str">
        <f t="shared" si="13"/>
        <v/>
      </c>
    </row>
    <row r="3262" spans="16:16" hidden="1" x14ac:dyDescent="0.45">
      <c r="P3262" t="str">
        <f t="shared" si="13"/>
        <v/>
      </c>
    </row>
    <row r="3263" spans="16:16" hidden="1" x14ac:dyDescent="0.45">
      <c r="P3263" t="str">
        <f t="shared" si="13"/>
        <v/>
      </c>
    </row>
    <row r="3264" spans="16:16" hidden="1" x14ac:dyDescent="0.45">
      <c r="P3264" t="str">
        <f t="shared" si="13"/>
        <v/>
      </c>
    </row>
    <row r="3265" spans="16:16" hidden="1" x14ac:dyDescent="0.45">
      <c r="P3265" t="str">
        <f t="shared" si="13"/>
        <v/>
      </c>
    </row>
    <row r="3266" spans="16:16" hidden="1" x14ac:dyDescent="0.45">
      <c r="P3266" t="str">
        <f t="shared" si="13"/>
        <v/>
      </c>
    </row>
    <row r="3267" spans="16:16" hidden="1" x14ac:dyDescent="0.45">
      <c r="P3267" t="str">
        <f t="shared" si="13"/>
        <v/>
      </c>
    </row>
    <row r="3268" spans="16:16" hidden="1" x14ac:dyDescent="0.45">
      <c r="P3268" t="str">
        <f t="shared" si="13"/>
        <v/>
      </c>
    </row>
    <row r="3269" spans="16:16" hidden="1" x14ac:dyDescent="0.45">
      <c r="P3269" t="str">
        <f t="shared" si="13"/>
        <v/>
      </c>
    </row>
    <row r="3270" spans="16:16" hidden="1" x14ac:dyDescent="0.45">
      <c r="P3270" t="str">
        <f t="shared" si="13"/>
        <v/>
      </c>
    </row>
    <row r="3271" spans="16:16" hidden="1" x14ac:dyDescent="0.45">
      <c r="P3271" t="str">
        <f t="shared" si="13"/>
        <v/>
      </c>
    </row>
    <row r="3272" spans="16:16" hidden="1" x14ac:dyDescent="0.45">
      <c r="P3272" t="str">
        <f t="shared" si="13"/>
        <v/>
      </c>
    </row>
    <row r="3273" spans="16:16" hidden="1" x14ac:dyDescent="0.45">
      <c r="P3273" t="str">
        <f t="shared" si="13"/>
        <v/>
      </c>
    </row>
    <row r="3274" spans="16:16" hidden="1" x14ac:dyDescent="0.45">
      <c r="P3274" t="str">
        <f t="shared" ref="P3274:P3337" si="14">IF(ISBLANK(O3274),IF(ISNUMBER(SEARCH("H",A3274)),IF(E3274&lt;8000,"E",IF(E3274&lt;19000,"P","F")),IF(ISNUMBER(SEARCH("I",A3274)),IF(E3274&lt;7000,"E",IF(E3274&lt;19000,"P","F")),"")),"")</f>
        <v/>
      </c>
    </row>
    <row r="3275" spans="16:16" hidden="1" x14ac:dyDescent="0.45">
      <c r="P3275" t="str">
        <f t="shared" si="14"/>
        <v/>
      </c>
    </row>
    <row r="3276" spans="16:16" hidden="1" x14ac:dyDescent="0.45">
      <c r="P3276" t="str">
        <f t="shared" si="14"/>
        <v/>
      </c>
    </row>
    <row r="3277" spans="16:16" hidden="1" x14ac:dyDescent="0.45">
      <c r="P3277" t="str">
        <f t="shared" si="14"/>
        <v/>
      </c>
    </row>
    <row r="3278" spans="16:16" hidden="1" x14ac:dyDescent="0.45">
      <c r="P3278" t="str">
        <f t="shared" si="14"/>
        <v/>
      </c>
    </row>
    <row r="3279" spans="16:16" hidden="1" x14ac:dyDescent="0.45">
      <c r="P3279" t="str">
        <f t="shared" si="14"/>
        <v/>
      </c>
    </row>
    <row r="3280" spans="16:16" hidden="1" x14ac:dyDescent="0.45">
      <c r="P3280" t="str">
        <f t="shared" si="14"/>
        <v/>
      </c>
    </row>
    <row r="3281" spans="16:16" hidden="1" x14ac:dyDescent="0.45">
      <c r="P3281" t="str">
        <f t="shared" si="14"/>
        <v/>
      </c>
    </row>
    <row r="3282" spans="16:16" hidden="1" x14ac:dyDescent="0.45">
      <c r="P3282" t="str">
        <f t="shared" si="14"/>
        <v/>
      </c>
    </row>
    <row r="3283" spans="16:16" hidden="1" x14ac:dyDescent="0.45">
      <c r="P3283" t="str">
        <f t="shared" si="14"/>
        <v/>
      </c>
    </row>
    <row r="3284" spans="16:16" hidden="1" x14ac:dyDescent="0.45">
      <c r="P3284" t="str">
        <f t="shared" si="14"/>
        <v/>
      </c>
    </row>
    <row r="3285" spans="16:16" hidden="1" x14ac:dyDescent="0.45">
      <c r="P3285" t="str">
        <f t="shared" si="14"/>
        <v/>
      </c>
    </row>
    <row r="3286" spans="16:16" hidden="1" x14ac:dyDescent="0.45">
      <c r="P3286" t="str">
        <f t="shared" si="14"/>
        <v/>
      </c>
    </row>
    <row r="3287" spans="16:16" hidden="1" x14ac:dyDescent="0.45">
      <c r="P3287" t="str">
        <f t="shared" si="14"/>
        <v/>
      </c>
    </row>
    <row r="3288" spans="16:16" hidden="1" x14ac:dyDescent="0.45">
      <c r="P3288" t="str">
        <f t="shared" si="14"/>
        <v/>
      </c>
    </row>
    <row r="3289" spans="16:16" hidden="1" x14ac:dyDescent="0.45">
      <c r="P3289" t="str">
        <f t="shared" si="14"/>
        <v/>
      </c>
    </row>
    <row r="3290" spans="16:16" hidden="1" x14ac:dyDescent="0.45">
      <c r="P3290" t="str">
        <f t="shared" si="14"/>
        <v/>
      </c>
    </row>
    <row r="3291" spans="16:16" hidden="1" x14ac:dyDescent="0.45">
      <c r="P3291" t="str">
        <f t="shared" si="14"/>
        <v/>
      </c>
    </row>
    <row r="3292" spans="16:16" hidden="1" x14ac:dyDescent="0.45">
      <c r="P3292" t="str">
        <f t="shared" si="14"/>
        <v/>
      </c>
    </row>
    <row r="3293" spans="16:16" hidden="1" x14ac:dyDescent="0.45">
      <c r="P3293" t="str">
        <f t="shared" si="14"/>
        <v/>
      </c>
    </row>
    <row r="3294" spans="16:16" hidden="1" x14ac:dyDescent="0.45">
      <c r="P3294" t="str">
        <f t="shared" si="14"/>
        <v/>
      </c>
    </row>
    <row r="3295" spans="16:16" hidden="1" x14ac:dyDescent="0.45">
      <c r="P3295" t="str">
        <f t="shared" si="14"/>
        <v/>
      </c>
    </row>
    <row r="3296" spans="16:16" hidden="1" x14ac:dyDescent="0.45">
      <c r="P3296" t="str">
        <f t="shared" si="14"/>
        <v/>
      </c>
    </row>
    <row r="3297" spans="16:16" hidden="1" x14ac:dyDescent="0.45">
      <c r="P3297" t="str">
        <f t="shared" si="14"/>
        <v/>
      </c>
    </row>
    <row r="3298" spans="16:16" hidden="1" x14ac:dyDescent="0.45">
      <c r="P3298" t="str">
        <f t="shared" si="14"/>
        <v/>
      </c>
    </row>
    <row r="3299" spans="16:16" hidden="1" x14ac:dyDescent="0.45">
      <c r="P3299" t="str">
        <f t="shared" si="14"/>
        <v/>
      </c>
    </row>
    <row r="3300" spans="16:16" hidden="1" x14ac:dyDescent="0.45">
      <c r="P3300" t="str">
        <f t="shared" si="14"/>
        <v/>
      </c>
    </row>
    <row r="3301" spans="16:16" hidden="1" x14ac:dyDescent="0.45">
      <c r="P3301" t="str">
        <f t="shared" si="14"/>
        <v/>
      </c>
    </row>
    <row r="3302" spans="16:16" hidden="1" x14ac:dyDescent="0.45">
      <c r="P3302" t="str">
        <f t="shared" si="14"/>
        <v/>
      </c>
    </row>
    <row r="3303" spans="16:16" hidden="1" x14ac:dyDescent="0.45">
      <c r="P3303" t="str">
        <f t="shared" si="14"/>
        <v/>
      </c>
    </row>
    <row r="3304" spans="16:16" hidden="1" x14ac:dyDescent="0.45">
      <c r="P3304" t="str">
        <f t="shared" si="14"/>
        <v/>
      </c>
    </row>
    <row r="3305" spans="16:16" hidden="1" x14ac:dyDescent="0.45">
      <c r="P3305" t="str">
        <f t="shared" si="14"/>
        <v/>
      </c>
    </row>
    <row r="3306" spans="16:16" hidden="1" x14ac:dyDescent="0.45">
      <c r="P3306" t="str">
        <f t="shared" si="14"/>
        <v/>
      </c>
    </row>
    <row r="3307" spans="16:16" hidden="1" x14ac:dyDescent="0.45">
      <c r="P3307" t="str">
        <f t="shared" si="14"/>
        <v/>
      </c>
    </row>
    <row r="3308" spans="16:16" hidden="1" x14ac:dyDescent="0.45">
      <c r="P3308" t="str">
        <f t="shared" si="14"/>
        <v/>
      </c>
    </row>
    <row r="3309" spans="16:16" hidden="1" x14ac:dyDescent="0.45">
      <c r="P3309" t="str">
        <f t="shared" si="14"/>
        <v/>
      </c>
    </row>
    <row r="3310" spans="16:16" hidden="1" x14ac:dyDescent="0.45">
      <c r="P3310" t="str">
        <f t="shared" si="14"/>
        <v/>
      </c>
    </row>
    <row r="3311" spans="16:16" hidden="1" x14ac:dyDescent="0.45">
      <c r="P3311" t="str">
        <f t="shared" si="14"/>
        <v/>
      </c>
    </row>
    <row r="3312" spans="16:16" hidden="1" x14ac:dyDescent="0.45">
      <c r="P3312" t="str">
        <f t="shared" si="14"/>
        <v/>
      </c>
    </row>
    <row r="3313" spans="16:16" hidden="1" x14ac:dyDescent="0.45">
      <c r="P3313" t="str">
        <f t="shared" si="14"/>
        <v/>
      </c>
    </row>
    <row r="3314" spans="16:16" hidden="1" x14ac:dyDescent="0.45">
      <c r="P3314" t="str">
        <f t="shared" si="14"/>
        <v/>
      </c>
    </row>
    <row r="3315" spans="16:16" hidden="1" x14ac:dyDescent="0.45">
      <c r="P3315" t="str">
        <f t="shared" si="14"/>
        <v/>
      </c>
    </row>
    <row r="3316" spans="16:16" hidden="1" x14ac:dyDescent="0.45">
      <c r="P3316" t="str">
        <f t="shared" si="14"/>
        <v/>
      </c>
    </row>
    <row r="3317" spans="16:16" hidden="1" x14ac:dyDescent="0.45">
      <c r="P3317" t="str">
        <f t="shared" si="14"/>
        <v/>
      </c>
    </row>
    <row r="3318" spans="16:16" hidden="1" x14ac:dyDescent="0.45">
      <c r="P3318" t="str">
        <f t="shared" si="14"/>
        <v/>
      </c>
    </row>
    <row r="3319" spans="16:16" hidden="1" x14ac:dyDescent="0.45">
      <c r="P3319" t="str">
        <f t="shared" si="14"/>
        <v/>
      </c>
    </row>
    <row r="3320" spans="16:16" hidden="1" x14ac:dyDescent="0.45">
      <c r="P3320" t="str">
        <f t="shared" si="14"/>
        <v/>
      </c>
    </row>
    <row r="3321" spans="16:16" hidden="1" x14ac:dyDescent="0.45">
      <c r="P3321" t="str">
        <f t="shared" si="14"/>
        <v/>
      </c>
    </row>
    <row r="3322" spans="16:16" hidden="1" x14ac:dyDescent="0.45">
      <c r="P3322" t="str">
        <f t="shared" si="14"/>
        <v/>
      </c>
    </row>
    <row r="3323" spans="16:16" hidden="1" x14ac:dyDescent="0.45">
      <c r="P3323" t="str">
        <f t="shared" si="14"/>
        <v/>
      </c>
    </row>
    <row r="3324" spans="16:16" hidden="1" x14ac:dyDescent="0.45">
      <c r="P3324" t="str">
        <f t="shared" si="14"/>
        <v/>
      </c>
    </row>
    <row r="3325" spans="16:16" hidden="1" x14ac:dyDescent="0.45">
      <c r="P3325" t="str">
        <f t="shared" si="14"/>
        <v/>
      </c>
    </row>
    <row r="3326" spans="16:16" hidden="1" x14ac:dyDescent="0.45">
      <c r="P3326" t="str">
        <f t="shared" si="14"/>
        <v/>
      </c>
    </row>
    <row r="3327" spans="16:16" hidden="1" x14ac:dyDescent="0.45">
      <c r="P3327" t="str">
        <f t="shared" si="14"/>
        <v/>
      </c>
    </row>
    <row r="3328" spans="16:16" hidden="1" x14ac:dyDescent="0.45">
      <c r="P3328" t="str">
        <f t="shared" si="14"/>
        <v/>
      </c>
    </row>
    <row r="3329" spans="16:16" hidden="1" x14ac:dyDescent="0.45">
      <c r="P3329" t="str">
        <f t="shared" si="14"/>
        <v/>
      </c>
    </row>
    <row r="3330" spans="16:16" hidden="1" x14ac:dyDescent="0.45">
      <c r="P3330" t="str">
        <f t="shared" si="14"/>
        <v/>
      </c>
    </row>
    <row r="3331" spans="16:16" hidden="1" x14ac:dyDescent="0.45">
      <c r="P3331" t="str">
        <f t="shared" si="14"/>
        <v/>
      </c>
    </row>
    <row r="3332" spans="16:16" hidden="1" x14ac:dyDescent="0.45">
      <c r="P3332" t="str">
        <f t="shared" si="14"/>
        <v/>
      </c>
    </row>
    <row r="3333" spans="16:16" hidden="1" x14ac:dyDescent="0.45">
      <c r="P3333" t="str">
        <f t="shared" si="14"/>
        <v/>
      </c>
    </row>
    <row r="3334" spans="16:16" hidden="1" x14ac:dyDescent="0.45">
      <c r="P3334" t="str">
        <f t="shared" si="14"/>
        <v/>
      </c>
    </row>
    <row r="3335" spans="16:16" hidden="1" x14ac:dyDescent="0.45">
      <c r="P3335" t="str">
        <f t="shared" si="14"/>
        <v/>
      </c>
    </row>
    <row r="3336" spans="16:16" hidden="1" x14ac:dyDescent="0.45">
      <c r="P3336" t="str">
        <f t="shared" si="14"/>
        <v/>
      </c>
    </row>
    <row r="3337" spans="16:16" hidden="1" x14ac:dyDescent="0.45">
      <c r="P3337" t="str">
        <f t="shared" si="14"/>
        <v/>
      </c>
    </row>
    <row r="3338" spans="16:16" hidden="1" x14ac:dyDescent="0.45">
      <c r="P3338" t="str">
        <f t="shared" ref="P3338:P3401" si="15">IF(ISBLANK(O3338),IF(ISNUMBER(SEARCH("H",A3338)),IF(E3338&lt;8000,"E",IF(E3338&lt;19000,"P","F")),IF(ISNUMBER(SEARCH("I",A3338)),IF(E3338&lt;7000,"E",IF(E3338&lt;19000,"P","F")),"")),"")</f>
        <v/>
      </c>
    </row>
    <row r="3339" spans="16:16" hidden="1" x14ac:dyDescent="0.45">
      <c r="P3339" t="str">
        <f t="shared" si="15"/>
        <v/>
      </c>
    </row>
    <row r="3340" spans="16:16" hidden="1" x14ac:dyDescent="0.45">
      <c r="P3340" t="str">
        <f t="shared" si="15"/>
        <v/>
      </c>
    </row>
    <row r="3341" spans="16:16" hidden="1" x14ac:dyDescent="0.45">
      <c r="P3341" t="str">
        <f t="shared" si="15"/>
        <v/>
      </c>
    </row>
    <row r="3342" spans="16:16" hidden="1" x14ac:dyDescent="0.45">
      <c r="P3342" t="str">
        <f t="shared" si="15"/>
        <v/>
      </c>
    </row>
    <row r="3343" spans="16:16" hidden="1" x14ac:dyDescent="0.45">
      <c r="P3343" t="str">
        <f t="shared" si="15"/>
        <v/>
      </c>
    </row>
    <row r="3344" spans="16:16" hidden="1" x14ac:dyDescent="0.45">
      <c r="P3344" t="str">
        <f t="shared" si="15"/>
        <v/>
      </c>
    </row>
    <row r="3345" spans="16:16" hidden="1" x14ac:dyDescent="0.45">
      <c r="P3345" t="str">
        <f t="shared" si="15"/>
        <v/>
      </c>
    </row>
    <row r="3346" spans="16:16" hidden="1" x14ac:dyDescent="0.45">
      <c r="P3346" t="str">
        <f t="shared" si="15"/>
        <v/>
      </c>
    </row>
    <row r="3347" spans="16:16" hidden="1" x14ac:dyDescent="0.45">
      <c r="P3347" t="str">
        <f t="shared" si="15"/>
        <v/>
      </c>
    </row>
    <row r="3348" spans="16:16" hidden="1" x14ac:dyDescent="0.45">
      <c r="P3348" t="str">
        <f t="shared" si="15"/>
        <v/>
      </c>
    </row>
    <row r="3349" spans="16:16" hidden="1" x14ac:dyDescent="0.45">
      <c r="P3349" t="str">
        <f t="shared" si="15"/>
        <v/>
      </c>
    </row>
    <row r="3350" spans="16:16" hidden="1" x14ac:dyDescent="0.45">
      <c r="P3350" t="str">
        <f t="shared" si="15"/>
        <v/>
      </c>
    </row>
    <row r="3351" spans="16:16" hidden="1" x14ac:dyDescent="0.45">
      <c r="P3351" t="str">
        <f t="shared" si="15"/>
        <v/>
      </c>
    </row>
    <row r="3352" spans="16:16" hidden="1" x14ac:dyDescent="0.45">
      <c r="P3352" t="str">
        <f t="shared" si="15"/>
        <v/>
      </c>
    </row>
    <row r="3353" spans="16:16" hidden="1" x14ac:dyDescent="0.45">
      <c r="P3353" t="str">
        <f t="shared" si="15"/>
        <v/>
      </c>
    </row>
    <row r="3354" spans="16:16" hidden="1" x14ac:dyDescent="0.45">
      <c r="P3354" t="str">
        <f t="shared" si="15"/>
        <v/>
      </c>
    </row>
    <row r="3355" spans="16:16" hidden="1" x14ac:dyDescent="0.45">
      <c r="P3355" t="str">
        <f t="shared" si="15"/>
        <v/>
      </c>
    </row>
    <row r="3356" spans="16:16" hidden="1" x14ac:dyDescent="0.45">
      <c r="P3356" t="str">
        <f t="shared" si="15"/>
        <v/>
      </c>
    </row>
    <row r="3357" spans="16:16" hidden="1" x14ac:dyDescent="0.45">
      <c r="P3357" t="str">
        <f t="shared" si="15"/>
        <v/>
      </c>
    </row>
    <row r="3358" spans="16:16" hidden="1" x14ac:dyDescent="0.45">
      <c r="P3358" t="str">
        <f t="shared" si="15"/>
        <v/>
      </c>
    </row>
    <row r="3359" spans="16:16" hidden="1" x14ac:dyDescent="0.45">
      <c r="P3359" t="str">
        <f t="shared" si="15"/>
        <v/>
      </c>
    </row>
    <row r="3360" spans="16:16" hidden="1" x14ac:dyDescent="0.45">
      <c r="P3360" t="str">
        <f t="shared" si="15"/>
        <v/>
      </c>
    </row>
    <row r="3361" spans="16:16" hidden="1" x14ac:dyDescent="0.45">
      <c r="P3361" t="str">
        <f t="shared" si="15"/>
        <v/>
      </c>
    </row>
    <row r="3362" spans="16:16" hidden="1" x14ac:dyDescent="0.45">
      <c r="P3362" t="str">
        <f t="shared" si="15"/>
        <v/>
      </c>
    </row>
    <row r="3363" spans="16:16" hidden="1" x14ac:dyDescent="0.45">
      <c r="P3363" t="str">
        <f t="shared" si="15"/>
        <v/>
      </c>
    </row>
    <row r="3364" spans="16:16" hidden="1" x14ac:dyDescent="0.45">
      <c r="P3364" t="str">
        <f t="shared" si="15"/>
        <v/>
      </c>
    </row>
    <row r="3365" spans="16:16" hidden="1" x14ac:dyDescent="0.45">
      <c r="P3365" t="str">
        <f t="shared" si="15"/>
        <v/>
      </c>
    </row>
    <row r="3366" spans="16:16" hidden="1" x14ac:dyDescent="0.45">
      <c r="P3366" t="str">
        <f t="shared" si="15"/>
        <v/>
      </c>
    </row>
    <row r="3367" spans="16:16" hidden="1" x14ac:dyDescent="0.45">
      <c r="P3367" t="str">
        <f t="shared" si="15"/>
        <v/>
      </c>
    </row>
    <row r="3368" spans="16:16" hidden="1" x14ac:dyDescent="0.45">
      <c r="P3368" t="str">
        <f t="shared" si="15"/>
        <v/>
      </c>
    </row>
    <row r="3369" spans="16:16" hidden="1" x14ac:dyDescent="0.45">
      <c r="P3369" t="str">
        <f t="shared" si="15"/>
        <v/>
      </c>
    </row>
    <row r="3370" spans="16:16" hidden="1" x14ac:dyDescent="0.45">
      <c r="P3370" t="str">
        <f t="shared" si="15"/>
        <v/>
      </c>
    </row>
    <row r="3371" spans="16:16" hidden="1" x14ac:dyDescent="0.45">
      <c r="P3371" t="str">
        <f t="shared" si="15"/>
        <v/>
      </c>
    </row>
    <row r="3372" spans="16:16" hidden="1" x14ac:dyDescent="0.45">
      <c r="P3372" t="str">
        <f t="shared" si="15"/>
        <v/>
      </c>
    </row>
    <row r="3373" spans="16:16" hidden="1" x14ac:dyDescent="0.45">
      <c r="P3373" t="str">
        <f t="shared" si="15"/>
        <v/>
      </c>
    </row>
    <row r="3374" spans="16:16" hidden="1" x14ac:dyDescent="0.45">
      <c r="P3374" t="str">
        <f t="shared" si="15"/>
        <v/>
      </c>
    </row>
    <row r="3375" spans="16:16" hidden="1" x14ac:dyDescent="0.45">
      <c r="P3375" t="str">
        <f t="shared" si="15"/>
        <v/>
      </c>
    </row>
    <row r="3376" spans="16:16" hidden="1" x14ac:dyDescent="0.45">
      <c r="P3376" t="str">
        <f t="shared" si="15"/>
        <v/>
      </c>
    </row>
    <row r="3377" spans="16:16" hidden="1" x14ac:dyDescent="0.45">
      <c r="P3377" t="str">
        <f t="shared" si="15"/>
        <v/>
      </c>
    </row>
    <row r="3378" spans="16:16" hidden="1" x14ac:dyDescent="0.45">
      <c r="P3378" t="str">
        <f t="shared" si="15"/>
        <v/>
      </c>
    </row>
    <row r="3379" spans="16:16" hidden="1" x14ac:dyDescent="0.45">
      <c r="P3379" t="str">
        <f t="shared" si="15"/>
        <v/>
      </c>
    </row>
    <row r="3380" spans="16:16" hidden="1" x14ac:dyDescent="0.45">
      <c r="P3380" t="str">
        <f t="shared" si="15"/>
        <v/>
      </c>
    </row>
    <row r="3381" spans="16:16" hidden="1" x14ac:dyDescent="0.45">
      <c r="P3381" t="str">
        <f t="shared" si="15"/>
        <v/>
      </c>
    </row>
    <row r="3382" spans="16:16" hidden="1" x14ac:dyDescent="0.45">
      <c r="P3382" t="str">
        <f t="shared" si="15"/>
        <v/>
      </c>
    </row>
    <row r="3383" spans="16:16" hidden="1" x14ac:dyDescent="0.45">
      <c r="P3383" t="str">
        <f t="shared" si="15"/>
        <v/>
      </c>
    </row>
    <row r="3384" spans="16:16" hidden="1" x14ac:dyDescent="0.45">
      <c r="P3384" t="str">
        <f t="shared" si="15"/>
        <v/>
      </c>
    </row>
    <row r="3385" spans="16:16" hidden="1" x14ac:dyDescent="0.45">
      <c r="P3385" t="str">
        <f t="shared" si="15"/>
        <v/>
      </c>
    </row>
    <row r="3386" spans="16:16" hidden="1" x14ac:dyDescent="0.45">
      <c r="P3386" t="str">
        <f t="shared" si="15"/>
        <v/>
      </c>
    </row>
    <row r="3387" spans="16:16" hidden="1" x14ac:dyDescent="0.45">
      <c r="P3387" t="str">
        <f t="shared" si="15"/>
        <v/>
      </c>
    </row>
    <row r="3388" spans="16:16" hidden="1" x14ac:dyDescent="0.45">
      <c r="P3388" t="str">
        <f t="shared" si="15"/>
        <v/>
      </c>
    </row>
    <row r="3389" spans="16:16" hidden="1" x14ac:dyDescent="0.45">
      <c r="P3389" t="str">
        <f t="shared" si="15"/>
        <v/>
      </c>
    </row>
    <row r="3390" spans="16:16" hidden="1" x14ac:dyDescent="0.45">
      <c r="P3390" t="str">
        <f t="shared" si="15"/>
        <v/>
      </c>
    </row>
    <row r="3391" spans="16:16" hidden="1" x14ac:dyDescent="0.45">
      <c r="P3391" t="str">
        <f t="shared" si="15"/>
        <v/>
      </c>
    </row>
    <row r="3392" spans="16:16" hidden="1" x14ac:dyDescent="0.45">
      <c r="P3392" t="str">
        <f t="shared" si="15"/>
        <v/>
      </c>
    </row>
    <row r="3393" spans="16:16" hidden="1" x14ac:dyDescent="0.45">
      <c r="P3393" t="str">
        <f t="shared" si="15"/>
        <v/>
      </c>
    </row>
    <row r="3394" spans="16:16" hidden="1" x14ac:dyDescent="0.45">
      <c r="P3394" t="str">
        <f t="shared" si="15"/>
        <v/>
      </c>
    </row>
    <row r="3395" spans="16:16" hidden="1" x14ac:dyDescent="0.45">
      <c r="P3395" t="str">
        <f t="shared" si="15"/>
        <v/>
      </c>
    </row>
    <row r="3396" spans="16:16" hidden="1" x14ac:dyDescent="0.45">
      <c r="P3396" t="str">
        <f t="shared" si="15"/>
        <v/>
      </c>
    </row>
    <row r="3397" spans="16:16" hidden="1" x14ac:dyDescent="0.45">
      <c r="P3397" t="str">
        <f t="shared" si="15"/>
        <v/>
      </c>
    </row>
    <row r="3398" spans="16:16" hidden="1" x14ac:dyDescent="0.45">
      <c r="P3398" t="str">
        <f t="shared" si="15"/>
        <v/>
      </c>
    </row>
    <row r="3399" spans="16:16" hidden="1" x14ac:dyDescent="0.45">
      <c r="P3399" t="str">
        <f t="shared" si="15"/>
        <v/>
      </c>
    </row>
    <row r="3400" spans="16:16" hidden="1" x14ac:dyDescent="0.45">
      <c r="P3400" t="str">
        <f t="shared" si="15"/>
        <v/>
      </c>
    </row>
    <row r="3401" spans="16:16" hidden="1" x14ac:dyDescent="0.45">
      <c r="P3401" t="str">
        <f t="shared" si="15"/>
        <v/>
      </c>
    </row>
    <row r="3402" spans="16:16" hidden="1" x14ac:dyDescent="0.45">
      <c r="P3402" t="str">
        <f t="shared" ref="P3402:P3465" si="16">IF(ISBLANK(O3402),IF(ISNUMBER(SEARCH("H",A3402)),IF(E3402&lt;8000,"E",IF(E3402&lt;19000,"P","F")),IF(ISNUMBER(SEARCH("I",A3402)),IF(E3402&lt;7000,"E",IF(E3402&lt;19000,"P","F")),"")),"")</f>
        <v/>
      </c>
    </row>
    <row r="3403" spans="16:16" hidden="1" x14ac:dyDescent="0.45">
      <c r="P3403" t="str">
        <f t="shared" si="16"/>
        <v/>
      </c>
    </row>
    <row r="3404" spans="16:16" hidden="1" x14ac:dyDescent="0.45">
      <c r="P3404" t="str">
        <f t="shared" si="16"/>
        <v/>
      </c>
    </row>
    <row r="3405" spans="16:16" hidden="1" x14ac:dyDescent="0.45">
      <c r="P3405" t="str">
        <f t="shared" si="16"/>
        <v/>
      </c>
    </row>
    <row r="3406" spans="16:16" hidden="1" x14ac:dyDescent="0.45">
      <c r="P3406" t="str">
        <f t="shared" si="16"/>
        <v/>
      </c>
    </row>
    <row r="3407" spans="16:16" hidden="1" x14ac:dyDescent="0.45">
      <c r="P3407" t="str">
        <f t="shared" si="16"/>
        <v/>
      </c>
    </row>
    <row r="3408" spans="16:16" hidden="1" x14ac:dyDescent="0.45">
      <c r="P3408" t="str">
        <f t="shared" si="16"/>
        <v/>
      </c>
    </row>
    <row r="3409" spans="16:16" hidden="1" x14ac:dyDescent="0.45">
      <c r="P3409" t="str">
        <f t="shared" si="16"/>
        <v/>
      </c>
    </row>
    <row r="3410" spans="16:16" hidden="1" x14ac:dyDescent="0.45">
      <c r="P3410" t="str">
        <f t="shared" si="16"/>
        <v/>
      </c>
    </row>
    <row r="3411" spans="16:16" hidden="1" x14ac:dyDescent="0.45">
      <c r="P3411" t="str">
        <f t="shared" si="16"/>
        <v/>
      </c>
    </row>
    <row r="3412" spans="16:16" hidden="1" x14ac:dyDescent="0.45">
      <c r="P3412" t="str">
        <f t="shared" si="16"/>
        <v/>
      </c>
    </row>
    <row r="3413" spans="16:16" hidden="1" x14ac:dyDescent="0.45">
      <c r="P3413" t="str">
        <f t="shared" si="16"/>
        <v/>
      </c>
    </row>
    <row r="3414" spans="16:16" hidden="1" x14ac:dyDescent="0.45">
      <c r="P3414" t="str">
        <f t="shared" si="16"/>
        <v/>
      </c>
    </row>
    <row r="3415" spans="16:16" hidden="1" x14ac:dyDescent="0.45">
      <c r="P3415" t="str">
        <f t="shared" si="16"/>
        <v/>
      </c>
    </row>
    <row r="3416" spans="16:16" hidden="1" x14ac:dyDescent="0.45">
      <c r="P3416" t="str">
        <f t="shared" si="16"/>
        <v/>
      </c>
    </row>
    <row r="3417" spans="16:16" hidden="1" x14ac:dyDescent="0.45">
      <c r="P3417" t="str">
        <f t="shared" si="16"/>
        <v/>
      </c>
    </row>
    <row r="3418" spans="16:16" hidden="1" x14ac:dyDescent="0.45">
      <c r="P3418" t="str">
        <f t="shared" si="16"/>
        <v/>
      </c>
    </row>
    <row r="3419" spans="16:16" hidden="1" x14ac:dyDescent="0.45">
      <c r="P3419" t="str">
        <f t="shared" si="16"/>
        <v/>
      </c>
    </row>
    <row r="3420" spans="16:16" hidden="1" x14ac:dyDescent="0.45">
      <c r="P3420" t="str">
        <f t="shared" si="16"/>
        <v/>
      </c>
    </row>
    <row r="3421" spans="16:16" hidden="1" x14ac:dyDescent="0.45">
      <c r="P3421" t="str">
        <f t="shared" si="16"/>
        <v/>
      </c>
    </row>
    <row r="3422" spans="16:16" hidden="1" x14ac:dyDescent="0.45">
      <c r="P3422" t="str">
        <f t="shared" si="16"/>
        <v/>
      </c>
    </row>
    <row r="3423" spans="16:16" hidden="1" x14ac:dyDescent="0.45">
      <c r="P3423" t="str">
        <f t="shared" si="16"/>
        <v/>
      </c>
    </row>
    <row r="3424" spans="16:16" hidden="1" x14ac:dyDescent="0.45">
      <c r="P3424" t="str">
        <f t="shared" si="16"/>
        <v/>
      </c>
    </row>
    <row r="3425" spans="16:16" hidden="1" x14ac:dyDescent="0.45">
      <c r="P3425" t="str">
        <f t="shared" si="16"/>
        <v/>
      </c>
    </row>
    <row r="3426" spans="16:16" hidden="1" x14ac:dyDescent="0.45">
      <c r="P3426" t="str">
        <f t="shared" si="16"/>
        <v/>
      </c>
    </row>
    <row r="3427" spans="16:16" hidden="1" x14ac:dyDescent="0.45">
      <c r="P3427" t="str">
        <f t="shared" si="16"/>
        <v/>
      </c>
    </row>
    <row r="3428" spans="16:16" hidden="1" x14ac:dyDescent="0.45">
      <c r="P3428" t="str">
        <f t="shared" si="16"/>
        <v/>
      </c>
    </row>
    <row r="3429" spans="16:16" hidden="1" x14ac:dyDescent="0.45">
      <c r="P3429" t="str">
        <f t="shared" si="16"/>
        <v/>
      </c>
    </row>
    <row r="3430" spans="16:16" hidden="1" x14ac:dyDescent="0.45">
      <c r="P3430" t="str">
        <f t="shared" si="16"/>
        <v/>
      </c>
    </row>
    <row r="3431" spans="16:16" hidden="1" x14ac:dyDescent="0.45">
      <c r="P3431" t="str">
        <f t="shared" si="16"/>
        <v/>
      </c>
    </row>
    <row r="3432" spans="16:16" hidden="1" x14ac:dyDescent="0.45">
      <c r="P3432" t="str">
        <f t="shared" si="16"/>
        <v/>
      </c>
    </row>
    <row r="3433" spans="16:16" hidden="1" x14ac:dyDescent="0.45">
      <c r="P3433" t="str">
        <f t="shared" si="16"/>
        <v/>
      </c>
    </row>
    <row r="3434" spans="16:16" hidden="1" x14ac:dyDescent="0.45">
      <c r="P3434" t="str">
        <f t="shared" si="16"/>
        <v/>
      </c>
    </row>
    <row r="3435" spans="16:16" hidden="1" x14ac:dyDescent="0.45">
      <c r="P3435" t="str">
        <f t="shared" si="16"/>
        <v/>
      </c>
    </row>
    <row r="3436" spans="16:16" hidden="1" x14ac:dyDescent="0.45">
      <c r="P3436" t="str">
        <f t="shared" si="16"/>
        <v/>
      </c>
    </row>
    <row r="3437" spans="16:16" hidden="1" x14ac:dyDescent="0.45">
      <c r="P3437" t="str">
        <f t="shared" si="16"/>
        <v/>
      </c>
    </row>
    <row r="3438" spans="16:16" hidden="1" x14ac:dyDescent="0.45">
      <c r="P3438" t="str">
        <f t="shared" si="16"/>
        <v/>
      </c>
    </row>
    <row r="3439" spans="16:16" hidden="1" x14ac:dyDescent="0.45">
      <c r="P3439" t="str">
        <f t="shared" si="16"/>
        <v/>
      </c>
    </row>
    <row r="3440" spans="16:16" hidden="1" x14ac:dyDescent="0.45">
      <c r="P3440" t="str">
        <f t="shared" si="16"/>
        <v/>
      </c>
    </row>
    <row r="3441" spans="16:16" hidden="1" x14ac:dyDescent="0.45">
      <c r="P3441" t="str">
        <f t="shared" si="16"/>
        <v/>
      </c>
    </row>
    <row r="3442" spans="16:16" hidden="1" x14ac:dyDescent="0.45">
      <c r="P3442" t="str">
        <f t="shared" si="16"/>
        <v/>
      </c>
    </row>
    <row r="3443" spans="16:16" hidden="1" x14ac:dyDescent="0.45">
      <c r="P3443" t="str">
        <f t="shared" si="16"/>
        <v/>
      </c>
    </row>
    <row r="3444" spans="16:16" hidden="1" x14ac:dyDescent="0.45">
      <c r="P3444" t="str">
        <f t="shared" si="16"/>
        <v/>
      </c>
    </row>
    <row r="3445" spans="16:16" hidden="1" x14ac:dyDescent="0.45">
      <c r="P3445" t="str">
        <f t="shared" si="16"/>
        <v/>
      </c>
    </row>
    <row r="3446" spans="16:16" hidden="1" x14ac:dyDescent="0.45">
      <c r="P3446" t="str">
        <f t="shared" si="16"/>
        <v/>
      </c>
    </row>
    <row r="3447" spans="16:16" hidden="1" x14ac:dyDescent="0.45">
      <c r="P3447" t="str">
        <f t="shared" si="16"/>
        <v/>
      </c>
    </row>
    <row r="3448" spans="16:16" hidden="1" x14ac:dyDescent="0.45">
      <c r="P3448" t="str">
        <f t="shared" si="16"/>
        <v/>
      </c>
    </row>
    <row r="3449" spans="16:16" hidden="1" x14ac:dyDescent="0.45">
      <c r="P3449" t="str">
        <f t="shared" si="16"/>
        <v/>
      </c>
    </row>
    <row r="3450" spans="16:16" hidden="1" x14ac:dyDescent="0.45">
      <c r="P3450" t="str">
        <f t="shared" si="16"/>
        <v/>
      </c>
    </row>
    <row r="3451" spans="16:16" hidden="1" x14ac:dyDescent="0.45">
      <c r="P3451" t="str">
        <f t="shared" si="16"/>
        <v/>
      </c>
    </row>
    <row r="3452" spans="16:16" hidden="1" x14ac:dyDescent="0.45">
      <c r="P3452" t="str">
        <f t="shared" si="16"/>
        <v/>
      </c>
    </row>
    <row r="3453" spans="16:16" hidden="1" x14ac:dyDescent="0.45">
      <c r="P3453" t="str">
        <f t="shared" si="16"/>
        <v/>
      </c>
    </row>
    <row r="3454" spans="16:16" hidden="1" x14ac:dyDescent="0.45">
      <c r="P3454" t="str">
        <f t="shared" si="16"/>
        <v/>
      </c>
    </row>
    <row r="3455" spans="16:16" hidden="1" x14ac:dyDescent="0.45">
      <c r="P3455" t="str">
        <f t="shared" si="16"/>
        <v/>
      </c>
    </row>
    <row r="3456" spans="16:16" hidden="1" x14ac:dyDescent="0.45">
      <c r="P3456" t="str">
        <f t="shared" si="16"/>
        <v/>
      </c>
    </row>
    <row r="3457" spans="16:16" hidden="1" x14ac:dyDescent="0.45">
      <c r="P3457" t="str">
        <f t="shared" si="16"/>
        <v/>
      </c>
    </row>
    <row r="3458" spans="16:16" hidden="1" x14ac:dyDescent="0.45">
      <c r="P3458" t="str">
        <f t="shared" si="16"/>
        <v/>
      </c>
    </row>
    <row r="3459" spans="16:16" hidden="1" x14ac:dyDescent="0.45">
      <c r="P3459" t="str">
        <f t="shared" si="16"/>
        <v/>
      </c>
    </row>
    <row r="3460" spans="16:16" hidden="1" x14ac:dyDescent="0.45">
      <c r="P3460" t="str">
        <f t="shared" si="16"/>
        <v/>
      </c>
    </row>
    <row r="3461" spans="16:16" hidden="1" x14ac:dyDescent="0.45">
      <c r="P3461" t="str">
        <f t="shared" si="16"/>
        <v/>
      </c>
    </row>
    <row r="3462" spans="16:16" hidden="1" x14ac:dyDescent="0.45">
      <c r="P3462" t="str">
        <f t="shared" si="16"/>
        <v/>
      </c>
    </row>
    <row r="3463" spans="16:16" hidden="1" x14ac:dyDescent="0.45">
      <c r="P3463" t="str">
        <f t="shared" si="16"/>
        <v/>
      </c>
    </row>
    <row r="3464" spans="16:16" hidden="1" x14ac:dyDescent="0.45">
      <c r="P3464" t="str">
        <f t="shared" si="16"/>
        <v/>
      </c>
    </row>
    <row r="3465" spans="16:16" hidden="1" x14ac:dyDescent="0.45">
      <c r="P3465" t="str">
        <f t="shared" si="16"/>
        <v/>
      </c>
    </row>
    <row r="3466" spans="16:16" hidden="1" x14ac:dyDescent="0.45">
      <c r="P3466" t="str">
        <f t="shared" ref="P3466:P3514" si="17">IF(ISBLANK(O3466),IF(ISNUMBER(SEARCH("H",A3466)),IF(E3466&lt;8000,"E",IF(E3466&lt;19000,"P","F")),IF(ISNUMBER(SEARCH("I",A3466)),IF(E3466&lt;7000,"E",IF(E3466&lt;19000,"P","F")),"")),"")</f>
        <v/>
      </c>
    </row>
    <row r="3467" spans="16:16" hidden="1" x14ac:dyDescent="0.45">
      <c r="P3467" t="str">
        <f t="shared" si="17"/>
        <v/>
      </c>
    </row>
    <row r="3468" spans="16:16" hidden="1" x14ac:dyDescent="0.45">
      <c r="P3468" t="str">
        <f t="shared" si="17"/>
        <v/>
      </c>
    </row>
    <row r="3469" spans="16:16" hidden="1" x14ac:dyDescent="0.45">
      <c r="P3469" t="str">
        <f t="shared" si="17"/>
        <v/>
      </c>
    </row>
    <row r="3470" spans="16:16" hidden="1" x14ac:dyDescent="0.45">
      <c r="P3470" t="str">
        <f t="shared" si="17"/>
        <v/>
      </c>
    </row>
    <row r="3471" spans="16:16" hidden="1" x14ac:dyDescent="0.45">
      <c r="P3471" t="str">
        <f t="shared" si="17"/>
        <v/>
      </c>
    </row>
    <row r="3472" spans="16:16" hidden="1" x14ac:dyDescent="0.45">
      <c r="P3472" t="str">
        <f t="shared" si="17"/>
        <v/>
      </c>
    </row>
    <row r="3473" spans="16:16" hidden="1" x14ac:dyDescent="0.45">
      <c r="P3473" t="str">
        <f t="shared" si="17"/>
        <v/>
      </c>
    </row>
    <row r="3474" spans="16:16" hidden="1" x14ac:dyDescent="0.45">
      <c r="P3474" t="str">
        <f t="shared" si="17"/>
        <v/>
      </c>
    </row>
    <row r="3475" spans="16:16" hidden="1" x14ac:dyDescent="0.45">
      <c r="P3475" t="str">
        <f t="shared" si="17"/>
        <v/>
      </c>
    </row>
    <row r="3476" spans="16:16" hidden="1" x14ac:dyDescent="0.45">
      <c r="P3476" t="str">
        <f t="shared" si="17"/>
        <v/>
      </c>
    </row>
    <row r="3477" spans="16:16" hidden="1" x14ac:dyDescent="0.45">
      <c r="P3477" t="str">
        <f t="shared" si="17"/>
        <v/>
      </c>
    </row>
    <row r="3478" spans="16:16" hidden="1" x14ac:dyDescent="0.45">
      <c r="P3478" t="str">
        <f t="shared" si="17"/>
        <v/>
      </c>
    </row>
    <row r="3479" spans="16:16" hidden="1" x14ac:dyDescent="0.45">
      <c r="P3479" t="str">
        <f t="shared" si="17"/>
        <v/>
      </c>
    </row>
    <row r="3480" spans="16:16" hidden="1" x14ac:dyDescent="0.45">
      <c r="P3480" t="str">
        <f t="shared" si="17"/>
        <v/>
      </c>
    </row>
    <row r="3481" spans="16:16" hidden="1" x14ac:dyDescent="0.45">
      <c r="P3481" t="str">
        <f t="shared" si="17"/>
        <v/>
      </c>
    </row>
    <row r="3482" spans="16:16" hidden="1" x14ac:dyDescent="0.45">
      <c r="P3482" t="str">
        <f t="shared" si="17"/>
        <v/>
      </c>
    </row>
    <row r="3483" spans="16:16" hidden="1" x14ac:dyDescent="0.45">
      <c r="P3483" t="str">
        <f t="shared" si="17"/>
        <v/>
      </c>
    </row>
    <row r="3484" spans="16:16" hidden="1" x14ac:dyDescent="0.45">
      <c r="P3484" t="str">
        <f t="shared" si="17"/>
        <v/>
      </c>
    </row>
    <row r="3485" spans="16:16" hidden="1" x14ac:dyDescent="0.45">
      <c r="P3485" t="str">
        <f t="shared" si="17"/>
        <v/>
      </c>
    </row>
    <row r="3486" spans="16:16" hidden="1" x14ac:dyDescent="0.45">
      <c r="P3486" t="str">
        <f t="shared" si="17"/>
        <v/>
      </c>
    </row>
    <row r="3487" spans="16:16" hidden="1" x14ac:dyDescent="0.45">
      <c r="P3487" t="str">
        <f t="shared" si="17"/>
        <v/>
      </c>
    </row>
    <row r="3488" spans="16:16" hidden="1" x14ac:dyDescent="0.45">
      <c r="P3488" t="str">
        <f t="shared" si="17"/>
        <v/>
      </c>
    </row>
    <row r="3489" spans="16:16" hidden="1" x14ac:dyDescent="0.45">
      <c r="P3489" t="str">
        <f t="shared" si="17"/>
        <v/>
      </c>
    </row>
    <row r="3490" spans="16:16" hidden="1" x14ac:dyDescent="0.45">
      <c r="P3490" t="str">
        <f t="shared" si="17"/>
        <v/>
      </c>
    </row>
    <row r="3491" spans="16:16" hidden="1" x14ac:dyDescent="0.45">
      <c r="P3491" t="str">
        <f t="shared" si="17"/>
        <v/>
      </c>
    </row>
    <row r="3492" spans="16:16" hidden="1" x14ac:dyDescent="0.45">
      <c r="P3492" t="str">
        <f t="shared" si="17"/>
        <v/>
      </c>
    </row>
    <row r="3493" spans="16:16" hidden="1" x14ac:dyDescent="0.45">
      <c r="P3493" t="str">
        <f t="shared" si="17"/>
        <v/>
      </c>
    </row>
    <row r="3494" spans="16:16" hidden="1" x14ac:dyDescent="0.45">
      <c r="P3494" t="str">
        <f t="shared" si="17"/>
        <v/>
      </c>
    </row>
    <row r="3495" spans="16:16" hidden="1" x14ac:dyDescent="0.45">
      <c r="P3495" t="str">
        <f t="shared" si="17"/>
        <v/>
      </c>
    </row>
    <row r="3496" spans="16:16" hidden="1" x14ac:dyDescent="0.45">
      <c r="P3496" t="str">
        <f t="shared" si="17"/>
        <v/>
      </c>
    </row>
    <row r="3497" spans="16:16" hidden="1" x14ac:dyDescent="0.45">
      <c r="P3497" t="str">
        <f t="shared" si="17"/>
        <v/>
      </c>
    </row>
    <row r="3498" spans="16:16" hidden="1" x14ac:dyDescent="0.45">
      <c r="P3498" t="str">
        <f t="shared" si="17"/>
        <v/>
      </c>
    </row>
    <row r="3499" spans="16:16" hidden="1" x14ac:dyDescent="0.45">
      <c r="P3499" t="str">
        <f t="shared" si="17"/>
        <v/>
      </c>
    </row>
    <row r="3500" spans="16:16" hidden="1" x14ac:dyDescent="0.45">
      <c r="P3500" t="str">
        <f t="shared" si="17"/>
        <v/>
      </c>
    </row>
    <row r="3501" spans="16:16" hidden="1" x14ac:dyDescent="0.45">
      <c r="P3501" t="str">
        <f t="shared" si="17"/>
        <v/>
      </c>
    </row>
    <row r="3502" spans="16:16" hidden="1" x14ac:dyDescent="0.45">
      <c r="P3502" t="str">
        <f t="shared" si="17"/>
        <v/>
      </c>
    </row>
    <row r="3503" spans="16:16" hidden="1" x14ac:dyDescent="0.45">
      <c r="P3503" t="str">
        <f t="shared" si="17"/>
        <v/>
      </c>
    </row>
    <row r="3504" spans="16:16" hidden="1" x14ac:dyDescent="0.45">
      <c r="P3504" t="str">
        <f t="shared" si="17"/>
        <v/>
      </c>
    </row>
    <row r="3505" spans="16:16" hidden="1" x14ac:dyDescent="0.45">
      <c r="P3505" t="str">
        <f t="shared" si="17"/>
        <v/>
      </c>
    </row>
    <row r="3506" spans="16:16" hidden="1" x14ac:dyDescent="0.45">
      <c r="P3506" t="str">
        <f t="shared" si="17"/>
        <v/>
      </c>
    </row>
    <row r="3507" spans="16:16" hidden="1" x14ac:dyDescent="0.45">
      <c r="P3507" t="str">
        <f t="shared" si="17"/>
        <v/>
      </c>
    </row>
    <row r="3508" spans="16:16" hidden="1" x14ac:dyDescent="0.45">
      <c r="P3508" t="str">
        <f t="shared" si="17"/>
        <v/>
      </c>
    </row>
    <row r="3509" spans="16:16" hidden="1" x14ac:dyDescent="0.45">
      <c r="P3509" t="str">
        <f t="shared" si="17"/>
        <v/>
      </c>
    </row>
    <row r="3510" spans="16:16" hidden="1" x14ac:dyDescent="0.45">
      <c r="P3510" t="str">
        <f t="shared" si="17"/>
        <v/>
      </c>
    </row>
    <row r="3511" spans="16:16" hidden="1" x14ac:dyDescent="0.45">
      <c r="P3511" t="str">
        <f t="shared" si="17"/>
        <v/>
      </c>
    </row>
    <row r="3512" spans="16:16" hidden="1" x14ac:dyDescent="0.45">
      <c r="P3512" t="str">
        <f t="shared" si="17"/>
        <v/>
      </c>
    </row>
    <row r="3513" spans="16:16" hidden="1" x14ac:dyDescent="0.45">
      <c r="P3513" t="str">
        <f t="shared" si="17"/>
        <v/>
      </c>
    </row>
    <row r="3514" spans="16:16" hidden="1" x14ac:dyDescent="0.45">
      <c r="P3514" t="str">
        <f t="shared" si="17"/>
        <v/>
      </c>
    </row>
  </sheetData>
  <conditionalFormatting sqref="N3:N2377">
    <cfRule type="cellIs" dxfId="88" priority="6" operator="equal">
      <formula>"DONE"</formula>
    </cfRule>
  </conditionalFormatting>
  <conditionalFormatting sqref="P3:P2377">
    <cfRule type="cellIs" dxfId="87" priority="5" operator="notEqual">
      <formula>""</formula>
    </cfRule>
  </conditionalFormatting>
  <conditionalFormatting sqref="A3:A2377">
    <cfRule type="expression" dxfId="86" priority="4">
      <formula>($N3="DONE")</formula>
    </cfRule>
  </conditionalFormatting>
  <conditionalFormatting sqref="Q3:Q2377">
    <cfRule type="containsText" dxfId="85" priority="3" operator="containsText" text="NEW">
      <formula>NOT(ISERROR(SEARCH("NEW",Q3)))</formula>
    </cfRule>
    <cfRule type="containsText" dxfId="84" priority="2" operator="containsText" text="REJECTED">
      <formula>NOT(ISERROR(SEARCH("REJECTED",Q3)))</formula>
    </cfRule>
    <cfRule type="containsText" dxfId="83" priority="1" operator="containsText" text="RETURNED">
      <formula>NOT(ISERROR(SEARCH("RETURNED",Q3)))</formula>
    </cfRule>
  </conditionalFormatting>
  <dataValidations count="2">
    <dataValidation type="list" showInputMessage="1" sqref="B2382:B2384" xr:uid="{C47D4E84-28C2-444D-A267-29FAEC7C9285}">
      <formula1>"DANA,KLLM"</formula1>
    </dataValidation>
    <dataValidation type="list" allowBlank="1" showInputMessage="1" sqref="G2380:G2381" xr:uid="{E30EFC72-8625-4722-8662-3222F7910093}">
      <formula1>",1,2"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85" r:id="rId4" name="Tools_Button">
          <controlPr defaultSize="0" autoLine="0" r:id="rId5">
            <anchor moveWithCells="1">
              <from>
                <xdr:col>7</xdr:col>
                <xdr:colOff>61913</xdr:colOff>
                <xdr:row>0</xdr:row>
                <xdr:rowOff>0</xdr:rowOff>
              </from>
              <to>
                <xdr:col>7</xdr:col>
                <xdr:colOff>1333500</xdr:colOff>
                <xdr:row>1</xdr:row>
                <xdr:rowOff>0</xdr:rowOff>
              </to>
            </anchor>
          </controlPr>
        </control>
      </mc:Choice>
      <mc:Fallback>
        <control shapeId="15385" r:id="rId4" name="Tools_Button"/>
      </mc:Fallback>
    </mc:AlternateContent>
    <mc:AlternateContent xmlns:mc="http://schemas.openxmlformats.org/markup-compatibility/2006">
      <mc:Choice Requires="x14">
        <control shapeId="15384" r:id="rId6" name="Next_Line_Button">
          <controlPr defaultSize="0" autoLine="0" r:id="rId7">
            <anchor moveWithCells="1">
              <from>
                <xdr:col>5</xdr:col>
                <xdr:colOff>1262063</xdr:colOff>
                <xdr:row>0</xdr:row>
                <xdr:rowOff>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5384" r:id="rId6" name="Next_Line_Button"/>
      </mc:Fallback>
    </mc:AlternateContent>
    <mc:AlternateContent xmlns:mc="http://schemas.openxmlformats.org/markup-compatibility/2006">
      <mc:Choice Requires="x14">
        <control shapeId="15383" r:id="rId8" name="Dashboard_Button">
          <controlPr defaultSize="0" autoLine="0" r:id="rId9">
            <anchor moveWithCells="1">
              <from>
                <xdr:col>4</xdr:col>
                <xdr:colOff>847725</xdr:colOff>
                <xdr:row>0</xdr:row>
                <xdr:rowOff>0</xdr:rowOff>
              </from>
              <to>
                <xdr:col>5</xdr:col>
                <xdr:colOff>1200150</xdr:colOff>
                <xdr:row>1</xdr:row>
                <xdr:rowOff>0</xdr:rowOff>
              </to>
            </anchor>
          </controlPr>
        </control>
      </mc:Choice>
      <mc:Fallback>
        <control shapeId="15383" r:id="rId8" name="Dashboard_Button"/>
      </mc:Fallback>
    </mc:AlternateContent>
    <mc:AlternateContent xmlns:mc="http://schemas.openxmlformats.org/markup-compatibility/2006">
      <mc:Choice Requires="x14">
        <control shapeId="15381" r:id="rId10" name="Edit_Tank_Entry_Button">
          <controlPr defaultSize="0" autoLine="0" r:id="rId11">
            <anchor moveWithCells="1">
              <from>
                <xdr:col>3</xdr:col>
                <xdr:colOff>504825</xdr:colOff>
                <xdr:row>0</xdr:row>
                <xdr:rowOff>0</xdr:rowOff>
              </from>
              <to>
                <xdr:col>4</xdr:col>
                <xdr:colOff>785813</xdr:colOff>
                <xdr:row>1</xdr:row>
                <xdr:rowOff>0</xdr:rowOff>
              </to>
            </anchor>
          </controlPr>
        </control>
      </mc:Choice>
      <mc:Fallback>
        <control shapeId="15381" r:id="rId10" name="Edit_Tank_Entry_Button"/>
      </mc:Fallback>
    </mc:AlternateContent>
    <mc:AlternateContent xmlns:mc="http://schemas.openxmlformats.org/markup-compatibility/2006">
      <mc:Choice Requires="x14">
        <control shapeId="15379" r:id="rId12" name="Add_Tank_Entry_Button">
          <controlPr defaultSize="0" autoFill="0" autoLine="0" r:id="rId13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1166813</xdr:colOff>
                <xdr:row>1</xdr:row>
                <xdr:rowOff>0</xdr:rowOff>
              </to>
            </anchor>
          </controlPr>
        </control>
      </mc:Choice>
      <mc:Fallback>
        <control shapeId="15379" r:id="rId12" name="Add_Tank_Entry_Button"/>
      </mc:Fallback>
    </mc:AlternateContent>
    <mc:AlternateContent xmlns:mc="http://schemas.openxmlformats.org/markup-compatibility/2006">
      <mc:Choice Requires="x14">
        <control shapeId="15380" r:id="rId14" name="Weigh_Out_Tank_Entry_Button">
          <controlPr defaultSize="0" autoLine="0" r:id="rId15">
            <anchor moveWithCells="1">
              <from>
                <xdr:col>1</xdr:col>
                <xdr:colOff>1228725</xdr:colOff>
                <xdr:row>0</xdr:row>
                <xdr:rowOff>0</xdr:rowOff>
              </from>
              <to>
                <xdr:col>3</xdr:col>
                <xdr:colOff>442913</xdr:colOff>
                <xdr:row>1</xdr:row>
                <xdr:rowOff>0</xdr:rowOff>
              </to>
            </anchor>
          </controlPr>
        </control>
      </mc:Choice>
      <mc:Fallback>
        <control shapeId="15380" r:id="rId14" name="Weigh_Out_Tank_Entry_Button"/>
      </mc:Fallback>
    </mc:AlternateContent>
  </controls>
  <tableParts count="2">
    <tablePart r:id="rId16"/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ternal_Storage_Log"/>
  <dimension ref="A1:L42"/>
  <sheetViews>
    <sheetView showGridLines="0" showRowColHeaders="0" zoomScale="137" zoomScaleNormal="137" zoomScaleSheetLayoutView="115" workbookViewId="0">
      <selection activeCell="L5" sqref="L5"/>
    </sheetView>
  </sheetViews>
  <sheetFormatPr defaultColWidth="0" defaultRowHeight="0" customHeight="1" zeroHeight="1" x14ac:dyDescent="0.45"/>
  <cols>
    <col min="1" max="1" width="5.6640625" style="2" customWidth="1"/>
    <col min="2" max="2" width="14.06640625" style="2" customWidth="1"/>
    <col min="3" max="3" width="13.73046875" style="2" customWidth="1"/>
    <col min="4" max="4" width="27.9296875" style="2" customWidth="1"/>
    <col min="5" max="5" width="9.9296875" style="2" customWidth="1"/>
    <col min="6" max="6" width="14.06640625" style="2" customWidth="1"/>
    <col min="7" max="7" width="10.3984375" style="2" customWidth="1"/>
    <col min="8" max="8" width="11.33203125" style="2" customWidth="1"/>
    <col min="9" max="9" width="14.46484375" style="2" customWidth="1"/>
    <col min="10" max="10" width="16" style="2" customWidth="1"/>
    <col min="11" max="11" width="25.6640625" style="2" customWidth="1"/>
    <col min="12" max="12" width="33.3984375" style="2" customWidth="1"/>
    <col min="13" max="16384" width="9.06640625" style="2" hidden="1"/>
  </cols>
  <sheetData>
    <row r="1" spans="1:12" ht="23.1" customHeight="1" x14ac:dyDescent="0.45">
      <c r="A1" s="34" t="s">
        <v>27</v>
      </c>
      <c r="B1" s="35"/>
      <c r="C1" s="35"/>
      <c r="D1" s="35"/>
      <c r="E1" s="35"/>
      <c r="F1" s="35"/>
      <c r="G1" s="35"/>
      <c r="H1" s="35"/>
      <c r="I1" s="35"/>
      <c r="J1" s="36"/>
      <c r="K1" s="3"/>
      <c r="L1" s="4"/>
    </row>
    <row r="2" spans="1:12" ht="20.100000000000001" customHeight="1" x14ac:dyDescent="0.45">
      <c r="A2" s="16" t="s">
        <v>2</v>
      </c>
      <c r="B2" s="17" t="s">
        <v>3</v>
      </c>
      <c r="C2" s="17" t="s">
        <v>4</v>
      </c>
      <c r="D2" s="17" t="s">
        <v>7</v>
      </c>
      <c r="E2" s="17" t="s">
        <v>9</v>
      </c>
      <c r="F2" s="17" t="s">
        <v>6</v>
      </c>
      <c r="G2" s="17" t="s">
        <v>23</v>
      </c>
      <c r="H2" s="17" t="s">
        <v>15</v>
      </c>
      <c r="I2" s="17" t="s">
        <v>18</v>
      </c>
      <c r="J2" s="17" t="s">
        <v>19</v>
      </c>
      <c r="K2" s="17" t="s">
        <v>29</v>
      </c>
      <c r="L2" s="24" t="s">
        <v>34</v>
      </c>
    </row>
    <row r="3" spans="1:12" ht="16.5" customHeight="1" x14ac:dyDescent="0.45">
      <c r="A3" s="25"/>
      <c r="B3" s="15"/>
      <c r="C3" s="15"/>
      <c r="D3" s="15"/>
      <c r="E3" s="19"/>
      <c r="F3" s="15"/>
      <c r="G3" s="15"/>
      <c r="H3" s="15"/>
      <c r="I3" s="15"/>
      <c r="J3" s="15"/>
      <c r="K3" s="15" t="str" cm="1">
        <f t="array" ref="K3">InternalRef(Internal_Log_1[[#This Row],[ID]])</f>
        <v/>
      </c>
      <c r="L3" s="15" t="str" cm="1">
        <f t="array" ref="L3">Internal_Main_Log_RefID(Internal_Log_1[[#This Row],[ID]])</f>
        <v/>
      </c>
    </row>
    <row r="4" spans="1:12" ht="16.5" customHeight="1" x14ac:dyDescent="0.45">
      <c r="A4" s="25"/>
      <c r="B4" s="15"/>
      <c r="C4" s="15"/>
      <c r="D4" s="15"/>
      <c r="E4" s="19"/>
      <c r="F4" s="15"/>
      <c r="G4" s="15"/>
      <c r="H4" s="15"/>
      <c r="I4" s="15"/>
      <c r="J4" s="15"/>
      <c r="K4" s="15" t="str" cm="1">
        <f t="array" ref="K4">InternalRef(Internal_Log_1[[#This Row],[ID]])</f>
        <v/>
      </c>
      <c r="L4" s="15" t="str" cm="1">
        <f t="array" ref="L4">Internal_Main_Log_RefID(Internal_Log_1[[#This Row],[ID]])</f>
        <v/>
      </c>
    </row>
    <row r="5" spans="1:12" ht="16.5" customHeight="1" x14ac:dyDescent="0.45">
      <c r="A5" s="25"/>
      <c r="B5" s="15"/>
      <c r="C5" s="15"/>
      <c r="D5" s="15"/>
      <c r="E5" s="15"/>
      <c r="F5" s="15"/>
      <c r="G5" s="15"/>
      <c r="H5" s="15"/>
      <c r="I5" s="15"/>
      <c r="J5" s="15"/>
      <c r="K5" s="15" t="str" cm="1">
        <f t="array" ref="K5">InternalRef(Internal_Log_1[[#This Row],[ID]])</f>
        <v/>
      </c>
      <c r="L5" s="15" t="str" cm="1">
        <f t="array" ref="L5">Internal_Main_Log_RefID(Internal_Log_1[[#This Row],[ID]])</f>
        <v/>
      </c>
    </row>
    <row r="6" spans="1:12" ht="16.5" customHeight="1" x14ac:dyDescent="0.45">
      <c r="A6" s="25"/>
      <c r="B6" s="15"/>
      <c r="C6" s="15"/>
      <c r="D6" s="15"/>
      <c r="E6" s="15"/>
      <c r="F6" s="15"/>
      <c r="G6" s="15"/>
      <c r="H6" s="15"/>
      <c r="I6" s="15"/>
      <c r="J6" s="15"/>
      <c r="K6" s="15" t="str" cm="1">
        <f t="array" ref="K6">InternalRef(Internal_Log_1[[#This Row],[ID]])</f>
        <v/>
      </c>
      <c r="L6" s="15" t="str" cm="1">
        <f t="array" ref="L6">Internal_Main_Log_RefID(Internal_Log_1[[#This Row],[ID]])</f>
        <v/>
      </c>
    </row>
    <row r="7" spans="1:12" ht="16.5" customHeight="1" x14ac:dyDescent="0.45">
      <c r="A7" s="25"/>
      <c r="B7" s="15"/>
      <c r="C7" s="15"/>
      <c r="D7" s="15"/>
      <c r="E7" s="15"/>
      <c r="F7" s="15"/>
      <c r="G7" s="15"/>
      <c r="H7" s="15"/>
      <c r="I7" s="15"/>
      <c r="J7" s="15"/>
      <c r="K7" s="15" t="str" cm="1">
        <f t="array" ref="K7">InternalRef(Internal_Log_1[[#This Row],[ID]])</f>
        <v/>
      </c>
      <c r="L7" s="15" t="str" cm="1">
        <f t="array" ref="L7">Internal_Main_Log_RefID(Internal_Log_1[[#This Row],[ID]])</f>
        <v/>
      </c>
    </row>
    <row r="8" spans="1:12" ht="16.5" customHeight="1" x14ac:dyDescent="0.45">
      <c r="A8" s="25"/>
      <c r="B8" s="15"/>
      <c r="C8" s="15"/>
      <c r="D8" s="15"/>
      <c r="E8" s="15"/>
      <c r="F8" s="15"/>
      <c r="G8" s="15"/>
      <c r="H8" s="15"/>
      <c r="I8" s="15"/>
      <c r="J8" s="15"/>
      <c r="K8" s="15" t="str" cm="1">
        <f t="array" ref="K8">InternalRef(Internal_Log_1[[#This Row],[ID]])</f>
        <v/>
      </c>
      <c r="L8" s="15" t="str" cm="1">
        <f t="array" ref="L8">Internal_Main_Log_RefID(Internal_Log_1[[#This Row],[ID]])</f>
        <v/>
      </c>
    </row>
    <row r="9" spans="1:12" ht="16.5" customHeight="1" x14ac:dyDescent="0.45">
      <c r="A9" s="25"/>
      <c r="B9" s="15"/>
      <c r="C9" s="15"/>
      <c r="D9" s="15"/>
      <c r="E9" s="15"/>
      <c r="F9" s="15"/>
      <c r="G9" s="15"/>
      <c r="H9" s="15"/>
      <c r="I9" s="15"/>
      <c r="J9" s="15"/>
      <c r="K9" s="15" t="str" cm="1">
        <f t="array" ref="K9">InternalRef(Internal_Log_1[[#This Row],[ID]])</f>
        <v/>
      </c>
      <c r="L9" s="15" t="str" cm="1">
        <f t="array" ref="L9">Internal_Main_Log_RefID(Internal_Log_1[[#This Row],[ID]])</f>
        <v/>
      </c>
    </row>
    <row r="10" spans="1:12" ht="16.5" customHeight="1" x14ac:dyDescent="0.45">
      <c r="A10" s="25"/>
      <c r="B10" s="15"/>
      <c r="C10" s="15"/>
      <c r="D10" s="15"/>
      <c r="E10" s="15"/>
      <c r="F10" s="15"/>
      <c r="G10" s="15"/>
      <c r="H10" s="15"/>
      <c r="I10" s="15"/>
      <c r="J10" s="15"/>
      <c r="K10" s="15" t="str" cm="1">
        <f t="array" ref="K10">InternalRef(Internal_Log_1[[#This Row],[ID]])</f>
        <v/>
      </c>
      <c r="L10" s="15" t="str" cm="1">
        <f t="array" ref="L10">Internal_Main_Log_RefID(Internal_Log_1[[#This Row],[ID]])</f>
        <v/>
      </c>
    </row>
    <row r="11" spans="1:12" ht="16.5" customHeight="1" x14ac:dyDescent="0.45">
      <c r="A11" s="25"/>
      <c r="B11" s="15"/>
      <c r="C11" s="15"/>
      <c r="D11" s="15"/>
      <c r="E11" s="15"/>
      <c r="F11" s="15"/>
      <c r="G11" s="15"/>
      <c r="H11" s="15"/>
      <c r="I11" s="15"/>
      <c r="J11" s="15"/>
      <c r="K11" s="15" t="str" cm="1">
        <f t="array" ref="K11">InternalRef(Internal_Log_1[[#This Row],[ID]])</f>
        <v/>
      </c>
      <c r="L11" s="15" t="str" cm="1">
        <f t="array" ref="L11">Internal_Main_Log_RefID(Internal_Log_1[[#This Row],[ID]])</f>
        <v/>
      </c>
    </row>
    <row r="12" spans="1:12" ht="16.5" customHeight="1" x14ac:dyDescent="0.45">
      <c r="A12" s="25"/>
      <c r="B12" s="15"/>
      <c r="C12" s="15"/>
      <c r="D12" s="15"/>
      <c r="E12" s="15"/>
      <c r="F12" s="15"/>
      <c r="G12" s="15"/>
      <c r="H12" s="15"/>
      <c r="I12" s="15"/>
      <c r="J12" s="15"/>
      <c r="K12" s="15" t="str" cm="1">
        <f t="array" ref="K12">InternalRef(Internal_Log_1[[#This Row],[ID]])</f>
        <v/>
      </c>
      <c r="L12" s="15" t="str" cm="1">
        <f t="array" ref="L12">Internal_Main_Log_RefID(Internal_Log_1[[#This Row],[ID]])</f>
        <v/>
      </c>
    </row>
    <row r="13" spans="1:12" ht="16.5" customHeight="1" x14ac:dyDescent="0.45">
      <c r="A13" s="25"/>
      <c r="B13" s="15"/>
      <c r="C13" s="15"/>
      <c r="D13" s="15"/>
      <c r="E13" s="15"/>
      <c r="F13" s="15"/>
      <c r="G13" s="15"/>
      <c r="H13" s="15"/>
      <c r="I13" s="15"/>
      <c r="J13" s="15"/>
      <c r="K13" s="15" t="str" cm="1">
        <f t="array" ref="K13">InternalRef(Internal_Log_1[[#This Row],[ID]])</f>
        <v/>
      </c>
      <c r="L13" s="15" t="str" cm="1">
        <f t="array" ref="L13">Internal_Main_Log_RefID(Internal_Log_1[[#This Row],[ID]])</f>
        <v/>
      </c>
    </row>
    <row r="14" spans="1:12" ht="16.5" customHeight="1" x14ac:dyDescent="0.45">
      <c r="A14" s="25"/>
      <c r="B14" s="15"/>
      <c r="C14" s="15"/>
      <c r="D14" s="15"/>
      <c r="E14" s="15"/>
      <c r="F14" s="15"/>
      <c r="G14" s="15"/>
      <c r="H14" s="15"/>
      <c r="I14" s="15"/>
      <c r="J14" s="15"/>
      <c r="K14" s="15" t="str" cm="1">
        <f t="array" ref="K14">InternalRef(Internal_Log_1[[#This Row],[ID]])</f>
        <v/>
      </c>
      <c r="L14" s="15" t="str" cm="1">
        <f t="array" ref="L14">Internal_Main_Log_RefID(Internal_Log_1[[#This Row],[ID]])</f>
        <v/>
      </c>
    </row>
    <row r="15" spans="1:12" ht="16.5" customHeight="1" x14ac:dyDescent="0.45">
      <c r="A15" s="25"/>
      <c r="B15" s="15"/>
      <c r="C15" s="15"/>
      <c r="D15" s="15"/>
      <c r="E15" s="15"/>
      <c r="F15" s="15"/>
      <c r="G15" s="15"/>
      <c r="H15" s="15"/>
      <c r="I15" s="15"/>
      <c r="J15" s="15"/>
      <c r="K15" s="15" t="str" cm="1">
        <f t="array" ref="K15">InternalRef(Internal_Log_1[[#This Row],[ID]])</f>
        <v/>
      </c>
      <c r="L15" s="15" t="str" cm="1">
        <f t="array" ref="L15">Internal_Main_Log_RefID(Internal_Log_1[[#This Row],[ID]])</f>
        <v/>
      </c>
    </row>
    <row r="16" spans="1:12" ht="16.5" customHeight="1" x14ac:dyDescent="0.45">
      <c r="A16" s="25"/>
      <c r="B16" s="15"/>
      <c r="C16" s="15"/>
      <c r="D16" s="15"/>
      <c r="E16" s="15"/>
      <c r="F16" s="15"/>
      <c r="G16" s="15"/>
      <c r="H16" s="15"/>
      <c r="I16" s="15"/>
      <c r="J16" s="15"/>
      <c r="K16" s="15" t="str" cm="1">
        <f t="array" ref="K16">InternalRef(Internal_Log_1[[#This Row],[ID]])</f>
        <v/>
      </c>
      <c r="L16" s="15" t="str" cm="1">
        <f t="array" ref="L16">Internal_Main_Log_RefID(Internal_Log_1[[#This Row],[ID]])</f>
        <v/>
      </c>
    </row>
    <row r="17" spans="1:12" ht="16.5" customHeight="1" x14ac:dyDescent="0.45">
      <c r="A17" s="25"/>
      <c r="B17" s="15"/>
      <c r="C17" s="15"/>
      <c r="D17" s="15"/>
      <c r="E17" s="15"/>
      <c r="F17" s="15"/>
      <c r="G17" s="15"/>
      <c r="H17" s="15"/>
      <c r="I17" s="15"/>
      <c r="J17" s="15"/>
      <c r="K17" s="15" t="str" cm="1">
        <f t="array" ref="K17">InternalRef(Internal_Log_1[[#This Row],[ID]])</f>
        <v/>
      </c>
      <c r="L17" s="15" t="str" cm="1">
        <f t="array" ref="L17">Internal_Main_Log_RefID(Internal_Log_1[[#This Row],[ID]])</f>
        <v/>
      </c>
    </row>
    <row r="18" spans="1:12" ht="16.5" customHeight="1" x14ac:dyDescent="0.45">
      <c r="A18" s="25"/>
      <c r="B18" s="15"/>
      <c r="C18" s="15"/>
      <c r="D18" s="15"/>
      <c r="E18" s="15"/>
      <c r="F18" s="15"/>
      <c r="G18" s="15"/>
      <c r="H18" s="15"/>
      <c r="I18" s="15"/>
      <c r="J18" s="15"/>
      <c r="K18" s="15" t="str" cm="1">
        <f t="array" ref="K18">InternalRef(Internal_Log_1[[#This Row],[ID]])</f>
        <v/>
      </c>
      <c r="L18" s="15" t="str" cm="1">
        <f t="array" ref="L18">Internal_Main_Log_RefID(Internal_Log_1[[#This Row],[ID]])</f>
        <v/>
      </c>
    </row>
    <row r="19" spans="1:12" ht="16.5" customHeight="1" x14ac:dyDescent="0.45">
      <c r="A19" s="25"/>
      <c r="B19" s="15"/>
      <c r="C19" s="15"/>
      <c r="D19" s="15"/>
      <c r="E19" s="15"/>
      <c r="F19" s="15"/>
      <c r="G19" s="15"/>
      <c r="H19" s="15"/>
      <c r="I19" s="15"/>
      <c r="J19" s="15"/>
      <c r="K19" s="15" t="str" cm="1">
        <f t="array" ref="K19">InternalRef(Internal_Log_1[[#This Row],[ID]])</f>
        <v/>
      </c>
      <c r="L19" s="15" t="str" cm="1">
        <f t="array" ref="L19">Internal_Main_Log_RefID(Internal_Log_1[[#This Row],[ID]])</f>
        <v/>
      </c>
    </row>
    <row r="20" spans="1:12" ht="16.5" customHeight="1" x14ac:dyDescent="0.45">
      <c r="A20" s="25"/>
      <c r="B20" s="15"/>
      <c r="C20" s="15"/>
      <c r="D20" s="15"/>
      <c r="E20" s="15"/>
      <c r="F20" s="15"/>
      <c r="G20" s="15"/>
      <c r="H20" s="15"/>
      <c r="I20" s="15"/>
      <c r="J20" s="15"/>
      <c r="K20" s="15" t="str" cm="1">
        <f t="array" ref="K20">InternalRef(Internal_Log_1[[#This Row],[ID]])</f>
        <v/>
      </c>
      <c r="L20" s="15" t="str" cm="1">
        <f t="array" ref="L20">Internal_Main_Log_RefID(Internal_Log_1[[#This Row],[ID]])</f>
        <v/>
      </c>
    </row>
    <row r="21" spans="1:12" ht="16.5" customHeight="1" x14ac:dyDescent="0.45">
      <c r="A21" s="25"/>
      <c r="B21" s="15"/>
      <c r="C21" s="15"/>
      <c r="D21" s="15"/>
      <c r="E21" s="15"/>
      <c r="F21" s="15"/>
      <c r="G21" s="15"/>
      <c r="H21" s="15"/>
      <c r="I21" s="15"/>
      <c r="J21" s="15"/>
      <c r="K21" s="15" t="str" cm="1">
        <f t="array" ref="K21">InternalRef(Internal_Log_1[[#This Row],[ID]])</f>
        <v/>
      </c>
      <c r="L21" s="15" t="str" cm="1">
        <f t="array" ref="L21">Internal_Main_Log_RefID(Internal_Log_1[[#This Row],[ID]])</f>
        <v/>
      </c>
    </row>
    <row r="22" spans="1:12" ht="16.5" customHeight="1" x14ac:dyDescent="0.45">
      <c r="A22" s="25"/>
      <c r="B22" s="15"/>
      <c r="C22" s="15"/>
      <c r="D22" s="15"/>
      <c r="E22" s="15"/>
      <c r="F22" s="15"/>
      <c r="G22" s="15"/>
      <c r="H22" s="15"/>
      <c r="I22" s="15"/>
      <c r="J22" s="15"/>
      <c r="K22" s="15" t="str" cm="1">
        <f t="array" ref="K22">InternalRef(Internal_Log_1[[#This Row],[ID]])</f>
        <v/>
      </c>
      <c r="L22" s="15" t="str" cm="1">
        <f t="array" ref="L22">Internal_Main_Log_RefID(Internal_Log_1[[#This Row],[ID]])</f>
        <v/>
      </c>
    </row>
    <row r="23" spans="1:12" ht="16.5" customHeight="1" x14ac:dyDescent="0.45">
      <c r="A23" s="25"/>
      <c r="B23" s="15"/>
      <c r="C23" s="15"/>
      <c r="D23" s="15"/>
      <c r="E23" s="15"/>
      <c r="F23" s="15"/>
      <c r="G23" s="15"/>
      <c r="H23" s="15"/>
      <c r="I23" s="15"/>
      <c r="J23" s="15"/>
      <c r="K23" s="15" t="str" cm="1">
        <f t="array" ref="K23">InternalRef(Internal_Log_1[[#This Row],[ID]])</f>
        <v/>
      </c>
      <c r="L23" s="15" t="str" cm="1">
        <f t="array" ref="L23">Internal_Main_Log_RefID(Internal_Log_1[[#This Row],[ID]])</f>
        <v/>
      </c>
    </row>
    <row r="24" spans="1:12" ht="16.5" customHeight="1" x14ac:dyDescent="0.45">
      <c r="A24" s="25"/>
      <c r="B24" s="15"/>
      <c r="C24" s="15"/>
      <c r="D24" s="15"/>
      <c r="E24" s="15"/>
      <c r="F24" s="15"/>
      <c r="G24" s="15"/>
      <c r="H24" s="15"/>
      <c r="I24" s="15"/>
      <c r="J24" s="15"/>
      <c r="K24" s="15" t="str" cm="1">
        <f t="array" ref="K24">InternalRef(Internal_Log_1[[#This Row],[ID]])</f>
        <v/>
      </c>
      <c r="L24" s="15" t="str" cm="1">
        <f t="array" ref="L24">Internal_Main_Log_RefID(Internal_Log_1[[#This Row],[ID]])</f>
        <v/>
      </c>
    </row>
    <row r="25" spans="1:12" ht="16.5" customHeight="1" x14ac:dyDescent="0.45">
      <c r="A25" s="25"/>
      <c r="B25" s="15"/>
      <c r="C25" s="15"/>
      <c r="D25" s="15"/>
      <c r="E25" s="15"/>
      <c r="F25" s="15"/>
      <c r="G25" s="15"/>
      <c r="H25" s="15"/>
      <c r="I25" s="15"/>
      <c r="J25" s="15"/>
      <c r="K25" s="15" t="str" cm="1">
        <f t="array" ref="K25">InternalRef(Internal_Log_1[[#This Row],[ID]])</f>
        <v/>
      </c>
      <c r="L25" s="15" t="str" cm="1">
        <f t="array" ref="L25">Internal_Main_Log_RefID(Internal_Log_1[[#This Row],[ID]])</f>
        <v/>
      </c>
    </row>
    <row r="26" spans="1:12" ht="16.5" customHeight="1" x14ac:dyDescent="0.45">
      <c r="A26" s="25"/>
      <c r="B26" s="15"/>
      <c r="C26" s="15"/>
      <c r="D26" s="15"/>
      <c r="E26" s="15"/>
      <c r="F26" s="15"/>
      <c r="G26" s="15"/>
      <c r="H26" s="15"/>
      <c r="I26" s="15"/>
      <c r="J26" s="15"/>
      <c r="K26" s="15" t="str" cm="1">
        <f t="array" ref="K26">InternalRef(Internal_Log_1[[#This Row],[ID]])</f>
        <v/>
      </c>
      <c r="L26" s="15" t="str" cm="1">
        <f t="array" ref="L26">Internal_Main_Log_RefID(Internal_Log_1[[#This Row],[ID]])</f>
        <v/>
      </c>
    </row>
    <row r="27" spans="1:12" ht="16.5" customHeight="1" x14ac:dyDescent="0.45">
      <c r="A27" s="25"/>
      <c r="B27" s="15"/>
      <c r="C27" s="15"/>
      <c r="D27" s="15"/>
      <c r="E27" s="15"/>
      <c r="F27" s="15"/>
      <c r="G27" s="15"/>
      <c r="H27" s="15"/>
      <c r="I27" s="15"/>
      <c r="J27" s="15"/>
      <c r="K27" s="15" t="str" cm="1">
        <f t="array" ref="K27">InternalRef(Internal_Log_1[[#This Row],[ID]])</f>
        <v/>
      </c>
      <c r="L27" s="15" t="str" cm="1">
        <f t="array" ref="L27">Internal_Main_Log_RefID(Internal_Log_1[[#This Row],[ID]])</f>
        <v/>
      </c>
    </row>
    <row r="28" spans="1:12" ht="16.5" customHeight="1" x14ac:dyDescent="0.45">
      <c r="A28" s="25"/>
      <c r="B28" s="15"/>
      <c r="C28" s="15"/>
      <c r="D28" s="15"/>
      <c r="E28" s="15"/>
      <c r="F28" s="15"/>
      <c r="G28" s="15"/>
      <c r="H28" s="15"/>
      <c r="I28" s="15"/>
      <c r="J28" s="15"/>
      <c r="K28" s="15" t="str" cm="1">
        <f t="array" ref="K28">InternalRef(Internal_Log_1[[#This Row],[ID]])</f>
        <v/>
      </c>
      <c r="L28" s="15" t="str" cm="1">
        <f t="array" ref="L28">Internal_Main_Log_RefID(Internal_Log_1[[#This Row],[ID]])</f>
        <v/>
      </c>
    </row>
    <row r="29" spans="1:12" ht="16.5" customHeight="1" x14ac:dyDescent="0.45">
      <c r="A29" s="25"/>
      <c r="B29" s="15"/>
      <c r="C29" s="15"/>
      <c r="D29" s="15"/>
      <c r="E29" s="15"/>
      <c r="F29" s="15"/>
      <c r="G29" s="15"/>
      <c r="H29" s="15"/>
      <c r="I29" s="15"/>
      <c r="J29" s="15"/>
      <c r="K29" s="15" t="str" cm="1">
        <f t="array" ref="K29">InternalRef(Internal_Log_1[[#This Row],[ID]])</f>
        <v/>
      </c>
      <c r="L29" s="15" t="str" cm="1">
        <f t="array" ref="L29">Internal_Main_Log_RefID(Internal_Log_1[[#This Row],[ID]])</f>
        <v/>
      </c>
    </row>
    <row r="30" spans="1:12" ht="16.5" customHeight="1" x14ac:dyDescent="0.45">
      <c r="A30" s="25"/>
      <c r="B30" s="15"/>
      <c r="C30" s="15"/>
      <c r="D30" s="15"/>
      <c r="E30" s="15"/>
      <c r="F30" s="15"/>
      <c r="G30" s="15"/>
      <c r="H30" s="15"/>
      <c r="I30" s="15"/>
      <c r="J30" s="15"/>
      <c r="K30" s="15" t="str" cm="1">
        <f t="array" ref="K30">InternalRef(Internal_Log_1[[#This Row],[ID]])</f>
        <v/>
      </c>
      <c r="L30" s="15" t="str" cm="1">
        <f t="array" ref="L30">Internal_Main_Log_RefID(Internal_Log_1[[#This Row],[ID]])</f>
        <v/>
      </c>
    </row>
    <row r="31" spans="1:12" ht="16.5" customHeight="1" x14ac:dyDescent="0.45">
      <c r="A31" s="25"/>
      <c r="B31" s="15"/>
      <c r="C31" s="15"/>
      <c r="D31" s="15"/>
      <c r="E31" s="15"/>
      <c r="F31" s="15"/>
      <c r="G31" s="15"/>
      <c r="H31" s="15"/>
      <c r="I31" s="15"/>
      <c r="J31" s="15"/>
      <c r="K31" s="15" t="str" cm="1">
        <f t="array" ref="K31">InternalRef(Internal_Log_1[[#This Row],[ID]])</f>
        <v/>
      </c>
      <c r="L31" s="15" t="str" cm="1">
        <f t="array" ref="L31">Internal_Main_Log_RefID(Internal_Log_1[[#This Row],[ID]])</f>
        <v/>
      </c>
    </row>
    <row r="32" spans="1:12" ht="16.5" customHeight="1" x14ac:dyDescent="0.45">
      <c r="A32" s="25"/>
      <c r="B32" s="15"/>
      <c r="C32" s="15"/>
      <c r="D32" s="15"/>
      <c r="E32" s="15"/>
      <c r="F32" s="15"/>
      <c r="G32" s="15"/>
      <c r="H32" s="15"/>
      <c r="I32" s="15"/>
      <c r="J32" s="15"/>
      <c r="K32" s="15" t="str" cm="1">
        <f t="array" ref="K32">InternalRef(Internal_Log_1[[#This Row],[ID]])</f>
        <v/>
      </c>
      <c r="L32" s="15" t="str" cm="1">
        <f t="array" ref="L32">Internal_Main_Log_RefID(Internal_Log_1[[#This Row],[ID]])</f>
        <v/>
      </c>
    </row>
    <row r="33" spans="1:12" ht="16.5" customHeight="1" x14ac:dyDescent="0.45">
      <c r="A33" s="25"/>
      <c r="B33" s="15"/>
      <c r="C33" s="15"/>
      <c r="D33" s="15"/>
      <c r="E33" s="15"/>
      <c r="F33" s="15"/>
      <c r="G33" s="15"/>
      <c r="H33" s="15"/>
      <c r="I33" s="15"/>
      <c r="J33" s="15"/>
      <c r="K33" s="15" t="str" cm="1">
        <f t="array" ref="K33">InternalRef(Internal_Log_1[[#This Row],[ID]])</f>
        <v/>
      </c>
      <c r="L33" s="15" t="str" cm="1">
        <f t="array" ref="L33">Internal_Main_Log_RefID(Internal_Log_1[[#This Row],[ID]])</f>
        <v/>
      </c>
    </row>
    <row r="34" spans="1:12" ht="16.5" customHeight="1" x14ac:dyDescent="0.45">
      <c r="A34" s="25"/>
      <c r="B34" s="15"/>
      <c r="C34" s="15"/>
      <c r="D34" s="15"/>
      <c r="E34" s="15"/>
      <c r="F34" s="15"/>
      <c r="G34" s="15"/>
      <c r="H34" s="15"/>
      <c r="I34" s="15"/>
      <c r="J34" s="15"/>
      <c r="K34" s="15" t="str" cm="1">
        <f t="array" ref="K34">InternalRef(Internal_Log_1[[#This Row],[ID]])</f>
        <v/>
      </c>
      <c r="L34" s="15" t="str" cm="1">
        <f t="array" ref="L34">Internal_Main_Log_RefID(Internal_Log_1[[#This Row],[ID]])</f>
        <v/>
      </c>
    </row>
    <row r="35" spans="1:12" ht="16.5" customHeight="1" x14ac:dyDescent="0.45">
      <c r="A35" s="25"/>
      <c r="B35" s="15"/>
      <c r="C35" s="15"/>
      <c r="D35" s="15"/>
      <c r="E35" s="15"/>
      <c r="F35" s="15"/>
      <c r="G35" s="15"/>
      <c r="H35" s="15"/>
      <c r="I35" s="15"/>
      <c r="J35" s="15"/>
      <c r="K35" s="15" t="str" cm="1">
        <f t="array" ref="K35">InternalRef(Internal_Log_1[[#This Row],[ID]])</f>
        <v/>
      </c>
      <c r="L35" s="15" t="str" cm="1">
        <f t="array" ref="L35">Internal_Main_Log_RefID(Internal_Log_1[[#This Row],[ID]])</f>
        <v/>
      </c>
    </row>
    <row r="36" spans="1:12" ht="16.5" customHeight="1" x14ac:dyDescent="0.45">
      <c r="A36" s="25"/>
      <c r="B36" s="15"/>
      <c r="C36" s="15"/>
      <c r="D36" s="15"/>
      <c r="E36" s="15"/>
      <c r="F36" s="15"/>
      <c r="G36" s="15"/>
      <c r="H36" s="15"/>
      <c r="I36" s="15"/>
      <c r="J36" s="15"/>
      <c r="K36" s="15" t="str" cm="1">
        <f t="array" ref="K36">InternalRef(Internal_Log_1[[#This Row],[ID]])</f>
        <v/>
      </c>
      <c r="L36" s="15" t="str" cm="1">
        <f t="array" ref="L36">Internal_Main_Log_RefID(Internal_Log_1[[#This Row],[ID]])</f>
        <v/>
      </c>
    </row>
    <row r="37" spans="1:12" ht="16.5" customHeight="1" x14ac:dyDescent="0.45">
      <c r="A37" s="25"/>
      <c r="B37" s="15"/>
      <c r="C37" s="15"/>
      <c r="D37" s="15"/>
      <c r="E37" s="15"/>
      <c r="F37" s="15"/>
      <c r="G37" s="15"/>
      <c r="H37" s="15"/>
      <c r="I37" s="15"/>
      <c r="J37" s="15"/>
      <c r="K37" s="15" t="str" cm="1">
        <f t="array" ref="K37">InternalRef(Internal_Log_1[[#This Row],[ID]])</f>
        <v/>
      </c>
      <c r="L37" s="15" t="str" cm="1">
        <f t="array" ref="L37">Internal_Main_Log_RefID(Internal_Log_1[[#This Row],[ID]])</f>
        <v/>
      </c>
    </row>
    <row r="38" spans="1:12" ht="16.5" customHeight="1" x14ac:dyDescent="0.45">
      <c r="A38" s="25"/>
      <c r="B38" s="15"/>
      <c r="C38" s="15"/>
      <c r="D38" s="15"/>
      <c r="E38" s="15"/>
      <c r="F38" s="15"/>
      <c r="G38" s="15"/>
      <c r="H38" s="15"/>
      <c r="I38" s="15"/>
      <c r="J38" s="15"/>
      <c r="K38" s="15" t="str" cm="1">
        <f t="array" ref="K38">InternalRef(Internal_Log_1[[#This Row],[ID]])</f>
        <v/>
      </c>
      <c r="L38" s="15" t="str" cm="1">
        <f t="array" ref="L38">Internal_Main_Log_RefID(Internal_Log_1[[#This Row],[ID]])</f>
        <v/>
      </c>
    </row>
    <row r="39" spans="1:12" ht="16.5" customHeight="1" x14ac:dyDescent="0.45">
      <c r="A39" s="25"/>
      <c r="B39" s="15"/>
      <c r="C39" s="15"/>
      <c r="D39" s="15"/>
      <c r="E39" s="15"/>
      <c r="F39" s="15"/>
      <c r="G39" s="15"/>
      <c r="H39" s="15"/>
      <c r="I39" s="15"/>
      <c r="J39" s="15"/>
      <c r="K39" s="15" t="str" cm="1">
        <f t="array" ref="K39">InternalRef(Internal_Log_1[[#This Row],[ID]])</f>
        <v/>
      </c>
      <c r="L39" s="15" t="str" cm="1">
        <f t="array" ref="L39">Internal_Main_Log_RefID(Internal_Log_1[[#This Row],[ID]])</f>
        <v/>
      </c>
    </row>
    <row r="40" spans="1:12" ht="16.5" customHeight="1" x14ac:dyDescent="0.45">
      <c r="A40" s="25"/>
      <c r="B40" s="15"/>
      <c r="C40" s="15"/>
      <c r="D40" s="15"/>
      <c r="E40" s="15"/>
      <c r="F40" s="15"/>
      <c r="G40" s="15"/>
      <c r="H40" s="15"/>
      <c r="I40" s="15"/>
      <c r="J40" s="15"/>
      <c r="K40" s="15" t="str" cm="1">
        <f t="array" ref="K40">InternalRef(Internal_Log_1[[#This Row],[ID]])</f>
        <v/>
      </c>
      <c r="L40" s="15" t="str" cm="1">
        <f t="array" ref="L40">Internal_Main_Log_RefID(Internal_Log_1[[#This Row],[ID]])</f>
        <v/>
      </c>
    </row>
    <row r="41" spans="1:12" ht="16.5" customHeight="1" x14ac:dyDescent="0.45">
      <c r="A41" s="25"/>
      <c r="B41" s="15"/>
      <c r="C41" s="15"/>
      <c r="D41" s="15"/>
      <c r="E41" s="15"/>
      <c r="F41" s="15"/>
      <c r="G41" s="15"/>
      <c r="H41" s="15"/>
      <c r="I41" s="15"/>
      <c r="J41" s="15"/>
      <c r="K41" s="15" t="str" cm="1">
        <f t="array" ref="K41">InternalRef(Internal_Log_1[[#This Row],[ID]])</f>
        <v/>
      </c>
      <c r="L41" s="15" t="str" cm="1">
        <f t="array" ref="L41">Internal_Main_Log_RefID(Internal_Log_1[[#This Row],[ID]])</f>
        <v/>
      </c>
    </row>
    <row r="42" spans="1:12" ht="21" customHeight="1" thickBot="1" x14ac:dyDescent="0.5">
      <c r="A42" s="32" t="s">
        <v>25</v>
      </c>
      <c r="B42" s="33"/>
      <c r="C42" s="33"/>
      <c r="D42" s="33"/>
      <c r="E42" s="33"/>
      <c r="F42" s="33"/>
      <c r="G42" s="33"/>
      <c r="H42" s="33"/>
      <c r="I42" s="33"/>
      <c r="J42" s="5" t="str">
        <f ca="1">TEXT(TODAY(),"mmm/DD/yyy")</f>
        <v>Jan/31/2024</v>
      </c>
      <c r="K42" s="1"/>
      <c r="L42" s="4"/>
    </row>
  </sheetData>
  <mergeCells count="2">
    <mergeCell ref="A42:I42"/>
    <mergeCell ref="A1:J1"/>
  </mergeCells>
  <phoneticPr fontId="7" type="noConversion"/>
  <printOptions horizontalCentered="1" verticalCentered="1"/>
  <pageMargins left="0" right="0" top="0" bottom="0" header="0" footer="0"/>
  <pageSetup scale="75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Internal_Central_Log"/>
  <dimension ref="A1:N42"/>
  <sheetViews>
    <sheetView showGridLines="0" showRowColHeaders="0" zoomScale="120" zoomScaleNormal="120" zoomScaleSheetLayoutView="145" workbookViewId="0">
      <selection activeCell="B22" sqref="B22"/>
    </sheetView>
  </sheetViews>
  <sheetFormatPr defaultColWidth="0" defaultRowHeight="0" customHeight="1" zeroHeight="1" outlineLevelCol="1" x14ac:dyDescent="0.45"/>
  <cols>
    <col min="1" max="1" width="7.3984375" style="6" customWidth="1"/>
    <col min="2" max="2" width="19.06640625" style="6" customWidth="1"/>
    <col min="3" max="3" width="13.53125" style="6" customWidth="1"/>
    <col min="4" max="4" width="16.46484375" style="6" customWidth="1"/>
    <col min="5" max="5" width="14.1328125" style="6" customWidth="1"/>
    <col min="6" max="6" width="14.06640625" style="6" customWidth="1"/>
    <col min="7" max="7" width="21.19921875" style="6" customWidth="1"/>
    <col min="8" max="8" width="11.33203125" style="6" customWidth="1"/>
    <col min="9" max="9" width="9.33203125" style="6" customWidth="1"/>
    <col min="10" max="10" width="13.19921875" style="6" customWidth="1"/>
    <col min="11" max="11" width="13.265625" style="6" customWidth="1"/>
    <col min="12" max="12" width="25.6640625" style="14" customWidth="1"/>
    <col min="13" max="13" width="18.33203125" style="14" customWidth="1" outlineLevel="1"/>
    <col min="14" max="14" width="18.33203125" style="10" hidden="1" customWidth="1"/>
    <col min="15" max="16384" width="9.06640625" style="10" hidden="1"/>
  </cols>
  <sheetData>
    <row r="1" spans="1:13" s="9" customFormat="1" ht="23.1" customHeight="1" x14ac:dyDescent="0.45">
      <c r="A1" s="39" t="s">
        <v>26</v>
      </c>
      <c r="B1" s="40"/>
      <c r="C1" s="40"/>
      <c r="D1" s="40"/>
      <c r="E1" s="40"/>
      <c r="F1" s="40"/>
      <c r="G1" s="40"/>
      <c r="H1" s="40"/>
      <c r="I1" s="40"/>
      <c r="J1" s="40"/>
      <c r="K1" s="41"/>
      <c r="L1" s="7"/>
      <c r="M1" s="8"/>
    </row>
    <row r="2" spans="1:13" s="22" customFormat="1" ht="20.100000000000001" customHeight="1" x14ac:dyDescent="0.45">
      <c r="A2" s="16" t="s">
        <v>2</v>
      </c>
      <c r="B2" s="17" t="s">
        <v>3</v>
      </c>
      <c r="C2" s="17" t="s">
        <v>4</v>
      </c>
      <c r="D2" s="17" t="s">
        <v>7</v>
      </c>
      <c r="E2" s="17" t="s">
        <v>9</v>
      </c>
      <c r="F2" s="17" t="s">
        <v>6</v>
      </c>
      <c r="G2" s="17" t="s">
        <v>20</v>
      </c>
      <c r="H2" s="17" t="s">
        <v>21</v>
      </c>
      <c r="I2" s="17" t="s">
        <v>15</v>
      </c>
      <c r="J2" s="17" t="s">
        <v>18</v>
      </c>
      <c r="K2" s="17" t="s">
        <v>19</v>
      </c>
      <c r="L2" s="17" t="s">
        <v>29</v>
      </c>
      <c r="M2" s="21" t="s">
        <v>24</v>
      </c>
    </row>
    <row r="3" spans="1:13" s="11" customFormat="1" ht="16.5" customHeight="1" x14ac:dyDescent="0.45">
      <c r="A3" s="15"/>
      <c r="B3" s="15"/>
      <c r="C3" s="15"/>
      <c r="D3" s="15"/>
      <c r="E3" s="19"/>
      <c r="F3" s="15"/>
      <c r="G3" s="15"/>
      <c r="H3" s="15"/>
      <c r="I3" s="15"/>
      <c r="J3" s="15"/>
      <c r="K3" s="15"/>
      <c r="L3" s="20" t="str" cm="1">
        <f t="array" ref="L3">InternalRef(Internal_Log_2[[#This Row],[ID]])</f>
        <v/>
      </c>
      <c r="M3" s="11" t="str" cm="1">
        <f t="array" ref="M3">Internal_Main_Log_RefID(Internal_Log_2[[#This Row],[ID]])</f>
        <v/>
      </c>
    </row>
    <row r="4" spans="1:13" s="11" customFormat="1" ht="16.5" customHeight="1" x14ac:dyDescent="0.4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20" t="str" cm="1">
        <f t="array" ref="L4">InternalRef(Internal_Log_2[[#This Row],[ID]])</f>
        <v/>
      </c>
      <c r="M4" s="11" t="str" cm="1">
        <f t="array" ref="M4">Internal_Main_Log_RefID(Internal_Log_2[[#This Row],[ID]])</f>
        <v/>
      </c>
    </row>
    <row r="5" spans="1:13" s="11" customFormat="1" ht="16.5" customHeight="1" x14ac:dyDescent="0.4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20" t="str" cm="1">
        <f t="array" ref="L5">InternalRef(Internal_Log_2[[#This Row],[ID]])</f>
        <v/>
      </c>
      <c r="M5" s="11" t="str" cm="1">
        <f t="array" ref="M5">Internal_Main_Log_RefID(Internal_Log_2[[#This Row],[ID]])</f>
        <v/>
      </c>
    </row>
    <row r="6" spans="1:13" s="11" customFormat="1" ht="16.5" customHeight="1" x14ac:dyDescent="0.4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20" t="str" cm="1">
        <f t="array" ref="L6">InternalRef(Internal_Log_2[[#This Row],[ID]])</f>
        <v/>
      </c>
      <c r="M6" s="11" t="str" cm="1">
        <f t="array" ref="M6">Internal_Main_Log_RefID(Internal_Log_2[[#This Row],[ID]])</f>
        <v/>
      </c>
    </row>
    <row r="7" spans="1:13" s="11" customFormat="1" ht="16.5" customHeight="1" x14ac:dyDescent="0.4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20" t="str" cm="1">
        <f t="array" ref="L7">InternalRef(Internal_Log_2[[#This Row],[ID]])</f>
        <v/>
      </c>
      <c r="M7" s="11" t="str" cm="1">
        <f t="array" ref="M7">Internal_Main_Log_RefID(Internal_Log_2[[#This Row],[ID]])</f>
        <v/>
      </c>
    </row>
    <row r="8" spans="1:13" s="11" customFormat="1" ht="16.5" customHeight="1" x14ac:dyDescent="0.4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20" t="str" cm="1">
        <f t="array" ref="L8">InternalRef(Internal_Log_2[[#This Row],[ID]])</f>
        <v/>
      </c>
      <c r="M8" s="11" t="str" cm="1">
        <f t="array" ref="M8">Internal_Main_Log_RefID(Internal_Log_2[[#This Row],[ID]])</f>
        <v/>
      </c>
    </row>
    <row r="9" spans="1:13" s="11" customFormat="1" ht="16.5" customHeight="1" x14ac:dyDescent="0.4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20" t="str" cm="1">
        <f t="array" ref="L9">InternalRef(Internal_Log_2[[#This Row],[ID]])</f>
        <v/>
      </c>
      <c r="M9" s="11" t="str" cm="1">
        <f t="array" ref="M9">Internal_Main_Log_RefID(Internal_Log_2[[#This Row],[ID]])</f>
        <v/>
      </c>
    </row>
    <row r="10" spans="1:13" s="11" customFormat="1" ht="16.5" customHeight="1" x14ac:dyDescent="0.4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20" t="str" cm="1">
        <f t="array" ref="L10">InternalRef(Internal_Log_2[[#This Row],[ID]])</f>
        <v/>
      </c>
      <c r="M10" s="11" t="str" cm="1">
        <f t="array" ref="M10">Internal_Main_Log_RefID(Internal_Log_2[[#This Row],[ID]])</f>
        <v/>
      </c>
    </row>
    <row r="11" spans="1:13" s="11" customFormat="1" ht="16.5" customHeight="1" x14ac:dyDescent="0.4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20" t="str" cm="1">
        <f t="array" ref="L11">InternalRef(Internal_Log_2[[#This Row],[ID]])</f>
        <v/>
      </c>
      <c r="M11" s="11" t="str" cm="1">
        <f t="array" ref="M11">Internal_Main_Log_RefID(Internal_Log_2[[#This Row],[ID]])</f>
        <v/>
      </c>
    </row>
    <row r="12" spans="1:13" s="11" customFormat="1" ht="16.5" customHeight="1" x14ac:dyDescent="0.4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20" t="str" cm="1">
        <f t="array" ref="L12">InternalRef(Internal_Log_2[[#This Row],[ID]])</f>
        <v/>
      </c>
      <c r="M12" s="11" t="str" cm="1">
        <f t="array" ref="M12">Internal_Main_Log_RefID(Internal_Log_2[[#This Row],[ID]])</f>
        <v/>
      </c>
    </row>
    <row r="13" spans="1:13" s="11" customFormat="1" ht="16.5" customHeight="1" x14ac:dyDescent="0.4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20" t="str" cm="1">
        <f t="array" ref="L13">InternalRef(Internal_Log_2[[#This Row],[ID]])</f>
        <v/>
      </c>
      <c r="M13" s="11" t="str" cm="1">
        <f t="array" ref="M13">Internal_Main_Log_RefID(Internal_Log_2[[#This Row],[ID]])</f>
        <v/>
      </c>
    </row>
    <row r="14" spans="1:13" s="11" customFormat="1" ht="16.5" customHeight="1" x14ac:dyDescent="0.4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20" t="str" cm="1">
        <f t="array" ref="L14">InternalRef(Internal_Log_2[[#This Row],[ID]])</f>
        <v/>
      </c>
      <c r="M14" s="11" t="str" cm="1">
        <f t="array" ref="M14">Internal_Main_Log_RefID(Internal_Log_2[[#This Row],[ID]])</f>
        <v/>
      </c>
    </row>
    <row r="15" spans="1:13" s="11" customFormat="1" ht="16.5" customHeight="1" x14ac:dyDescent="0.4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20" t="str" cm="1">
        <f t="array" ref="L15">InternalRef(Internal_Log_2[[#This Row],[ID]])</f>
        <v/>
      </c>
      <c r="M15" s="11" t="str" cm="1">
        <f t="array" ref="M15">Internal_Main_Log_RefID(Internal_Log_2[[#This Row],[ID]])</f>
        <v/>
      </c>
    </row>
    <row r="16" spans="1:13" s="11" customFormat="1" ht="16.5" customHeight="1" x14ac:dyDescent="0.4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20" t="str" cm="1">
        <f t="array" ref="L16">InternalRef(Internal_Log_2[[#This Row],[ID]])</f>
        <v/>
      </c>
      <c r="M16" s="11" t="str" cm="1">
        <f t="array" ref="M16">Internal_Main_Log_RefID(Internal_Log_2[[#This Row],[ID]])</f>
        <v/>
      </c>
    </row>
    <row r="17" spans="1:13" s="11" customFormat="1" ht="16.5" customHeight="1" x14ac:dyDescent="0.4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20" t="str" cm="1">
        <f t="array" ref="L17">InternalRef(Internal_Log_2[[#This Row],[ID]])</f>
        <v/>
      </c>
      <c r="M17" s="11" t="str" cm="1">
        <f t="array" ref="M17">Internal_Main_Log_RefID(Internal_Log_2[[#This Row],[ID]])</f>
        <v/>
      </c>
    </row>
    <row r="18" spans="1:13" s="11" customFormat="1" ht="16.5" customHeight="1" x14ac:dyDescent="0.4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20" t="str" cm="1">
        <f t="array" ref="L18">InternalRef(Internal_Log_2[[#This Row],[ID]])</f>
        <v/>
      </c>
      <c r="M18" s="11" t="str" cm="1">
        <f t="array" ref="M18">Internal_Main_Log_RefID(Internal_Log_2[[#This Row],[ID]])</f>
        <v/>
      </c>
    </row>
    <row r="19" spans="1:13" s="11" customFormat="1" ht="16.5" customHeight="1" x14ac:dyDescent="0.4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20" t="str" cm="1">
        <f t="array" ref="L19">InternalRef(Internal_Log_2[[#This Row],[ID]])</f>
        <v/>
      </c>
      <c r="M19" s="11" t="str" cm="1">
        <f t="array" ref="M19">Internal_Main_Log_RefID(Internal_Log_2[[#This Row],[ID]])</f>
        <v/>
      </c>
    </row>
    <row r="20" spans="1:13" s="11" customFormat="1" ht="16.5" customHeight="1" x14ac:dyDescent="0.4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20" t="str" cm="1">
        <f t="array" ref="L20">InternalRef(Internal_Log_2[[#This Row],[ID]])</f>
        <v/>
      </c>
      <c r="M20" s="11" t="str" cm="1">
        <f t="array" ref="M20">Internal_Main_Log_RefID(Internal_Log_2[[#This Row],[ID]])</f>
        <v/>
      </c>
    </row>
    <row r="21" spans="1:13" s="11" customFormat="1" ht="16.5" customHeight="1" x14ac:dyDescent="0.4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20" t="str" cm="1">
        <f t="array" ref="L21">InternalRef(Internal_Log_2[[#This Row],[ID]])</f>
        <v/>
      </c>
      <c r="M21" s="11" t="str" cm="1">
        <f t="array" ref="M21">Internal_Main_Log_RefID(Internal_Log_2[[#This Row],[ID]])</f>
        <v/>
      </c>
    </row>
    <row r="22" spans="1:13" s="11" customFormat="1" ht="16.5" customHeight="1" x14ac:dyDescent="0.4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20" t="str" cm="1">
        <f t="array" ref="L22">InternalRef(Internal_Log_2[[#This Row],[ID]])</f>
        <v/>
      </c>
      <c r="M22" s="11" t="str" cm="1">
        <f t="array" ref="M22">Internal_Main_Log_RefID(Internal_Log_2[[#This Row],[ID]])</f>
        <v/>
      </c>
    </row>
    <row r="23" spans="1:13" s="11" customFormat="1" ht="16.5" customHeight="1" x14ac:dyDescent="0.4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20" t="str" cm="1">
        <f t="array" ref="L23">InternalRef(Internal_Log_2[[#This Row],[ID]])</f>
        <v/>
      </c>
      <c r="M23" s="11" t="str" cm="1">
        <f t="array" ref="M23">Internal_Main_Log_RefID(Internal_Log_2[[#This Row],[ID]])</f>
        <v/>
      </c>
    </row>
    <row r="24" spans="1:13" s="11" customFormat="1" ht="16.5" customHeight="1" x14ac:dyDescent="0.4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20" t="str" cm="1">
        <f t="array" ref="L24">InternalRef(Internal_Log_2[[#This Row],[ID]])</f>
        <v/>
      </c>
      <c r="M24" s="11" t="str" cm="1">
        <f t="array" ref="M24">Internal_Main_Log_RefID(Internal_Log_2[[#This Row],[ID]])</f>
        <v/>
      </c>
    </row>
    <row r="25" spans="1:13" s="11" customFormat="1" ht="16.5" customHeight="1" x14ac:dyDescent="0.4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20" t="str" cm="1">
        <f t="array" ref="L25">InternalRef(Internal_Log_2[[#This Row],[ID]])</f>
        <v/>
      </c>
      <c r="M25" s="11" t="str" cm="1">
        <f t="array" ref="M25">Internal_Main_Log_RefID(Internal_Log_2[[#This Row],[ID]])</f>
        <v/>
      </c>
    </row>
    <row r="26" spans="1:13" s="11" customFormat="1" ht="16.5" customHeight="1" x14ac:dyDescent="0.4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20" t="str" cm="1">
        <f t="array" ref="L26">InternalRef(Internal_Log_2[[#This Row],[ID]])</f>
        <v/>
      </c>
      <c r="M26" s="11" t="str" cm="1">
        <f t="array" ref="M26">Internal_Main_Log_RefID(Internal_Log_2[[#This Row],[ID]])</f>
        <v/>
      </c>
    </row>
    <row r="27" spans="1:13" s="11" customFormat="1" ht="16.5" customHeight="1" x14ac:dyDescent="0.4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20" t="str" cm="1">
        <f t="array" ref="L27">InternalRef(Internal_Log_2[[#This Row],[ID]])</f>
        <v/>
      </c>
      <c r="M27" s="11" t="str" cm="1">
        <f t="array" ref="M27">Internal_Main_Log_RefID(Internal_Log_2[[#This Row],[ID]])</f>
        <v/>
      </c>
    </row>
    <row r="28" spans="1:13" s="11" customFormat="1" ht="16.5" customHeight="1" x14ac:dyDescent="0.4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20" t="str" cm="1">
        <f t="array" ref="L28">InternalRef(Internal_Log_2[[#This Row],[ID]])</f>
        <v/>
      </c>
      <c r="M28" s="11" t="str" cm="1">
        <f t="array" ref="M28">Internal_Main_Log_RefID(Internal_Log_2[[#This Row],[ID]])</f>
        <v/>
      </c>
    </row>
    <row r="29" spans="1:13" s="11" customFormat="1" ht="16.5" customHeight="1" x14ac:dyDescent="0.4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20" t="str" cm="1">
        <f t="array" ref="L29">InternalRef(Internal_Log_2[[#This Row],[ID]])</f>
        <v/>
      </c>
      <c r="M29" s="11" t="str" cm="1">
        <f t="array" ref="M29">Internal_Main_Log_RefID(Internal_Log_2[[#This Row],[ID]])</f>
        <v/>
      </c>
    </row>
    <row r="30" spans="1:13" s="11" customFormat="1" ht="16.5" customHeight="1" x14ac:dyDescent="0.4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20" t="str" cm="1">
        <f t="array" ref="L30">InternalRef(Internal_Log_2[[#This Row],[ID]])</f>
        <v/>
      </c>
      <c r="M30" s="11" t="str" cm="1">
        <f t="array" ref="M30">Internal_Main_Log_RefID(Internal_Log_2[[#This Row],[ID]])</f>
        <v/>
      </c>
    </row>
    <row r="31" spans="1:13" s="11" customFormat="1" ht="16.5" customHeight="1" x14ac:dyDescent="0.4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20" t="str" cm="1">
        <f t="array" ref="L31">InternalRef(Internal_Log_2[[#This Row],[ID]])</f>
        <v/>
      </c>
      <c r="M31" s="11" t="str" cm="1">
        <f t="array" ref="M31">Internal_Main_Log_RefID(Internal_Log_2[[#This Row],[ID]])</f>
        <v/>
      </c>
    </row>
    <row r="32" spans="1:13" s="11" customFormat="1" ht="16.5" customHeight="1" x14ac:dyDescent="0.4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20" t="str" cm="1">
        <f t="array" ref="L32">InternalRef(Internal_Log_2[[#This Row],[ID]])</f>
        <v/>
      </c>
      <c r="M32" s="11" t="str" cm="1">
        <f t="array" ref="M32">Internal_Main_Log_RefID(Internal_Log_2[[#This Row],[ID]])</f>
        <v/>
      </c>
    </row>
    <row r="33" spans="1:13" s="11" customFormat="1" ht="16.5" customHeight="1" x14ac:dyDescent="0.4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20" t="str" cm="1">
        <f t="array" ref="L33">InternalRef(Internal_Log_2[[#This Row],[ID]])</f>
        <v/>
      </c>
      <c r="M33" s="11" t="str" cm="1">
        <f t="array" ref="M33">Internal_Main_Log_RefID(Internal_Log_2[[#This Row],[ID]])</f>
        <v/>
      </c>
    </row>
    <row r="34" spans="1:13" s="11" customFormat="1" ht="16.5" customHeight="1" x14ac:dyDescent="0.4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20" t="str" cm="1">
        <f t="array" ref="L34">InternalRef(Internal_Log_2[[#This Row],[ID]])</f>
        <v/>
      </c>
      <c r="M34" s="11" t="str" cm="1">
        <f t="array" ref="M34">Internal_Main_Log_RefID(Internal_Log_2[[#This Row],[ID]])</f>
        <v/>
      </c>
    </row>
    <row r="35" spans="1:13" s="11" customFormat="1" ht="16.5" customHeight="1" x14ac:dyDescent="0.4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20" t="str" cm="1">
        <f t="array" ref="L35">InternalRef(Internal_Log_2[[#This Row],[ID]])</f>
        <v/>
      </c>
      <c r="M35" s="11" t="str" cm="1">
        <f t="array" ref="M35">Internal_Main_Log_RefID(Internal_Log_2[[#This Row],[ID]])</f>
        <v/>
      </c>
    </row>
    <row r="36" spans="1:13" s="11" customFormat="1" ht="16.5" customHeight="1" x14ac:dyDescent="0.4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20" t="str" cm="1">
        <f t="array" ref="L36">InternalRef(Internal_Log_2[[#This Row],[ID]])</f>
        <v/>
      </c>
      <c r="M36" s="11" t="str" cm="1">
        <f t="array" ref="M36">Internal_Main_Log_RefID(Internal_Log_2[[#This Row],[ID]])</f>
        <v/>
      </c>
    </row>
    <row r="37" spans="1:13" ht="16.5" customHeight="1" x14ac:dyDescent="0.4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20" t="str" cm="1">
        <f t="array" ref="L37">InternalRef(Internal_Log_2[[#This Row],[ID]])</f>
        <v/>
      </c>
      <c r="M37" s="10" t="str" cm="1">
        <f t="array" ref="M37">Internal_Main_Log_RefID(Internal_Log_2[[#This Row],[ID]])</f>
        <v/>
      </c>
    </row>
    <row r="38" spans="1:13" s="11" customFormat="1" ht="16.5" customHeight="1" x14ac:dyDescent="0.4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20" t="str" cm="1">
        <f t="array" ref="L38">InternalRef(Internal_Log_2[[#This Row],[ID]])</f>
        <v/>
      </c>
      <c r="M38" s="11" t="str" cm="1">
        <f t="array" ref="M38">Internal_Main_Log_RefID(Internal_Log_2[[#This Row],[ID]])</f>
        <v/>
      </c>
    </row>
    <row r="39" spans="1:13" s="11" customFormat="1" ht="16.5" customHeight="1" x14ac:dyDescent="0.4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20" t="str" cm="1">
        <f t="array" ref="L39">InternalRef(Internal_Log_2[[#This Row],[ID]])</f>
        <v/>
      </c>
      <c r="M39" s="11" t="str" cm="1">
        <f t="array" ref="M39">Internal_Main_Log_RefID(Internal_Log_2[[#This Row],[ID]])</f>
        <v/>
      </c>
    </row>
    <row r="40" spans="1:13" s="11" customFormat="1" ht="16.5" customHeight="1" x14ac:dyDescent="0.4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20" t="str" cm="1">
        <f t="array" ref="L40">InternalRef(Internal_Log_2[[#This Row],[ID]])</f>
        <v/>
      </c>
      <c r="M40" s="11" t="str" cm="1">
        <f t="array" ref="M40">Internal_Main_Log_RefID(Internal_Log_2[[#This Row],[ID]])</f>
        <v/>
      </c>
    </row>
    <row r="41" spans="1:13" s="11" customFormat="1" ht="16.5" customHeight="1" x14ac:dyDescent="0.4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20" t="str" cm="1">
        <f t="array" ref="L41">InternalRef(Internal_Log_2[[#This Row],[ID]])</f>
        <v/>
      </c>
      <c r="M41" s="11" t="str" cm="1">
        <f t="array" ref="M41">Internal_Main_Log_RefID(Internal_Log_2[[#This Row],[ID]])</f>
        <v/>
      </c>
    </row>
    <row r="42" spans="1:13" s="13" customFormat="1" ht="21" customHeight="1" thickBot="1" x14ac:dyDescent="0.5">
      <c r="A42" s="37" t="s">
        <v>25</v>
      </c>
      <c r="B42" s="38"/>
      <c r="C42" s="38"/>
      <c r="D42" s="38"/>
      <c r="E42" s="38"/>
      <c r="F42" s="38"/>
      <c r="G42" s="38"/>
      <c r="H42" s="38"/>
      <c r="I42" s="38"/>
      <c r="J42" s="38"/>
      <c r="K42" s="18" t="str">
        <f ca="1">TEXT(TODAY(),"mmm/DD/yyy")</f>
        <v>Jan/31/2024</v>
      </c>
      <c r="L42" s="1"/>
      <c r="M42" s="12"/>
    </row>
  </sheetData>
  <mergeCells count="2">
    <mergeCell ref="A42:J42"/>
    <mergeCell ref="A1:K1"/>
  </mergeCells>
  <printOptions horizontalCentered="1" verticalCentered="1"/>
  <pageMargins left="0" right="0" top="0" bottom="0" header="0" footer="0"/>
  <pageSetup scale="77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BE4E3-D6C8-4552-A7B7-778A3DC99531}">
  <sheetPr codeName="Data"/>
  <dimension ref="A1:E3"/>
  <sheetViews>
    <sheetView showGridLines="0" showRowColHeaders="0" workbookViewId="0">
      <selection activeCell="E3" sqref="E3"/>
    </sheetView>
  </sheetViews>
  <sheetFormatPr defaultColWidth="9.06640625" defaultRowHeight="14.25" x14ac:dyDescent="0.45"/>
  <cols>
    <col min="1" max="1" width="18.3984375" customWidth="1"/>
    <col min="2" max="2" width="8.53125" customWidth="1"/>
    <col min="3" max="3" width="19.265625" customWidth="1"/>
    <col min="5" max="5" width="20.53125" customWidth="1"/>
    <col min="10" max="10" width="18.796875" customWidth="1"/>
    <col min="11" max="11" width="19.19921875" customWidth="1"/>
  </cols>
  <sheetData>
    <row r="1" spans="1:5" x14ac:dyDescent="0.45">
      <c r="A1" s="23" t="s">
        <v>31</v>
      </c>
      <c r="C1" s="23" t="s">
        <v>32</v>
      </c>
      <c r="E1" s="23" t="s">
        <v>33</v>
      </c>
    </row>
    <row r="2" spans="1:5" x14ac:dyDescent="0.45">
      <c r="A2" t="s">
        <v>28</v>
      </c>
      <c r="C2" t="s">
        <v>28</v>
      </c>
      <c r="E2" t="s">
        <v>28</v>
      </c>
    </row>
    <row r="3" spans="1:5" x14ac:dyDescent="0.45">
      <c r="A3" t="s">
        <v>36</v>
      </c>
      <c r="C3" t="s">
        <v>37</v>
      </c>
    </row>
  </sheetData>
  <phoneticPr fontId="7" type="noConversion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aintenanceSharepoint xmlns="55d9b104-5eb7-476d-b8b9-bdebdf581aeb" xsi:nil="true"/>
    <lcf76f155ced4ddcb4097134ff3c332f xmlns="55d9b104-5eb7-476d-b8b9-bdebdf581aeb">
      <Terms xmlns="http://schemas.microsoft.com/office/infopath/2007/PartnerControls"/>
    </lcf76f155ced4ddcb4097134ff3c332f>
    <TaxCatchAll xmlns="30d982df-228a-4e5a-b937-5acdf1a45870" xsi:nil="true"/>
    <DATE xmlns="55d9b104-5eb7-476d-b8b9-bdebdf581aeb" xsi:nil="true"/>
    <_Flow_SignoffStatus xmlns="55d9b104-5eb7-476d-b8b9-bdebdf581aeb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1FCE091217DC40905ED46630CE34BF" ma:contentTypeVersion="21" ma:contentTypeDescription="Create a new document." ma:contentTypeScope="" ma:versionID="6db8edfbdfa5cc685f68a802ad187dcc">
  <xsd:schema xmlns:xsd="http://www.w3.org/2001/XMLSchema" xmlns:xs="http://www.w3.org/2001/XMLSchema" xmlns:p="http://schemas.microsoft.com/office/2006/metadata/properties" xmlns:ns2="30d982df-228a-4e5a-b937-5acdf1a45870" xmlns:ns3="55d9b104-5eb7-476d-b8b9-bdebdf581aeb" targetNamespace="http://schemas.microsoft.com/office/2006/metadata/properties" ma:root="true" ma:fieldsID="f87a60b418bbfdeb94b71a45c4239bf5" ns2:_="" ns3:_="">
    <xsd:import namespace="30d982df-228a-4e5a-b937-5acdf1a45870"/>
    <xsd:import namespace="55d9b104-5eb7-476d-b8b9-bdebdf581aeb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LengthInSeconds" minOccurs="0"/>
                <xsd:element ref="ns3:MaintenanceSharepoint" minOccurs="0"/>
                <xsd:element ref="ns3:lcf76f155ced4ddcb4097134ff3c332f" minOccurs="0"/>
                <xsd:element ref="ns2:TaxCatchAll" minOccurs="0"/>
                <xsd:element ref="ns3:DATE" minOccurs="0"/>
                <xsd:element ref="ns3:_Flow_SignoffStatu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d982df-228a-4e5a-b937-5acdf1a4587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ff1d1f23-5320-41e2-b6a4-cc9ca8df5e39}" ma:internalName="TaxCatchAll" ma:showField="CatchAllData" ma:web="30d982df-228a-4e5a-b937-5acdf1a4587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d9b104-5eb7-476d-b8b9-bdebdf581ae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aintenanceSharepoint" ma:index="21" nillable="true" ma:displayName="Maintenance Sharepoint" ma:description="Indicator a copy of this file is available on the maintenance share point site." ma:format="Dropdown" ma:internalName="MaintenanceSharepoint">
      <xsd:simpleType>
        <xsd:restriction base="dms:Choice">
          <xsd:enumeration value="Yes"/>
          <xsd:enumeration value="No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1ede0447-f3d7-4d1b-893b-1d8d6f43358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DATE" ma:index="25" nillable="true" ma:displayName="DATE" ma:format="DateTime" ma:internalName="DATE">
      <xsd:simpleType>
        <xsd:restriction base="dms:DateTime"/>
      </xsd:simpleType>
    </xsd:element>
    <xsd:element name="_Flow_SignoffStatus" ma:index="26" nillable="true" ma:displayName="Sign-off status" ma:internalName="Sign_x002d_off_x0020_status">
      <xsd:simpleType>
        <xsd:restriction base="dms:Text"/>
      </xsd:simple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3E4FDE6-91C5-4C3E-A549-A66920EB143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4CD2C65-8490-4C0E-85E2-C2565D7B2C76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10554CF-055B-40C3-837B-DB1A264AD803}">
  <ds:schemaRefs>
    <ds:schemaRef ds:uri="http://schemas.microsoft.com/office/2006/metadata/properties"/>
    <ds:schemaRef ds:uri="http://www.w3.org/2000/xmlns/"/>
    <ds:schemaRef ds:uri="55d9b104-5eb7-476d-b8b9-bdebdf581aeb"/>
    <ds:schemaRef ds:uri="http://www.w3.org/2001/XMLSchema-instance"/>
    <ds:schemaRef ds:uri="http://schemas.microsoft.com/office/infopath/2007/PartnerControls"/>
    <ds:schemaRef ds:uri="30d982df-228a-4e5a-b937-5acdf1a45870"/>
  </ds:schemaRefs>
</ds:datastoreItem>
</file>

<file path=customXml/itemProps4.xml><?xml version="1.0" encoding="utf-8"?>
<ds:datastoreItem xmlns:ds="http://schemas.openxmlformats.org/officeDocument/2006/customXml" ds:itemID="{2B53B0DD-2AC4-4A60-93D3-45373DB7077F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30d982df-228a-4e5a-b937-5acdf1a45870"/>
    <ds:schemaRef ds:uri="55d9b104-5eb7-476d-b8b9-bdebdf581aeb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Full Log</vt:lpstr>
      <vt:lpstr>Storage Log</vt:lpstr>
      <vt:lpstr>CFS Log</vt:lpstr>
      <vt:lpstr>Database</vt:lpstr>
      <vt:lpstr>'CFS Log'!Print_Area</vt:lpstr>
      <vt:lpstr>'Storage Log'!Print_Area</vt:lpstr>
    </vt:vector>
  </TitlesOfParts>
  <Manager/>
  <Company>Clariant International Ltd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Tyler Melton</dc:creator>
  <cp:keywords/>
  <dc:description/>
  <cp:lastModifiedBy>T.M. Wrath</cp:lastModifiedBy>
  <cp:revision/>
  <cp:lastPrinted>2023-10-18T13:30:22Z</cp:lastPrinted>
  <dcterms:created xsi:type="dcterms:W3CDTF">2022-05-10T13:32:30Z</dcterms:created>
  <dcterms:modified xsi:type="dcterms:W3CDTF">2024-01-31T15:42:24Z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0x010100D01FCE091217DC40905ED46630CE34BF</vt:lpwstr>
  </property>
  <property fmtid="{D5CDD505-2E9C-101B-9397-08002B2CF9AE}" pid="3" name="MediaServiceImageTags">
    <vt:lpwstr/>
  </property>
</Properties>
</file>